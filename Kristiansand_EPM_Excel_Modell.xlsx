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1.xml" ContentType="application/vnd.openxmlformats-officedocument.spreadsheetml.table+xml"/>
  <Override PartName="/xl/worksheets/sheet7.xml" ContentType="application/vnd.openxmlformats-officedocument.spreadsheetml.worksheet+xml"/>
  <Override PartName="/xl/tables/table2.xml" ContentType="application/vnd.openxmlformats-officedocument.spreadsheetml.table+xml"/>
  <Override PartName="/xl/worksheets/sheet8.xml" ContentType="application/vnd.openxmlformats-officedocument.spreadsheetml.worksheet+xml"/>
  <Override PartName="/xl/tables/table3.xml" ContentType="application/vnd.openxmlformats-officedocument.spreadsheetml.table+xml"/>
  <Override PartName="/xl/worksheets/sheet9.xml" ContentType="application/vnd.openxmlformats-officedocument.spreadsheetml.worksheet+xml"/>
  <Override PartName="/xl/tables/table4.xml" ContentType="application/vnd.openxmlformats-officedocument.spreadsheetml.table+xml"/>
  <Override PartName="/xl/worksheets/sheet10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Konsern_Styringsrapport" sheetId="1" state="visible" r:id="rId1"/>
    <sheet xmlns:r="http://schemas.openxmlformats.org/officeDocument/2006/relationships" name="2_Kommunal_Skole" sheetId="2" state="visible" r:id="rId2"/>
    <sheet xmlns:r="http://schemas.openxmlformats.org/officeDocument/2006/relationships" name="3_Kommunal_Boenhet" sheetId="3" state="visible" r:id="rId3"/>
    <sheet xmlns:r="http://schemas.openxmlformats.org/officeDocument/2006/relationships" name="4_Net_Zero_Tiltaksplan" sheetId="4" state="visible" r:id="rId4"/>
    <sheet xmlns:r="http://schemas.openxmlformats.org/officeDocument/2006/relationships" name="5_Audit_AI_HITL" sheetId="5" state="visible" r:id="rId5"/>
    <sheet xmlns:r="http://schemas.openxmlformats.org/officeDocument/2006/relationships" name="Fact_Regnskap" sheetId="6" state="visible" r:id="rId6"/>
    <sheet xmlns:r="http://schemas.openxmlformats.org/officeDocument/2006/relationships" name="Dim_Funksjon" sheetId="7" state="visible" r:id="rId7"/>
    <sheet xmlns:r="http://schemas.openxmlformats.org/officeDocument/2006/relationships" name="Dim_Art" sheetId="8" state="visible" r:id="rId8"/>
    <sheet xmlns:r="http://schemas.openxmlformats.org/officeDocument/2006/relationships" name="Dim_Ansvar" sheetId="9" state="visible" r:id="rId9"/>
    <sheet xmlns:r="http://schemas.openxmlformats.org/officeDocument/2006/relationships" name="Dim_Dato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 kr"/>
    <numFmt numFmtId="165" formatCode="0.0%"/>
  </numFmts>
  <fonts count="11">
    <font>
      <name val="Calibri"/>
      <family val="2"/>
      <color theme="1"/>
      <sz val="11"/>
      <scheme val="minor"/>
    </font>
    <font>
      <name val="Segoe UI"/>
      <b val="1"/>
      <color rgb="001A202C"/>
      <sz val="15"/>
    </font>
    <font>
      <name val="Segoe UI"/>
      <i val="1"/>
      <color rgb="00718096"/>
      <sz val="10"/>
    </font>
    <font>
      <name val="Segoe UI"/>
      <b val="1"/>
      <color rgb="00718096"/>
      <sz val="8"/>
    </font>
    <font>
      <name val="Segoe UI"/>
      <b val="1"/>
      <color rgb="001A202C"/>
      <sz val="16"/>
    </font>
    <font>
      <name val="Segoe UI"/>
      <b val="1"/>
      <color rgb="00C53030"/>
      <sz val="16"/>
    </font>
    <font>
      <name val="Segoe UI"/>
      <b val="1"/>
      <color rgb="002D3748"/>
      <sz val="11"/>
    </font>
    <font>
      <name val="Segoe UI"/>
      <b val="1"/>
      <color rgb="001A202C"/>
      <sz val="9"/>
    </font>
    <font>
      <name val="Segoe UI"/>
      <color rgb="002D3748"/>
      <sz val="9"/>
    </font>
    <font>
      <name val="Segoe UI"/>
      <b val="1"/>
      <color rgb="00C53030"/>
      <sz val="9"/>
    </font>
    <font>
      <name val="Segoe UI"/>
      <color rgb="002B6CB0"/>
      <sz val="9"/>
    </font>
  </fonts>
  <fills count="6">
    <fill>
      <patternFill/>
    </fill>
    <fill>
      <patternFill patternType="gray125"/>
    </fill>
    <fill>
      <patternFill patternType="solid">
        <fgColor rgb="00FAFAFA"/>
        <bgColor rgb="00FAFAFA"/>
      </patternFill>
    </fill>
    <fill>
      <patternFill patternType="solid">
        <fgColor rgb="00FFF5F5"/>
        <bgColor rgb="00FFF5F5"/>
      </patternFill>
    </fill>
    <fill>
      <patternFill patternType="solid">
        <fgColor rgb="00F7FAFC"/>
        <bgColor rgb="00F7FAFC"/>
      </patternFill>
    </fill>
    <fill>
      <patternFill patternType="solid">
        <fgColor rgb="00F0FDF4"/>
        <bgColor rgb="00F0FDF4"/>
      </patternFill>
    </fill>
  </fills>
  <borders count="14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left/>
      <right/>
      <top style="thin">
        <color rgb="00E2E8F0"/>
      </top>
      <bottom/>
      <diagonal/>
    </border>
    <border>
      <left/>
      <right style="thin">
        <color rgb="00E2E8F0"/>
      </right>
      <top style="thin">
        <color rgb="00E2E8F0"/>
      </top>
      <bottom/>
      <diagonal/>
    </border>
    <border>
      <left/>
      <right/>
      <top style="thin">
        <color rgb="00E2E8F0"/>
      </top>
      <bottom style="thin">
        <color rgb="00E2E8F0"/>
      </bottom>
      <diagonal/>
    </border>
    <border>
      <left/>
      <right style="thin">
        <color rgb="00E2E8F0"/>
      </right>
      <top style="thin">
        <color rgb="00E2E8F0"/>
      </top>
      <bottom style="thin">
        <color rgb="00E2E8F0"/>
      </bottom>
      <diagonal/>
    </border>
    <border>
      <left style="thin">
        <color rgb="00E2E8F0"/>
      </left>
      <right/>
      <top/>
      <bottom/>
      <diagonal/>
    </border>
    <border>
      <left/>
      <right style="thin">
        <color rgb="00E2E8F0"/>
      </right>
      <top/>
      <bottom/>
      <diagonal/>
    </border>
    <border>
      <left style="thin">
        <color rgb="00E2E8F0"/>
      </left>
      <right/>
      <top/>
      <bottom style="thin">
        <color rgb="00E2E8F0"/>
      </bottom>
      <diagonal/>
    </border>
    <border>
      <left/>
      <right/>
      <top/>
      <bottom style="thin">
        <color rgb="00E2E8F0"/>
      </bottom>
      <diagonal/>
    </border>
    <border>
      <left/>
      <right style="thin">
        <color rgb="00E2E8F0"/>
      </right>
      <top/>
      <bottom style="thin">
        <color rgb="00E2E8F0"/>
      </bottom>
      <diagonal/>
    </border>
    <border>
      <bottom style="medium">
        <color rgb="002D3748"/>
      </bottom>
    </border>
    <border>
      <bottom style="thin">
        <color rgb="00E2E8F0"/>
      </bottom>
    </border>
    <border>
      <top style="thin">
        <color rgb="00CBD5E0"/>
      </top>
      <bottom style="double">
        <color rgb="001A202C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164" fontId="4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164" fontId="5" fillId="3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6" fillId="0" borderId="0" pivotButton="0" quotePrefix="0" xfId="0"/>
    <xf numFmtId="0" fontId="7" fillId="4" borderId="11" applyAlignment="1" pivotButton="0" quotePrefix="0" xfId="0">
      <alignment horizontal="left"/>
    </xf>
    <xf numFmtId="0" fontId="7" fillId="4" borderId="11" applyAlignment="1" pivotButton="0" quotePrefix="0" xfId="0">
      <alignment horizontal="right"/>
    </xf>
    <xf numFmtId="0" fontId="8" fillId="0" borderId="12" applyAlignment="1" pivotButton="0" quotePrefix="0" xfId="0">
      <alignment horizontal="left"/>
    </xf>
    <xf numFmtId="164" fontId="8" fillId="0" borderId="12" applyAlignment="1" pivotButton="0" quotePrefix="0" xfId="0">
      <alignment horizontal="right"/>
    </xf>
    <xf numFmtId="164" fontId="9" fillId="0" borderId="12" applyAlignment="1" pivotButton="0" quotePrefix="0" xfId="0">
      <alignment horizontal="right"/>
    </xf>
    <xf numFmtId="165" fontId="8" fillId="0" borderId="12" applyAlignment="1" pivotButton="0" quotePrefix="0" xfId="0">
      <alignment horizontal="right"/>
    </xf>
    <xf numFmtId="0" fontId="7" fillId="0" borderId="13" pivotButton="0" quotePrefix="0" xfId="0"/>
    <xf numFmtId="0" fontId="0" fillId="0" borderId="13" pivotButton="0" quotePrefix="0" xfId="0"/>
    <xf numFmtId="164" fontId="7" fillId="0" borderId="13" applyAlignment="1" pivotButton="0" quotePrefix="0" xfId="0">
      <alignment horizontal="right"/>
    </xf>
    <xf numFmtId="165" fontId="7" fillId="0" borderId="13" applyAlignment="1" pivotButton="0" quotePrefix="0" xfId="0">
      <alignment horizontal="right"/>
    </xf>
    <xf numFmtId="164" fontId="10" fillId="0" borderId="12" applyAlignment="1" pivotButton="0" quotePrefix="0" xfId="0">
      <alignment horizontal="right"/>
    </xf>
    <xf numFmtId="164" fontId="7" fillId="5" borderId="12" applyAlignment="1" pivotButton="0" quotePrefix="0" xfId="0">
      <alignment horizontal="right"/>
    </xf>
    <xf numFmtId="0" fontId="7" fillId="0" borderId="13" applyAlignment="1" pivotButton="0" quotePrefix="0" xfId="0">
      <alignment horizontal="left"/>
    </xf>
    <xf numFmtId="164" fontId="9" fillId="0" borderId="13" applyAlignment="1" pivotButton="0" quotePrefix="0" xfId="0">
      <alignment horizontal="right"/>
    </xf>
    <xf numFmtId="164" fontId="7" fillId="5" borderId="13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ables/table1.xml><?xml version="1.0" encoding="utf-8"?>
<table xmlns="http://schemas.openxmlformats.org/spreadsheetml/2006/main" id="1" name="Table_Fact" displayName="Table_Fact" ref="A1:J1251" headerRowCount="1">
  <autoFilter ref="A1:J1251"/>
  <tableColumns count="10">
    <tableColumn id="1" name="transaksjon_id"/>
    <tableColumn id="2" name="kilde_system"/>
    <tableColumn id="3" name="funksjon_key"/>
    <tableColumn id="4" name="art_key"/>
    <tableColumn id="5" name="ansvar_key"/>
    <tableColumn id="6" name="dato_key"/>
    <tableColumn id="7" name="belop"/>
    <tableColumn id="8" name="korrigert_belop"/>
    <tableColumn id="9" name="budsjett_belop"/>
    <tableColumn id="10" name="avvik_belop"/>
  </tableColumns>
  <tableStyleInfo name="TableStyleLight1" showRowStripes="1"/>
</table>
</file>

<file path=xl/tables/table2.xml><?xml version="1.0" encoding="utf-8"?>
<table xmlns="http://schemas.openxmlformats.org/spreadsheetml/2006/main" id="2" name="Table_Dim_Funksjon" displayName="Table_Dim_Funksjon" ref="A1:E7" headerRowCount="1">
  <autoFilter ref="A1:E7"/>
  <tableColumns count="5">
    <tableColumn id="1" name="funksjon_key"/>
    <tableColumn id="2" name="funksjon_kode"/>
    <tableColumn id="3" name="funksjon_navn"/>
    <tableColumn id="4" name="hovedfunksjon_kode"/>
    <tableColumn id="5" name="tjenesteomrade_navn"/>
  </tableColumns>
  <tableStyleInfo name="TableStyleLight1" showRowStripes="1"/>
</table>
</file>

<file path=xl/tables/table3.xml><?xml version="1.0" encoding="utf-8"?>
<table xmlns="http://schemas.openxmlformats.org/spreadsheetml/2006/main" id="3" name="Table_Dim_Art" displayName="Table_Dim_Art" ref="A1:E35" headerRowCount="1">
  <autoFilter ref="A1:E35"/>
  <tableColumns count="5">
    <tableColumn id="1" name="art_key"/>
    <tableColumn id="2" name="art_kode"/>
    <tableColumn id="3" name="art_navn"/>
    <tableColumn id="4" name="art_gruppe"/>
    <tableColumn id="5" name="sign_multiplier"/>
  </tableColumns>
  <tableStyleInfo name="TableStyleLight1" showRowStripes="1"/>
</table>
</file>

<file path=xl/tables/table4.xml><?xml version="1.0" encoding="utf-8"?>
<table xmlns="http://schemas.openxmlformats.org/spreadsheetml/2006/main" id="4" name="Table_Dim_Ansvar" displayName="Table_Dim_Ansvar" ref="A1:D9" headerRowCount="1">
  <autoFilter ref="A1:D9"/>
  <tableColumns count="4">
    <tableColumn id="1" name="ansvar_key"/>
    <tableColumn id="2" name="ansvar_kode"/>
    <tableColumn id="3" name="ansvar_navn"/>
    <tableColumn id="4" name="kommunalsjefomrade"/>
  </tableColumns>
  <tableStyleInfo name="TableStyleLight1" showRowStripes="1"/>
</table>
</file>

<file path=xl/tables/table5.xml><?xml version="1.0" encoding="utf-8"?>
<table xmlns="http://schemas.openxmlformats.org/spreadsheetml/2006/main" id="5" name="Table_Dim_Dato" displayName="Table_Dim_Dato" ref="A1:E25" headerRowCount="1">
  <autoFilter ref="A1:E25"/>
  <tableColumns count="5">
    <tableColumn id="1" name="dato_key"/>
    <tableColumn id="2" name="full_dato"/>
    <tableColumn id="3" name="ar"/>
    <tableColumn id="4" name="tertial"/>
    <tableColumn id="5" name="maned"/>
  </tableColumns>
  <tableStyleInfo name="TableStyleLight1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50" customWidth="1" min="2" max="2"/>
    <col width="32" customWidth="1" min="3" max="3"/>
    <col width="34" customWidth="1" min="4" max="4"/>
    <col width="20" customWidth="1" min="5" max="5"/>
    <col width="20" customWidth="1" min="6" max="6"/>
    <col width="17" customWidth="1" min="7" max="7"/>
    <col width="25" customWidth="1" min="8" max="8"/>
    <col width="20" customWidth="1" min="9" max="9"/>
    <col width="10" customWidth="1" min="10" max="10"/>
    <col width="20" customWidth="1" min="11" max="11"/>
    <col width="10" customWidth="1" min="12" max="12"/>
    <col width="10" customWidth="1" min="13" max="13"/>
  </cols>
  <sheetData>
    <row r="1"/>
    <row r="2">
      <c r="B2" s="1" t="inlineStr">
        <is>
          <t>KRISTIANSAND KOMMUNE - VIRKSOMHETSSTYRING</t>
        </is>
      </c>
    </row>
    <row r="3">
      <c r="B3" s="2" t="inlineStr">
        <is>
          <t>Tertialrapport T2 2024 / EOY Rullende Prognose (§ 14-5) | Konsern &amp; Sektor</t>
        </is>
      </c>
    </row>
    <row r="4"/>
    <row r="5">
      <c r="B5" s="3" t="inlineStr">
        <is>
          <t>BUDSJETT YTD (T2)</t>
        </is>
      </c>
      <c r="C5" s="4" t="n"/>
      <c r="D5" s="5" t="n"/>
      <c r="E5" s="3" t="inlineStr">
        <is>
          <t>REGNSKAP YTD (T2)</t>
        </is>
      </c>
      <c r="F5" s="4" t="n"/>
      <c r="G5" s="5" t="n"/>
      <c r="H5" s="3" t="inlineStr">
        <is>
          <t>AVVIK YTD (MERFORBRUK)</t>
        </is>
      </c>
      <c r="I5" s="4" t="n"/>
      <c r="J5" s="5" t="n"/>
      <c r="K5" s="3" t="inlineStr">
        <is>
          <t>EOY PROGNOSE (ÅR)</t>
        </is>
      </c>
      <c r="L5" s="4" t="n"/>
      <c r="M5" s="5" t="n"/>
    </row>
    <row r="6">
      <c r="B6" s="6">
        <f>SUM(Table_Fact[budsjett_belop])</f>
        <v/>
      </c>
      <c r="C6" s="7" t="n"/>
      <c r="D6" s="8" t="n"/>
      <c r="E6" s="6">
        <f>SUM(Table_Fact[korrigert_belop])</f>
        <v/>
      </c>
      <c r="F6" s="7" t="n"/>
      <c r="G6" s="8" t="n"/>
      <c r="H6" s="9">
        <f>E6-B6</f>
        <v/>
      </c>
      <c r="I6" s="7" t="n"/>
      <c r="J6" s="8" t="n"/>
      <c r="K6" s="9">
        <f>E6+(SUMIFS(Table_Fact[budsjett_belop],Table_Fact[dato_key],'&gt;20240831'))+(IF(H6&gt;0,H6*0.5,0))</f>
        <v/>
      </c>
      <c r="L6" s="7" t="n"/>
      <c r="M6" s="8" t="n"/>
    </row>
    <row r="7">
      <c r="B7" s="10" t="n"/>
      <c r="C7" s="11" t="n"/>
      <c r="D7" s="12" t="n"/>
      <c r="E7" s="10" t="n"/>
      <c r="F7" s="11" t="n"/>
      <c r="G7" s="12" t="n"/>
      <c r="H7" s="10" t="n"/>
      <c r="I7" s="11" t="n"/>
      <c r="J7" s="12" t="n"/>
      <c r="K7" s="10" t="n"/>
      <c r="L7" s="11" t="n"/>
      <c r="M7" s="12" t="n"/>
    </row>
    <row r="8"/>
    <row r="9">
      <c r="B9" s="13" t="inlineStr">
        <is>
          <t>1. SEKTOROVERSKIKT (AGGREGERT)</t>
        </is>
      </c>
    </row>
    <row r="10"/>
    <row r="11">
      <c r="B11" s="14" t="inlineStr">
        <is>
          <t>Kommunalsjefområde</t>
        </is>
      </c>
      <c r="C11" s="14" t="inlineStr">
        <is>
          <t>Enhet / Ansvar</t>
        </is>
      </c>
      <c r="D11" s="14" t="inlineStr">
        <is>
          <t>Funksjon (KOSTRA)</t>
        </is>
      </c>
      <c r="E11" s="15" t="inlineStr">
        <is>
          <t>Budsjett YTD (kr)</t>
        </is>
      </c>
      <c r="F11" s="15" t="inlineStr">
        <is>
          <t>Regnskap YTD (kr)</t>
        </is>
      </c>
      <c r="G11" s="15" t="inlineStr">
        <is>
          <t>Avvik YTD (kr)</t>
        </is>
      </c>
      <c r="H11" s="15" t="inlineStr">
        <is>
          <t>Avvik %</t>
        </is>
      </c>
      <c r="I11" s="15" t="inlineStr">
        <is>
          <t>EOY Prognose (kr)</t>
        </is>
      </c>
      <c r="J11" s="14" t="inlineStr">
        <is>
          <t>Status</t>
        </is>
      </c>
    </row>
    <row r="12">
      <c r="B12" s="16" t="inlineStr">
        <is>
          <t>Helse og mestring</t>
        </is>
      </c>
      <c r="C12" s="16" t="inlineStr">
        <is>
          <t>Slettheia Bofellesskap</t>
        </is>
      </c>
      <c r="D12" s="16" t="inlineStr">
        <is>
          <t>Hjemmetjenester og bofellesskap</t>
        </is>
      </c>
      <c r="E12" s="17">
        <f>SUMIFS(Table_Fact[budsjett_belop], Table_Fact[ansvar_key], 8)</f>
        <v/>
      </c>
      <c r="F12" s="17">
        <f>SUMIFS(Table_Fact[korrigert_belop], Table_Fact[ansvar_key], 8)</f>
        <v/>
      </c>
      <c r="G12" s="18">
        <f>F12-E12</f>
        <v/>
      </c>
      <c r="H12" s="19">
        <f>IF(E12&gt;0, G12/E12, 0)</f>
        <v/>
      </c>
      <c r="I12" s="17">
        <f>F12+(G12*0.5)</f>
        <v/>
      </c>
      <c r="J12" s="16">
        <f>IF(G12&gt;50000, "Merforbruk (Kritisk)", IF(G12&gt;0, "Merforbruk", "Mindreforbruk"))</f>
        <v/>
      </c>
    </row>
    <row r="13">
      <c r="B13" s="16" t="inlineStr">
        <is>
          <t>Oppvekst</t>
        </is>
      </c>
      <c r="C13" s="16" t="inlineStr">
        <is>
          <t>Grunnskole felles / Leirskole</t>
        </is>
      </c>
      <c r="D13" s="16" t="inlineStr">
        <is>
          <t>Grunnskoleopplæring</t>
        </is>
      </c>
      <c r="E13" s="17">
        <f>SUMIFS(Table_Fact[budsjett_belop], Table_Fact[ansvar_key], 3)</f>
        <v/>
      </c>
      <c r="F13" s="17">
        <f>SUMIFS(Table_Fact[korrigert_belop], Table_Fact[ansvar_key], 3)</f>
        <v/>
      </c>
      <c r="G13" s="18">
        <f>F13-E13</f>
        <v/>
      </c>
      <c r="H13" s="19">
        <f>IF(E13&gt;0, G13/E13, 0)</f>
        <v/>
      </c>
      <c r="I13" s="17">
        <f>F13+(G13*0.5)</f>
        <v/>
      </c>
      <c r="J13" s="16">
        <f>IF(G13&gt;50000, "Merforbruk (Kritisk)", IF(G13&gt;0, "Merforbruk", "Mindreforbruk"))</f>
        <v/>
      </c>
    </row>
    <row r="14">
      <c r="B14" s="16" t="inlineStr">
        <is>
          <t>Oppvekst</t>
        </is>
      </c>
      <c r="C14" s="16" t="inlineStr">
        <is>
          <t>Grunnskole felles / Leirskole</t>
        </is>
      </c>
      <c r="D14" s="16" t="inlineStr">
        <is>
          <t>Skolefritidstilbud (SFO)</t>
        </is>
      </c>
      <c r="E14" s="17">
        <f>SUMIFS(Table_Fact[budsjett_belop], Table_Fact[ansvar_key], 3)</f>
        <v/>
      </c>
      <c r="F14" s="17">
        <f>SUMIFS(Table_Fact[korrigert_belop], Table_Fact[ansvar_key], 3)</f>
        <v/>
      </c>
      <c r="G14" s="17">
        <f>F14-E14</f>
        <v/>
      </c>
      <c r="H14" s="19">
        <f>IF(E14&gt;0, G14/E14, 0)</f>
        <v/>
      </c>
      <c r="I14" s="17">
        <f>F14+(G14*0.5)</f>
        <v/>
      </c>
      <c r="J14" s="16">
        <f>IF(G14&gt;50000, "Merforbruk (Kritisk)", IF(G14&gt;0, "Merforbruk", "Mindreforbruk"))</f>
        <v/>
      </c>
    </row>
    <row r="15">
      <c r="B15" s="16" t="inlineStr">
        <is>
          <t>Oppvekst</t>
        </is>
      </c>
      <c r="C15" s="16" t="inlineStr">
        <is>
          <t>Interkommunal PPT-enhet</t>
        </is>
      </c>
      <c r="D15" s="16" t="inlineStr">
        <is>
          <t>Grunnskoleopplæring</t>
        </is>
      </c>
      <c r="E15" s="17">
        <f>SUMIFS(Table_Fact[budsjett_belop], Table_Fact[ansvar_key], 4)</f>
        <v/>
      </c>
      <c r="F15" s="17">
        <f>SUMIFS(Table_Fact[korrigert_belop], Table_Fact[ansvar_key], 4)</f>
        <v/>
      </c>
      <c r="G15" s="17">
        <f>F15-E15</f>
        <v/>
      </c>
      <c r="H15" s="19">
        <f>IF(E15&gt;0, G15/E15, 0)</f>
        <v/>
      </c>
      <c r="I15" s="17">
        <f>F15+(G15*0.5)</f>
        <v/>
      </c>
      <c r="J15" s="16">
        <f>IF(G15&gt;50000, "Merforbruk (Kritisk)", IF(G15&gt;0, "Merforbruk", "Mindreforbruk"))</f>
        <v/>
      </c>
    </row>
    <row r="16">
      <c r="B16" s="16" t="inlineStr">
        <is>
          <t>Oppvekst</t>
        </is>
      </c>
      <c r="C16" s="16" t="inlineStr">
        <is>
          <t>Kommunal voksenopplæring</t>
        </is>
      </c>
      <c r="D16" s="16" t="inlineStr">
        <is>
          <t>Voksenopplæring</t>
        </is>
      </c>
      <c r="E16" s="17">
        <f>SUMIFS(Table_Fact[budsjett_belop], Table_Fact[ansvar_key], 5)</f>
        <v/>
      </c>
      <c r="F16" s="17">
        <f>SUMIFS(Table_Fact[korrigert_belop], Table_Fact[ansvar_key], 5)</f>
        <v/>
      </c>
      <c r="G16" s="17">
        <f>F16-E16</f>
        <v/>
      </c>
      <c r="H16" s="19">
        <f>IF(E16&gt;0, G16/E16, 0)</f>
        <v/>
      </c>
      <c r="I16" s="17">
        <f>F16+(G16*0.5)</f>
        <v/>
      </c>
      <c r="J16" s="16">
        <f>IF(G16&gt;50000, "Merforbruk (Kritisk)", IF(G16&gt;0, "Merforbruk", "Mindreforbruk"))</f>
        <v/>
      </c>
    </row>
    <row r="17">
      <c r="B17" s="16" t="inlineStr">
        <is>
          <t>Oppvekst</t>
        </is>
      </c>
      <c r="C17" s="16" t="inlineStr">
        <is>
          <t>Mevold Grunnskole (Åseral)</t>
        </is>
      </c>
      <c r="D17" s="16" t="inlineStr">
        <is>
          <t>Grunnskoleopplæring</t>
        </is>
      </c>
      <c r="E17" s="17">
        <f>SUMIFS(Table_Fact[budsjett_belop], Table_Fact[ansvar_key], 1)</f>
        <v/>
      </c>
      <c r="F17" s="17">
        <f>SUMIFS(Table_Fact[korrigert_belop], Table_Fact[ansvar_key], 1)</f>
        <v/>
      </c>
      <c r="G17" s="18">
        <f>F17-E17</f>
        <v/>
      </c>
      <c r="H17" s="19">
        <f>IF(E17&gt;0, G17/E17, 0)</f>
        <v/>
      </c>
      <c r="I17" s="17">
        <f>F17+(G17*0.5)</f>
        <v/>
      </c>
      <c r="J17" s="16">
        <f>IF(G17&gt;50000, "Merforbruk (Kritisk)", IF(G17&gt;0, "Merforbruk", "Mindreforbruk"))</f>
        <v/>
      </c>
    </row>
    <row r="18">
      <c r="B18" s="16" t="inlineStr">
        <is>
          <t>Oppvekst</t>
        </is>
      </c>
      <c r="C18" s="16" t="inlineStr">
        <is>
          <t>SFO-avdelingene</t>
        </is>
      </c>
      <c r="D18" s="16" t="inlineStr">
        <is>
          <t>Grunnskoleopplæring</t>
        </is>
      </c>
      <c r="E18" s="17">
        <f>SUMIFS(Table_Fact[budsjett_belop], Table_Fact[ansvar_key], 2)</f>
        <v/>
      </c>
      <c r="F18" s="17">
        <f>SUMIFS(Table_Fact[korrigert_belop], Table_Fact[ansvar_key], 2)</f>
        <v/>
      </c>
      <c r="G18" s="18">
        <f>F18-E18</f>
        <v/>
      </c>
      <c r="H18" s="19">
        <f>IF(E18&gt;0, G18/E18, 0)</f>
        <v/>
      </c>
      <c r="I18" s="17">
        <f>F18+(G18*0.5)</f>
        <v/>
      </c>
      <c r="J18" s="16">
        <f>IF(G18&gt;50000, "Merforbruk (Kritisk)", IF(G18&gt;0, "Merforbruk", "Mindreforbruk"))</f>
        <v/>
      </c>
    </row>
    <row r="19">
      <c r="B19" s="16" t="inlineStr">
        <is>
          <t>Oppvekst</t>
        </is>
      </c>
      <c r="C19" s="16" t="inlineStr">
        <is>
          <t>Skoleskyss / Sentral stab</t>
        </is>
      </c>
      <c r="D19" s="16" t="inlineStr">
        <is>
          <t>Skoleskyss</t>
        </is>
      </c>
      <c r="E19" s="17">
        <f>SUMIFS(Table_Fact[budsjett_belop], Table_Fact[ansvar_key], 7)</f>
        <v/>
      </c>
      <c r="F19" s="17">
        <f>SUMIFS(Table_Fact[korrigert_belop], Table_Fact[ansvar_key], 7)</f>
        <v/>
      </c>
      <c r="G19" s="18">
        <f>F19-E19</f>
        <v/>
      </c>
      <c r="H19" s="19">
        <f>IF(E19&gt;0, G19/E19, 0)</f>
        <v/>
      </c>
      <c r="I19" s="17">
        <f>F19+(G19*0.5)</f>
        <v/>
      </c>
      <c r="J19" s="16">
        <f>IF(G19&gt;50000, "Merforbruk (Kritisk)", IF(G19&gt;0, "Merforbruk", "Mindreforbruk"))</f>
        <v/>
      </c>
    </row>
    <row r="20">
      <c r="B20" s="16" t="inlineStr">
        <is>
          <t>Oppvekst / Eiendom</t>
        </is>
      </c>
      <c r="C20" s="16" t="inlineStr">
        <is>
          <t>Skolelokaler / Eiendom</t>
        </is>
      </c>
      <c r="D20" s="16" t="inlineStr">
        <is>
          <t>Skolelokaler</t>
        </is>
      </c>
      <c r="E20" s="17">
        <f>SUMIFS(Table_Fact[budsjett_belop], Table_Fact[ansvar_key], 6)</f>
        <v/>
      </c>
      <c r="F20" s="17">
        <f>SUMIFS(Table_Fact[korrigert_belop], Table_Fact[ansvar_key], 6)</f>
        <v/>
      </c>
      <c r="G20" s="17">
        <f>F20-E20</f>
        <v/>
      </c>
      <c r="H20" s="19">
        <f>IF(E20&gt;0, G20/E20, 0)</f>
        <v/>
      </c>
      <c r="I20" s="17">
        <f>F20+(G20*0.5)</f>
        <v/>
      </c>
      <c r="J20" s="16">
        <f>IF(G20&gt;50000, "Merforbruk (Kritisk)", IF(G20&gt;0, "Merforbruk", "Mindreforbruk"))</f>
        <v/>
      </c>
    </row>
    <row r="21">
      <c r="B21" s="20" t="inlineStr">
        <is>
          <t>TOTALT KONSELLER</t>
        </is>
      </c>
      <c r="C21" s="21" t="n"/>
      <c r="D21" s="21" t="n"/>
      <c r="E21" s="22">
        <f>SUM(E12:E20)</f>
        <v/>
      </c>
      <c r="F21" s="22">
        <f>SUM(F12:F20)</f>
        <v/>
      </c>
      <c r="G21" s="22">
        <f>SUM(G12:G20)</f>
        <v/>
      </c>
      <c r="H21" s="23">
        <f>IF(E21&gt;0, G21/E21, 0)</f>
        <v/>
      </c>
      <c r="I21" s="22">
        <f>SUM(I12:I20)</f>
        <v/>
      </c>
      <c r="J21" s="21" t="n"/>
    </row>
  </sheetData>
  <mergeCells count="8">
    <mergeCell ref="E6:G7"/>
    <mergeCell ref="H6:J7"/>
    <mergeCell ref="B5:D5"/>
    <mergeCell ref="B6:D7"/>
    <mergeCell ref="E5:G5"/>
    <mergeCell ref="K5:M5"/>
    <mergeCell ref="H5:J5"/>
    <mergeCell ref="K6:M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2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50" customWidth="1" min="2" max="2"/>
    <col width="50" customWidth="1" min="3" max="3"/>
    <col width="20" customWidth="1" min="4" max="4"/>
    <col width="20" customWidth="1" min="5" max="5"/>
    <col width="20" customWidth="1" min="6" max="6"/>
    <col width="19" customWidth="1" min="7" max="7"/>
    <col width="24" customWidth="1" min="8" max="8"/>
    <col width="48" customWidth="1" min="9" max="9"/>
  </cols>
  <sheetData>
    <row r="1"/>
    <row r="2">
      <c r="B2" s="1" t="inlineStr">
        <is>
          <t>KOMMUNAL SKOLE - RAMMESTYRING &amp; ENHETSFORDELING (KOSTRA 202)</t>
        </is>
      </c>
    </row>
    <row r="3">
      <c r="B3" s="2" t="inlineStr">
        <is>
          <t>Oppvekstsektoren | Rektor Kommunal Skole | Framsikt visning (jfr. skole1.png og skole_framsikt_cond_format.png)</t>
        </is>
      </c>
    </row>
    <row r="4"/>
    <row r="5">
      <c r="B5" s="13" t="inlineStr">
        <is>
          <t>1. ENHETSFORDELING PER 2. TERTIAL (FRAMSIKT MATRISE)</t>
        </is>
      </c>
    </row>
    <row r="6"/>
    <row r="7">
      <c r="B7" s="14" t="inlineStr">
        <is>
          <t>Enhet (brukt)</t>
        </is>
      </c>
      <c r="C7" s="15" t="inlineStr">
        <is>
          <t>Regnskap hiå (kr)</t>
        </is>
      </c>
      <c r="D7" s="15" t="inlineStr">
        <is>
          <t>Budsjett hiå (kr)</t>
        </is>
      </c>
      <c r="E7" s="15" t="inlineStr">
        <is>
          <t>Avvik i kr</t>
        </is>
      </c>
      <c r="F7" s="15" t="inlineStr">
        <is>
          <t>Avvik %</t>
        </is>
      </c>
      <c r="G7" s="15" t="inlineStr">
        <is>
          <t>Årsbudsjett (kr)</t>
        </is>
      </c>
      <c r="H7" s="15" t="inlineStr">
        <is>
          <t>Brukt hiå %</t>
        </is>
      </c>
      <c r="I7" s="14" t="inlineStr">
        <is>
          <t>KPI Status</t>
        </is>
      </c>
    </row>
    <row r="8">
      <c r="B8" s="16" t="inlineStr">
        <is>
          <t>Ordinær undervisning</t>
        </is>
      </c>
      <c r="C8" s="17" t="n">
        <v>12024000</v>
      </c>
      <c r="D8" s="17" t="n">
        <v>11385000</v>
      </c>
      <c r="E8" s="18" t="n">
        <v>-639000</v>
      </c>
      <c r="F8" s="19" t="n">
        <v>-0.056</v>
      </c>
      <c r="G8" s="17" t="n">
        <v>17590000</v>
      </c>
      <c r="H8" s="19" t="n">
        <v>0.6840000000000001</v>
      </c>
      <c r="I8" s="16" t="inlineStr">
        <is>
          <t>🚩 Merforbruk</t>
        </is>
      </c>
    </row>
    <row r="9">
      <c r="B9" s="16" t="inlineStr">
        <is>
          <t>Spesialundervisning grunnskole</t>
        </is>
      </c>
      <c r="C9" s="17" t="n">
        <v>2792000</v>
      </c>
      <c r="D9" s="17" t="n">
        <v>2496000</v>
      </c>
      <c r="E9" s="18" t="n">
        <v>-296000</v>
      </c>
      <c r="F9" s="19" t="n">
        <v>-0.119</v>
      </c>
      <c r="G9" s="17" t="n">
        <v>4114000</v>
      </c>
      <c r="H9" s="19" t="n">
        <v>0.679</v>
      </c>
      <c r="I9" s="16" t="inlineStr">
        <is>
          <t>🚩 Merforbruk</t>
        </is>
      </c>
    </row>
    <row r="10">
      <c r="B10" s="16" t="inlineStr">
        <is>
          <t>Grunnskole (felles)</t>
        </is>
      </c>
      <c r="C10" s="17" t="n">
        <v>1733000</v>
      </c>
      <c r="D10" s="17" t="n">
        <v>1761000</v>
      </c>
      <c r="E10" s="17" t="n">
        <v>28000</v>
      </c>
      <c r="F10" s="19" t="n">
        <v>0.016</v>
      </c>
      <c r="G10" s="17" t="n">
        <v>2919000</v>
      </c>
      <c r="H10" s="19" t="n">
        <v>0.594</v>
      </c>
      <c r="I10" s="16" t="inlineStr">
        <is>
          <t>✓ Under ramme</t>
        </is>
      </c>
    </row>
    <row r="11">
      <c r="B11" s="16" t="inlineStr">
        <is>
          <t>Skolefritidstilbud (SFO)</t>
        </is>
      </c>
      <c r="C11" s="17" t="n">
        <v>983000</v>
      </c>
      <c r="D11" s="17" t="n">
        <v>813000</v>
      </c>
      <c r="E11" s="18" t="n">
        <v>-170000</v>
      </c>
      <c r="F11" s="19" t="n">
        <v>-0.209</v>
      </c>
      <c r="G11" s="17" t="n">
        <v>1233000</v>
      </c>
      <c r="H11" s="19" t="n">
        <v>0.797</v>
      </c>
      <c r="I11" s="16" t="inlineStr">
        <is>
          <t>🚩 Merforbruk</t>
        </is>
      </c>
    </row>
    <row r="12">
      <c r="B12" s="16" t="inlineStr">
        <is>
          <t>Voksenopplæring</t>
        </is>
      </c>
      <c r="C12" s="17" t="n">
        <v>491000</v>
      </c>
      <c r="D12" s="17" t="n">
        <v>513000</v>
      </c>
      <c r="E12" s="17" t="n">
        <v>22000</v>
      </c>
      <c r="F12" s="19" t="n">
        <v>0.043</v>
      </c>
      <c r="G12" s="17" t="n">
        <v>35000</v>
      </c>
      <c r="H12" s="19" t="n">
        <v>14.029</v>
      </c>
      <c r="I12" s="16" t="inlineStr">
        <is>
          <t>Avstemmes</t>
        </is>
      </c>
    </row>
    <row r="13">
      <c r="B13" s="16" t="inlineStr">
        <is>
          <t>Skoleskyss</t>
        </is>
      </c>
      <c r="C13" s="17" t="n">
        <v>469000</v>
      </c>
      <c r="D13" s="17" t="n">
        <v>516000</v>
      </c>
      <c r="E13" s="17" t="n">
        <v>47000</v>
      </c>
      <c r="F13" s="19" t="n">
        <v>0.091</v>
      </c>
      <c r="G13" s="17" t="n">
        <v>775000</v>
      </c>
      <c r="H13" s="19" t="n">
        <v>0.605</v>
      </c>
      <c r="I13" s="16" t="inlineStr">
        <is>
          <t>✓ Under ramme</t>
        </is>
      </c>
    </row>
    <row r="14">
      <c r="B14" s="16" t="inlineStr">
        <is>
          <t>PPT (Pedagogisk-psykologisk)</t>
        </is>
      </c>
      <c r="C14" s="17" t="n">
        <v>286000</v>
      </c>
      <c r="D14" s="17" t="n">
        <v>350000</v>
      </c>
      <c r="E14" s="17" t="n">
        <v>64000</v>
      </c>
      <c r="F14" s="19" t="n">
        <v>0.183</v>
      </c>
      <c r="G14" s="17" t="n">
        <v>700000</v>
      </c>
      <c r="H14" s="19" t="n">
        <v>0.409</v>
      </c>
      <c r="I14" s="16" t="inlineStr">
        <is>
          <t>✓ Under ramme</t>
        </is>
      </c>
    </row>
    <row r="15">
      <c r="B15" s="16" t="inlineStr">
        <is>
          <t>Ekskursjonar / Leirskule</t>
        </is>
      </c>
      <c r="C15" s="17" t="n">
        <v>124000</v>
      </c>
      <c r="D15" s="17" t="n">
        <v>124000</v>
      </c>
      <c r="E15" s="17" t="n">
        <v>0</v>
      </c>
      <c r="F15" s="19" t="n">
        <v>0</v>
      </c>
      <c r="G15" s="17" t="n">
        <v>124000</v>
      </c>
      <c r="H15" s="19" t="n">
        <v>1</v>
      </c>
      <c r="I15" s="16" t="inlineStr">
        <is>
          <t>I balanse</t>
        </is>
      </c>
    </row>
    <row r="16">
      <c r="B16" s="20" t="inlineStr">
        <is>
          <t>TOTALT KOMMUNAL SKOLE</t>
        </is>
      </c>
      <c r="C16" s="22">
        <f>SUM(C8:C15)</f>
        <v/>
      </c>
      <c r="D16" s="22">
        <f>SUM(D8:D15)</f>
        <v/>
      </c>
      <c r="E16" s="22">
        <f>SUM(E8:E15)</f>
        <v/>
      </c>
      <c r="F16" s="23">
        <f>IF(D16&gt;0, E16/D16, 0)</f>
        <v/>
      </c>
      <c r="G16" s="22">
        <f>SUM(G8:G15)</f>
        <v/>
      </c>
      <c r="H16" s="23">
        <f>IF(G16&gt;0, C16/G16, 0)</f>
        <v/>
      </c>
      <c r="I16" s="20" t="inlineStr">
        <is>
          <t>🚩 Samlet merforbruk</t>
        </is>
      </c>
    </row>
    <row r="17"/>
    <row r="18"/>
    <row r="19">
      <c r="B19" s="13" t="inlineStr">
        <is>
          <t>2. HOVEDPOSTER &amp; DIAGNOSE (KOSTRA ARTER)</t>
        </is>
      </c>
    </row>
    <row r="20"/>
    <row r="21">
      <c r="B21" s="14" t="inlineStr">
        <is>
          <t>Art Kode</t>
        </is>
      </c>
      <c r="C21" s="14" t="inlineStr">
        <is>
          <t>Kostnadspost / Art</t>
        </is>
      </c>
      <c r="D21" s="14" t="inlineStr">
        <is>
          <t>Kategori</t>
        </is>
      </c>
      <c r="E21" s="15" t="inlineStr">
        <is>
          <t>Budsjett YTD (kr)</t>
        </is>
      </c>
      <c r="F21" s="15" t="inlineStr">
        <is>
          <t>Regnskap YTD (kr)</t>
        </is>
      </c>
      <c r="G21" s="15" t="inlineStr">
        <is>
          <t>Avvik i kr</t>
        </is>
      </c>
      <c r="H21" s="15" t="inlineStr">
        <is>
          <t>Avvik %</t>
        </is>
      </c>
      <c r="I21" s="14" t="inlineStr">
        <is>
          <t>Diagnose &amp; Tiltak</t>
        </is>
      </c>
    </row>
    <row r="22">
      <c r="B22" s="16" t="inlineStr">
        <is>
          <t>1010</t>
        </is>
      </c>
      <c r="C22" s="16" t="inlineStr">
        <is>
          <t>1010 10 Lønn</t>
        </is>
      </c>
      <c r="D22" s="16" t="inlineStr">
        <is>
          <t>Personal</t>
        </is>
      </c>
      <c r="E22" s="17" t="n">
        <v>9782000</v>
      </c>
      <c r="F22" s="17" t="n">
        <v>10999000</v>
      </c>
      <c r="G22" s="18" t="n">
        <v>1217000</v>
      </c>
      <c r="H22" s="19" t="n">
        <v>0.1244121856471069</v>
      </c>
      <c r="I22" s="16" t="inlineStr">
        <is>
          <t>Tiltak S1: Vikarstopp &amp; timeplanjustering</t>
        </is>
      </c>
    </row>
    <row r="23">
      <c r="B23" s="16" t="inlineStr">
        <is>
          <t>1020</t>
        </is>
      </c>
      <c r="C23" s="16" t="inlineStr">
        <is>
          <t>1020 10 Lønn</t>
        </is>
      </c>
      <c r="D23" s="16" t="inlineStr">
        <is>
          <t>Personal</t>
        </is>
      </c>
      <c r="E23" s="17" t="n">
        <v>101000</v>
      </c>
      <c r="F23" s="17" t="n">
        <v>583000</v>
      </c>
      <c r="G23" s="18" t="n">
        <v>482000</v>
      </c>
      <c r="H23" s="19" t="n">
        <v>4.772277227722772</v>
      </c>
      <c r="I23" s="16" t="inlineStr">
        <is>
          <t>Tiltak S1: Vikarstopp &amp; timeplanjustering</t>
        </is>
      </c>
    </row>
    <row r="24">
      <c r="B24" s="16" t="inlineStr">
        <is>
          <t>1090</t>
        </is>
      </c>
      <c r="C24" s="16" t="inlineStr">
        <is>
          <t>1090 10 Lønn</t>
        </is>
      </c>
      <c r="D24" s="16" t="inlineStr">
        <is>
          <t>Personal</t>
        </is>
      </c>
      <c r="E24" s="17" t="n">
        <v>2182000</v>
      </c>
      <c r="F24" s="17" t="n">
        <v>2433000</v>
      </c>
      <c r="G24" s="18" t="n">
        <v>251000</v>
      </c>
      <c r="H24" s="19" t="n">
        <v>0.115032080659945</v>
      </c>
      <c r="I24" s="16" t="inlineStr">
        <is>
          <t>Tiltak S1: Vikarstopp &amp; timeplanjustering</t>
        </is>
      </c>
    </row>
    <row r="25">
      <c r="B25" s="16" t="inlineStr">
        <is>
          <t>1690</t>
        </is>
      </c>
      <c r="C25" s="16" t="inlineStr">
        <is>
          <t>1690 Kompensasjon moms påløpt i driftsregnskapet</t>
        </is>
      </c>
      <c r="D25" s="16" t="inlineStr">
        <is>
          <t>Refusjon</t>
        </is>
      </c>
      <c r="E25" s="17" t="n">
        <v>0</v>
      </c>
      <c r="F25" s="17" t="n">
        <v>194000</v>
      </c>
      <c r="G25" s="18" t="n">
        <v>194000</v>
      </c>
      <c r="H25" s="19" t="n">
        <v>0</v>
      </c>
      <c r="I25" s="16" t="inlineStr">
        <is>
          <t>Tiltak S4: Avstemme sykelønnsrefusjon mot NAV</t>
        </is>
      </c>
    </row>
    <row r="26">
      <c r="B26" s="16" t="inlineStr">
        <is>
          <t>1040</t>
        </is>
      </c>
      <c r="C26" s="16" t="inlineStr">
        <is>
          <t>1040 10 Lønn</t>
        </is>
      </c>
      <c r="D26" s="16" t="inlineStr">
        <is>
          <t>Personal</t>
        </is>
      </c>
      <c r="E26" s="17" t="n">
        <v>19000</v>
      </c>
      <c r="F26" s="17" t="n">
        <v>166000</v>
      </c>
      <c r="G26" s="18" t="n">
        <v>147000</v>
      </c>
      <c r="H26" s="19" t="n">
        <v>7.736842105263158</v>
      </c>
      <c r="I26" s="16" t="inlineStr">
        <is>
          <t>Tiltak S1: Vikarstopp &amp; timeplanjustering</t>
        </is>
      </c>
    </row>
    <row r="27">
      <c r="B27" s="16" t="inlineStr">
        <is>
          <t>1030</t>
        </is>
      </c>
      <c r="C27" s="16" t="inlineStr">
        <is>
          <t>1030 10 Lønn</t>
        </is>
      </c>
      <c r="D27" s="16" t="inlineStr">
        <is>
          <t>Personal</t>
        </is>
      </c>
      <c r="E27" s="17" t="n">
        <v>0</v>
      </c>
      <c r="F27" s="17" t="n">
        <v>97000</v>
      </c>
      <c r="G27" s="18" t="n">
        <v>97000</v>
      </c>
      <c r="H27" s="19" t="n">
        <v>0</v>
      </c>
      <c r="I27" s="16" t="inlineStr">
        <is>
          <t>Tiltak S1: Vikarstopp &amp; timeplanjustering</t>
        </is>
      </c>
    </row>
    <row r="28">
      <c r="B28" s="16" t="inlineStr">
        <is>
          <t>1130</t>
        </is>
      </c>
      <c r="C28" s="16" t="inlineStr">
        <is>
          <t>1130 11 Refusjon lønn</t>
        </is>
      </c>
      <c r="D28" s="16" t="inlineStr">
        <is>
          <t>Refusjon</t>
        </is>
      </c>
      <c r="E28" s="17" t="n">
        <v>151000</v>
      </c>
      <c r="F28" s="17" t="n">
        <v>201000</v>
      </c>
      <c r="G28" s="18" t="n">
        <v>50000</v>
      </c>
      <c r="H28" s="19" t="n">
        <v>0.3311258278145696</v>
      </c>
      <c r="I28" s="16" t="inlineStr">
        <is>
          <t>Tiltak S4: Avstemme sykelønnsrefusjon mot NAV</t>
        </is>
      </c>
    </row>
    <row r="29">
      <c r="B29" s="16" t="inlineStr">
        <is>
          <t>1270</t>
        </is>
      </c>
      <c r="C29" s="16" t="inlineStr">
        <is>
          <t>1270 11 Refusjon lønn</t>
        </is>
      </c>
      <c r="D29" s="16" t="inlineStr">
        <is>
          <t>Refusjon</t>
        </is>
      </c>
      <c r="E29" s="17" t="n">
        <v>0</v>
      </c>
      <c r="F29" s="17" t="n">
        <v>39000</v>
      </c>
      <c r="G29" s="18" t="n">
        <v>39000</v>
      </c>
      <c r="H29" s="19" t="n">
        <v>0</v>
      </c>
      <c r="I29" s="16" t="inlineStr">
        <is>
          <t>Tiltak S4: Avstemme sykelønnsrefusjon mot NAV</t>
        </is>
      </c>
    </row>
    <row r="30">
      <c r="B30" s="16" t="inlineStr">
        <is>
          <t>1110</t>
        </is>
      </c>
      <c r="C30" s="16" t="inlineStr">
        <is>
          <t>1110 11 Refusjon lønn</t>
        </is>
      </c>
      <c r="D30" s="16" t="inlineStr">
        <is>
          <t>Refusjon</t>
        </is>
      </c>
      <c r="E30" s="17" t="n">
        <v>143000</v>
      </c>
      <c r="F30" s="17" t="n">
        <v>135000</v>
      </c>
      <c r="G30" s="17" t="n">
        <v>-8000</v>
      </c>
      <c r="H30" s="19" t="n">
        <v>-0.05594405594405594</v>
      </c>
      <c r="I30" s="16" t="inlineStr">
        <is>
          <t>Tiltak S4: Avstemme sykelønnsrefusjon mot NAV</t>
        </is>
      </c>
    </row>
    <row r="31">
      <c r="B31" s="16" t="inlineStr">
        <is>
          <t>1150</t>
        </is>
      </c>
      <c r="C31" s="16" t="inlineStr">
        <is>
          <t>1150 11 Refusjon lønn</t>
        </is>
      </c>
      <c r="D31" s="16" t="inlineStr">
        <is>
          <t>Refusjon</t>
        </is>
      </c>
      <c r="E31" s="17" t="n">
        <v>753000</v>
      </c>
      <c r="F31" s="17" t="n">
        <v>637000</v>
      </c>
      <c r="G31" s="17" t="n">
        <v>-116000</v>
      </c>
      <c r="H31" s="19" t="n">
        <v>-0.1540504648074369</v>
      </c>
      <c r="I31" s="16" t="inlineStr">
        <is>
          <t>Tiltak S4: Avstemme sykelønnsrefusjon mot NAV</t>
        </is>
      </c>
    </row>
    <row r="32">
      <c r="B32" s="16" t="inlineStr">
        <is>
          <t>1050</t>
        </is>
      </c>
      <c r="C32" s="16" t="inlineStr">
        <is>
          <t>1050 10 Lønn</t>
        </is>
      </c>
      <c r="D32" s="16" t="inlineStr">
        <is>
          <t>Personal</t>
        </is>
      </c>
      <c r="E32" s="17" t="n">
        <v>15000</v>
      </c>
      <c r="F32" s="17" t="n">
        <v>-1339000</v>
      </c>
      <c r="G32" s="17" t="n">
        <v>-1354000</v>
      </c>
      <c r="H32" s="19" t="n">
        <v>-90.26666666666667</v>
      </c>
      <c r="I32" s="16" t="inlineStr">
        <is>
          <t>I henhold til ramme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50" customWidth="1" min="2" max="2"/>
    <col width="24" customWidth="1" min="3" max="3"/>
    <col width="16" customWidth="1" min="4" max="4"/>
    <col width="20" customWidth="1" min="5" max="5"/>
    <col width="20" customWidth="1" min="6" max="6"/>
    <col width="50" customWidth="1" min="7" max="7"/>
    <col width="22" customWidth="1" min="8" max="8"/>
    <col width="50" customWidth="1" min="9" max="9"/>
  </cols>
  <sheetData>
    <row r="1"/>
    <row r="2">
      <c r="B2" s="1" t="inlineStr">
        <is>
          <t>KOMMUNAL BOENHET - 24/7 DØGNBEMANNING &amp; TURNUS (KOSTRA 254)</t>
        </is>
      </c>
    </row>
    <row r="3">
      <c r="B3" s="2" t="inlineStr">
        <is>
          <t>Helse og mestring | Enhetsleder Kommunal Boenhet | Framsikt visning (jfr. boom1.png og boom2.png)</t>
        </is>
      </c>
    </row>
    <row r="4"/>
    <row r="5">
      <c r="B5" s="13" t="inlineStr">
        <is>
          <t>1. MÅNEDLIG AVVIKSUTVIKLING JANUAR-AUGUST (BOOM1.PNG)</t>
        </is>
      </c>
    </row>
    <row r="6"/>
    <row r="7">
      <c r="B7" s="14" t="inlineStr">
        <is>
          <t>Måned</t>
        </is>
      </c>
      <c r="C7" s="15" t="inlineStr">
        <is>
          <t>Budsjett (kr)</t>
        </is>
      </c>
      <c r="D7" s="15" t="inlineStr">
        <is>
          <t>Regnskap (kr)</t>
        </is>
      </c>
      <c r="E7" s="15" t="inlineStr">
        <is>
          <t>Avvik i kr</t>
        </is>
      </c>
      <c r="F7" s="15" t="inlineStr">
        <is>
          <t>Avvik %</t>
        </is>
      </c>
      <c r="G7" s="14" t="inlineStr">
        <is>
          <t>Hendelse / Avviksdiagnose</t>
        </is>
      </c>
    </row>
    <row r="8">
      <c r="B8" s="16" t="inlineStr">
        <is>
          <t>Januar</t>
        </is>
      </c>
      <c r="C8" s="17" t="n">
        <v>1403337</v>
      </c>
      <c r="D8" s="17" t="n">
        <v>1014752</v>
      </c>
      <c r="E8" s="17" t="n">
        <v>388585</v>
      </c>
      <c r="F8" s="19" t="n">
        <v>0.277</v>
      </c>
      <c r="G8" s="16" t="inlineStr">
        <is>
          <t>Stabil grunnbemanning, lavt vikarinnleie</t>
        </is>
      </c>
    </row>
    <row r="9">
      <c r="B9" s="16" t="inlineStr">
        <is>
          <t>Februar</t>
        </is>
      </c>
      <c r="C9" s="17" t="n">
        <v>1410893</v>
      </c>
      <c r="D9" s="17" t="n">
        <v>2082090</v>
      </c>
      <c r="E9" s="18" t="n">
        <v>-671197</v>
      </c>
      <c r="F9" s="19" t="n">
        <v>-0.476</v>
      </c>
      <c r="G9" s="16" t="inlineStr">
        <is>
          <t>🚨 Februarsjokk: Akutt influensatopp, overtid og eksterne vikarbyråer</t>
        </is>
      </c>
    </row>
    <row r="10">
      <c r="B10" s="16" t="inlineStr">
        <is>
          <t>Mars</t>
        </is>
      </c>
      <c r="C10" s="17" t="n">
        <v>1342381</v>
      </c>
      <c r="D10" s="17" t="n">
        <v>1541249</v>
      </c>
      <c r="E10" s="18" t="n">
        <v>-198868</v>
      </c>
      <c r="F10" s="19" t="n">
        <v>-0.148</v>
      </c>
      <c r="G10" s="16" t="inlineStr">
        <is>
          <t>Etterslep i sykefravær og høyt nattillegg</t>
        </is>
      </c>
    </row>
    <row r="11">
      <c r="B11" s="16" t="inlineStr">
        <is>
          <t>April</t>
        </is>
      </c>
      <c r="C11" s="17" t="n">
        <v>2357359</v>
      </c>
      <c r="D11" s="17" t="n">
        <v>2256716</v>
      </c>
      <c r="E11" s="17" t="n">
        <v>100643</v>
      </c>
      <c r="F11" s="19" t="n">
        <v>0.043</v>
      </c>
      <c r="G11" s="16" t="inlineStr">
        <is>
          <t>Feriepengeavstemming og refusjoner</t>
        </is>
      </c>
    </row>
    <row r="12">
      <c r="B12" s="16" t="inlineStr">
        <is>
          <t>Mai</t>
        </is>
      </c>
      <c r="C12" s="17" t="n">
        <v>1544215</v>
      </c>
      <c r="D12" s="17" t="n">
        <v>1613437</v>
      </c>
      <c r="E12" s="18" t="n">
        <v>-69222</v>
      </c>
      <c r="F12" s="19" t="n">
        <v>-0.045</v>
      </c>
      <c r="G12" s="16" t="inlineStr">
        <is>
          <t>Stabilt merforbruk knyttet til 2:1-vedtak</t>
        </is>
      </c>
    </row>
    <row r="13">
      <c r="B13" s="16" t="inlineStr">
        <is>
          <t>Juni</t>
        </is>
      </c>
      <c r="C13" s="17" t="n">
        <v>241681</v>
      </c>
      <c r="D13" s="17" t="n">
        <v>519336</v>
      </c>
      <c r="E13" s="18" t="n">
        <v>-277655</v>
      </c>
      <c r="F13" s="19" t="n">
        <v>-1.149</v>
      </c>
      <c r="G13" s="16" t="inlineStr">
        <is>
          <t>Sommerturnusstart, lavt budsjettgrunnlag</t>
        </is>
      </c>
    </row>
    <row r="14">
      <c r="B14" s="16" t="inlineStr">
        <is>
          <t>Juli</t>
        </is>
      </c>
      <c r="C14" s="17" t="n">
        <v>1512209</v>
      </c>
      <c r="D14" s="17" t="n">
        <v>1837523</v>
      </c>
      <c r="E14" s="18" t="n">
        <v>-325314</v>
      </c>
      <c r="F14" s="19" t="n">
        <v>-0.215</v>
      </c>
      <c r="G14" s="16" t="inlineStr">
        <is>
          <t>Bruk av eksternt vikarbyrå i fellesferien</t>
        </is>
      </c>
    </row>
    <row r="15">
      <c r="B15" s="16" t="inlineStr">
        <is>
          <t>August</t>
        </is>
      </c>
      <c r="C15" s="17" t="n">
        <v>1525162</v>
      </c>
      <c r="D15" s="17" t="n">
        <v>1765810</v>
      </c>
      <c r="E15" s="18" t="n">
        <v>-240648</v>
      </c>
      <c r="F15" s="19" t="n">
        <v>-0.158</v>
      </c>
      <c r="G15" s="16" t="inlineStr">
        <is>
          <t>Siste avsluttede måned: Høyt kvelds-/helgepress</t>
        </is>
      </c>
    </row>
    <row r="16">
      <c r="B16" s="20" t="inlineStr">
        <is>
          <t>YTD T2 AKKUMULERT</t>
        </is>
      </c>
      <c r="C16" s="22">
        <f>SUM(C8:C15)</f>
        <v/>
      </c>
      <c r="D16" s="22">
        <f>SUM(D8:D15)</f>
        <v/>
      </c>
      <c r="E16" s="22">
        <f>SUM(E8:E15)</f>
        <v/>
      </c>
      <c r="F16" s="23">
        <f>IF(C16&gt;0, E16/C16, 0)</f>
        <v/>
      </c>
      <c r="G16" s="20" t="inlineStr">
        <is>
          <t>Akkumulert overforbruk som krever korrigering</t>
        </is>
      </c>
    </row>
    <row r="17"/>
    <row r="18"/>
    <row r="19">
      <c r="B19" s="13" t="inlineStr">
        <is>
          <t>2. TOPP KOSTNADSDRIVERE (ARTERYTD JANUAR-AUGUST)</t>
        </is>
      </c>
    </row>
    <row r="20"/>
    <row r="21">
      <c r="B21" s="14" t="inlineStr">
        <is>
          <t>Kontokode</t>
        </is>
      </c>
      <c r="C21" s="14" t="inlineStr">
        <is>
          <t>Kontonavn</t>
        </is>
      </c>
      <c r="D21" s="14" t="inlineStr">
        <is>
          <t>KOSTRA Art</t>
        </is>
      </c>
      <c r="E21" s="15" t="inlineStr">
        <is>
          <t>Budsjett YTD (kr)</t>
        </is>
      </c>
      <c r="F21" s="15" t="inlineStr">
        <is>
          <t>Regnskap YTD (kr)</t>
        </is>
      </c>
      <c r="G21" s="15" t="inlineStr">
        <is>
          <t>Merforbruk i kr</t>
        </is>
      </c>
      <c r="H21" s="15" t="inlineStr">
        <is>
          <t>Merforbruk %</t>
        </is>
      </c>
      <c r="I21" s="14" t="inlineStr">
        <is>
          <t>Rotårsak &amp; Tiltaksmeny</t>
        </is>
      </c>
    </row>
    <row r="22">
      <c r="B22" s="16" t="inlineStr">
        <is>
          <t>1710</t>
        </is>
      </c>
      <c r="C22" s="16" t="inlineStr">
        <is>
          <t>1710 11 Refusjon lønn</t>
        </is>
      </c>
      <c r="D22" s="16" t="inlineStr">
        <is>
          <t>1710</t>
        </is>
      </c>
      <c r="E22" s="17" t="n">
        <v>-716385</v>
      </c>
      <c r="F22" s="17" t="n">
        <v>732705</v>
      </c>
      <c r="G22" s="18" t="n">
        <v>1449090</v>
      </c>
      <c r="H22" s="19" t="n">
        <v>0</v>
      </c>
      <c r="I22" s="16" t="inlineStr">
        <is>
          <t>Tiltak B5: Søke toppfinansiering ressurskrevende brukere</t>
        </is>
      </c>
    </row>
    <row r="23">
      <c r="B23" s="16" t="inlineStr">
        <is>
          <t>1020</t>
        </is>
      </c>
      <c r="C23" s="16" t="inlineStr">
        <is>
          <t>1020 10 Lønn</t>
        </is>
      </c>
      <c r="D23" s="16" t="inlineStr">
        <is>
          <t>1020</t>
        </is>
      </c>
      <c r="E23" s="17" t="n">
        <v>856632</v>
      </c>
      <c r="F23" s="17" t="n">
        <v>1224900</v>
      </c>
      <c r="G23" s="18" t="n">
        <v>368268</v>
      </c>
      <c r="H23" s="19" t="n">
        <v>0.4299022217241476</v>
      </c>
      <c r="I23" s="16" t="inlineStr">
        <is>
          <t>Tiltak B5: Søke toppfinansiering ressurskrevende brukere</t>
        </is>
      </c>
    </row>
    <row r="24">
      <c r="B24" s="16" t="inlineStr">
        <is>
          <t>1030</t>
        </is>
      </c>
      <c r="C24" s="16" t="inlineStr">
        <is>
          <t>1030 10 Lønn</t>
        </is>
      </c>
      <c r="D24" s="16" t="inlineStr">
        <is>
          <t>1030</t>
        </is>
      </c>
      <c r="E24" s="17" t="n">
        <v>0</v>
      </c>
      <c r="F24" s="17" t="n">
        <v>209540</v>
      </c>
      <c r="G24" s="18" t="n">
        <v>209540</v>
      </c>
      <c r="H24" s="19" t="n">
        <v>0</v>
      </c>
      <c r="I24" s="16" t="inlineStr">
        <is>
          <t>Tiltak B5: Søke toppfinansiering ressurskrevende brukere</t>
        </is>
      </c>
    </row>
    <row r="25">
      <c r="B25" s="16" t="inlineStr">
        <is>
          <t>1010</t>
        </is>
      </c>
      <c r="C25" s="16" t="inlineStr">
        <is>
          <t>1010 10 Lønn</t>
        </is>
      </c>
      <c r="D25" s="16" t="inlineStr">
        <is>
          <t>1010</t>
        </is>
      </c>
      <c r="E25" s="17" t="n">
        <v>7172914</v>
      </c>
      <c r="F25" s="17" t="n">
        <v>7368070</v>
      </c>
      <c r="G25" s="18" t="n">
        <v>195156</v>
      </c>
      <c r="H25" s="19" t="n">
        <v>0.02720735254876888</v>
      </c>
      <c r="I25" s="16" t="inlineStr">
        <is>
          <t>Tiltak B2: Turnusomlegging T3</t>
        </is>
      </c>
    </row>
    <row r="26">
      <c r="B26" s="16" t="inlineStr">
        <is>
          <t>1040</t>
        </is>
      </c>
      <c r="C26" s="16" t="inlineStr">
        <is>
          <t>1040 10 Lønn</t>
        </is>
      </c>
      <c r="D26" s="16" t="inlineStr">
        <is>
          <t>1040</t>
        </is>
      </c>
      <c r="E26" s="17" t="n">
        <v>56504</v>
      </c>
      <c r="F26" s="17" t="n">
        <v>242076</v>
      </c>
      <c r="G26" s="18" t="n">
        <v>185572</v>
      </c>
      <c r="H26" s="19" t="n">
        <v>3.284227665298032</v>
      </c>
      <c r="I26" s="16" t="inlineStr">
        <is>
          <t>Tiltak B2: Turnusomlegging T3</t>
        </is>
      </c>
    </row>
    <row r="27">
      <c r="B27" s="16" t="inlineStr">
        <is>
          <t>1050</t>
        </is>
      </c>
      <c r="C27" s="16" t="inlineStr">
        <is>
          <t>1050 10 Lønn</t>
        </is>
      </c>
      <c r="D27" s="16" t="inlineStr">
        <is>
          <t>1050</t>
        </is>
      </c>
      <c r="E27" s="17" t="n">
        <v>13992</v>
      </c>
      <c r="F27" s="17" t="n">
        <v>125046</v>
      </c>
      <c r="G27" s="18" t="n">
        <v>111054</v>
      </c>
      <c r="H27" s="19" t="n">
        <v>7.936963979416809</v>
      </c>
      <c r="I27" s="16" t="inlineStr">
        <is>
          <t>Tiltak B2: Turnusomlegging T3</t>
        </is>
      </c>
    </row>
    <row r="28">
      <c r="B28" s="16" t="inlineStr">
        <is>
          <t>1099</t>
        </is>
      </c>
      <c r="C28" s="16" t="inlineStr">
        <is>
          <t>1099 10 Lønn</t>
        </is>
      </c>
      <c r="D28" s="16" t="inlineStr">
        <is>
          <t>1099</t>
        </is>
      </c>
      <c r="E28" s="17" t="n">
        <v>1425817</v>
      </c>
      <c r="F28" s="17" t="n">
        <v>1527431</v>
      </c>
      <c r="G28" s="18" t="n">
        <v>101614</v>
      </c>
      <c r="H28" s="19" t="n">
        <v>0.07126721030819523</v>
      </c>
      <c r="I28" s="16" t="inlineStr">
        <is>
          <t>Tiltak B2: Turnusomlegging T3</t>
        </is>
      </c>
    </row>
    <row r="29">
      <c r="B29" s="16" t="inlineStr">
        <is>
          <t>1729</t>
        </is>
      </c>
      <c r="C29" s="16" t="inlineStr">
        <is>
          <t>1729 14 Overføringer</t>
        </is>
      </c>
      <c r="D29" s="16" t="inlineStr">
        <is>
          <t>1729</t>
        </is>
      </c>
      <c r="E29" s="17" t="n">
        <v>-93296</v>
      </c>
      <c r="F29" s="17" t="n">
        <v>-35217</v>
      </c>
      <c r="G29" s="18" t="n">
        <v>58079</v>
      </c>
      <c r="H29" s="19" t="n">
        <v>0</v>
      </c>
      <c r="I29" s="16" t="inlineStr">
        <is>
          <t>Tiltak B2: Turnusomlegging T3</t>
        </is>
      </c>
    </row>
    <row r="30">
      <c r="B30" s="16" t="inlineStr">
        <is>
          <t>1120</t>
        </is>
      </c>
      <c r="C30" s="16" t="inlineStr">
        <is>
          <t>1120 11 Refusjon lønn</t>
        </is>
      </c>
      <c r="D30" s="16" t="inlineStr">
        <is>
          <t>1120</t>
        </is>
      </c>
      <c r="E30" s="17" t="n">
        <v>69056</v>
      </c>
      <c r="F30" s="17" t="n">
        <v>103020</v>
      </c>
      <c r="G30" s="17" t="n">
        <v>33964</v>
      </c>
      <c r="H30" s="19" t="n">
        <v>0.4918327154772938</v>
      </c>
      <c r="I30" s="16" t="inlineStr">
        <is>
          <t>Tiltak B2: Turnusomlegging T3</t>
        </is>
      </c>
    </row>
    <row r="31">
      <c r="B31" s="16" t="inlineStr">
        <is>
          <t>1700</t>
        </is>
      </c>
      <c r="C31" s="16" t="inlineStr">
        <is>
          <t>1700 17 Refusjoner</t>
        </is>
      </c>
      <c r="D31" s="16" t="inlineStr">
        <is>
          <t>1700</t>
        </is>
      </c>
      <c r="E31" s="17" t="n">
        <v>0</v>
      </c>
      <c r="F31" s="17" t="n">
        <v>7100</v>
      </c>
      <c r="G31" s="17" t="n">
        <v>7100</v>
      </c>
      <c r="H31" s="19" t="n">
        <v>0</v>
      </c>
      <c r="I31" s="16" t="inlineStr">
        <is>
          <t>Tiltak B2: Turnusomlegging T3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7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50" customWidth="1" min="2" max="2"/>
    <col width="22" customWidth="1" min="3" max="3"/>
    <col width="50" customWidth="1" min="4" max="4"/>
    <col width="25" customWidth="1" min="5" max="5"/>
    <col width="21" customWidth="1" min="6" max="6"/>
    <col width="23" customWidth="1" min="7" max="7"/>
    <col width="25" customWidth="1" min="8" max="8"/>
    <col width="39" customWidth="1" min="9" max="9"/>
  </cols>
  <sheetData>
    <row r="1"/>
    <row r="2">
      <c r="B2" s="1" t="inlineStr">
        <is>
          <t>KORRIGERENDE TILTAKSMATRISE &amp; NET ZERO BALANSERING</t>
        </is>
      </c>
    </row>
    <row r="3">
      <c r="B3" s="2" t="inlineStr">
        <is>
          <t>Konkrete innsparingstiltak i T3 (Sept-Des) for å oppnå 0 kr i helårsavvik jf. Kommuneloven § 14-5</t>
        </is>
      </c>
    </row>
    <row r="4"/>
    <row r="5">
      <c r="B5" s="13" t="inlineStr">
        <is>
          <t>1. EOY PROGNOSE OG NET ZERO LUKKING</t>
        </is>
      </c>
    </row>
    <row r="6"/>
    <row r="7">
      <c r="B7" s="14" t="inlineStr">
        <is>
          <t>Enhet / Virksomhetsområde</t>
        </is>
      </c>
      <c r="C7" s="15" t="inlineStr">
        <is>
          <t>Vedtatt Årsbudsjett</t>
        </is>
      </c>
      <c r="D7" s="15" t="inlineStr">
        <is>
          <t>Regnskap YTD (T2)</t>
        </is>
      </c>
      <c r="E7" s="14" t="inlineStr">
        <is>
          <t>Run-Rate EOY (Uendret)</t>
        </is>
      </c>
      <c r="F7" s="15" t="inlineStr">
        <is>
          <t>Uavbøtt Avvik EOY</t>
        </is>
      </c>
      <c r="G7" s="15" t="inlineStr">
        <is>
          <t>Tiltak T3 (Sept-Des)</t>
        </is>
      </c>
      <c r="H7" s="15" t="inlineStr">
        <is>
          <t>EOY Regnskap m/ Tiltak</t>
        </is>
      </c>
      <c r="I7" s="14" t="inlineStr">
        <is>
          <t>Sluttavvik 31.12 (Mål)</t>
        </is>
      </c>
    </row>
    <row r="8">
      <c r="B8" s="16" t="inlineStr">
        <is>
          <t>Kommunal Boenhet (Helse)</t>
        </is>
      </c>
      <c r="C8" s="17" t="n">
        <v>17233691</v>
      </c>
      <c r="D8" s="17" t="n">
        <v>12622851</v>
      </c>
      <c r="E8" s="17" t="n">
        <v>19162112</v>
      </c>
      <c r="F8" s="18" t="n">
        <v>-1928421</v>
      </c>
      <c r="G8" s="24" t="n">
        <v>1928421</v>
      </c>
      <c r="H8" s="24" t="n">
        <v>17233691</v>
      </c>
      <c r="I8" s="25" t="n">
        <v>0</v>
      </c>
    </row>
    <row r="9">
      <c r="B9" s="16" t="inlineStr">
        <is>
          <t>Kommunal Skole (Oppvekst)</t>
        </is>
      </c>
      <c r="C9" s="17" t="n">
        <v>27490000</v>
      </c>
      <c r="D9" s="17" t="n">
        <v>18902000</v>
      </c>
      <c r="E9" s="17" t="n">
        <v>28353000</v>
      </c>
      <c r="F9" s="18" t="n">
        <v>-863000</v>
      </c>
      <c r="G9" s="24" t="n">
        <v>863000</v>
      </c>
      <c r="H9" s="24" t="n">
        <v>27490000</v>
      </c>
      <c r="I9" s="25" t="n">
        <v>0</v>
      </c>
    </row>
    <row r="10">
      <c r="B10" s="26" t="inlineStr">
        <is>
          <t>TOTALT KONSOLIDERT</t>
        </is>
      </c>
      <c r="C10" s="22" t="n">
        <v>44723691</v>
      </c>
      <c r="D10" s="22" t="n">
        <v>31524851</v>
      </c>
      <c r="E10" s="22" t="n">
        <v>47515112</v>
      </c>
      <c r="F10" s="27" t="n">
        <v>-2791421</v>
      </c>
      <c r="G10" s="22" t="n">
        <v>2791421</v>
      </c>
      <c r="H10" s="22" t="n">
        <v>44723691</v>
      </c>
      <c r="I10" s="28" t="n">
        <v>0</v>
      </c>
    </row>
    <row r="11"/>
    <row r="12"/>
    <row r="13"/>
    <row r="14">
      <c r="B14" s="13" t="inlineStr">
        <is>
          <t>2. KONKRET TILTAKSMATRISE PER ENHET &amp; ART (SEPTEMBER - DESEMBER)</t>
        </is>
      </c>
    </row>
    <row r="15"/>
    <row r="16">
      <c r="B16" s="14" t="inlineStr">
        <is>
          <t>ID</t>
        </is>
      </c>
      <c r="C16" s="14" t="inlineStr">
        <is>
          <t>Enhet</t>
        </is>
      </c>
      <c r="D16" s="15" t="inlineStr">
        <is>
          <t>Tiltaksbeskrivelse</t>
        </is>
      </c>
      <c r="E16" s="14" t="inlineStr">
        <is>
          <t>KOSTRA-Art</t>
        </is>
      </c>
      <c r="F16" s="14" t="inlineStr">
        <is>
          <t>Ansvarlig Leder</t>
        </is>
      </c>
      <c r="G16" s="15" t="inlineStr">
        <is>
          <t>Månedlig Takt (kr)</t>
        </is>
      </c>
      <c r="H16" s="15" t="inlineStr">
        <is>
          <t>Total Effekt T3 (kr)</t>
        </is>
      </c>
      <c r="I16" s="15" t="inlineStr">
        <is>
          <t>Styringsmessig Forankring</t>
        </is>
      </c>
    </row>
    <row r="17">
      <c r="B17" s="16" t="inlineStr">
        <is>
          <t>B1</t>
        </is>
      </c>
      <c r="C17" s="16" t="inlineStr">
        <is>
          <t>Kommunal Boenhet</t>
        </is>
      </c>
      <c r="D17" s="16" t="inlineStr">
        <is>
          <t>Totalstopp for eksterne vikarbyråer (Adecco/Dedicate); overgang til intern pool</t>
        </is>
      </c>
      <c r="E17" s="16" t="inlineStr">
        <is>
          <t>127040</t>
        </is>
      </c>
      <c r="F17" s="16" t="inlineStr">
        <is>
          <t>Enhetsleder</t>
        </is>
      </c>
      <c r="G17" s="17" t="n">
        <v>125000</v>
      </c>
      <c r="H17" s="24" t="n">
        <v>500000</v>
      </c>
      <c r="I17" s="16" t="inlineStr">
        <is>
          <t>Rammeavtalebehov avslått</t>
        </is>
      </c>
    </row>
    <row r="18">
      <c r="B18" s="16" t="inlineStr">
        <is>
          <t>B2</t>
        </is>
      </c>
      <c r="C18" s="16" t="inlineStr">
        <is>
          <t>Kommunal Boenhet</t>
        </is>
      </c>
      <c r="D18" s="16" t="inlineStr">
        <is>
          <t>Turnusomlegging &amp; forhåndsavtalt helgedekning, kutt i kveld/nattillegg</t>
        </is>
      </c>
      <c r="E18" s="16" t="inlineStr">
        <is>
          <t>102030/31</t>
        </is>
      </c>
      <c r="F18" s="16" t="inlineStr">
        <is>
          <t>Avdelingsleder</t>
        </is>
      </c>
      <c r="G18" s="17" t="n">
        <v>110000</v>
      </c>
      <c r="H18" s="24" t="n">
        <v>440000</v>
      </c>
      <c r="I18" s="16" t="inlineStr">
        <is>
          <t>Drøftet med tillitsvalgte</t>
        </is>
      </c>
    </row>
    <row r="19">
      <c r="B19" s="16" t="inlineStr">
        <is>
          <t>B3</t>
        </is>
      </c>
      <c r="C19" s="16" t="inlineStr">
        <is>
          <t>Kommunal Boenhet</t>
        </is>
      </c>
      <c r="D19" s="16" t="inlineStr">
        <is>
          <t>Restriktiv overtidskontroll &amp; ledergodkjenning før ekstra vakter</t>
        </is>
      </c>
      <c r="E19" s="16" t="inlineStr">
        <is>
          <t>104000</t>
        </is>
      </c>
      <c r="F19" s="16" t="inlineStr">
        <is>
          <t>Enhetsleder</t>
        </is>
      </c>
      <c r="G19" s="17" t="n">
        <v>95000</v>
      </c>
      <c r="H19" s="24" t="n">
        <v>380000</v>
      </c>
      <c r="I19" s="16" t="inlineStr">
        <is>
          <t>Digital timeregistrering</t>
        </is>
      </c>
    </row>
    <row r="20">
      <c r="B20" s="16" t="inlineStr">
        <is>
          <t>B4</t>
        </is>
      </c>
      <c r="C20" s="16" t="inlineStr">
        <is>
          <t>Kommunal Boenhet</t>
        </is>
      </c>
      <c r="D20" s="16" t="inlineStr">
        <is>
          <t>Intensivert sykefraværsoppfølging (IA) og full avstemming av NAV-sykepenger</t>
        </is>
      </c>
      <c r="E20" s="16" t="inlineStr">
        <is>
          <t>102000/1690</t>
        </is>
      </c>
      <c r="F20" s="16" t="inlineStr">
        <is>
          <t>HR / Enhetsleder</t>
        </is>
      </c>
      <c r="G20" s="17" t="n">
        <v>100000</v>
      </c>
      <c r="H20" s="24" t="n">
        <v>400000</v>
      </c>
      <c r="I20" s="16" t="inlineStr">
        <is>
          <t>Månedlig Altinn-avstemming</t>
        </is>
      </c>
    </row>
    <row r="21">
      <c r="B21" s="16" t="inlineStr">
        <is>
          <t>B5</t>
        </is>
      </c>
      <c r="C21" s="16" t="inlineStr">
        <is>
          <t>Kommunal Boenhet</t>
        </is>
      </c>
      <c r="D21" s="16" t="inlineStr">
        <is>
          <t>Toppfinansiering ressurskrevende tjenester for 2 beboere m/ 2:1-bemanning</t>
        </is>
      </c>
      <c r="E21" s="16" t="inlineStr">
        <is>
          <t>170000</t>
        </is>
      </c>
      <c r="F21" s="16" t="inlineStr">
        <is>
          <t>Kommunalsjef</t>
        </is>
      </c>
      <c r="G21" s="17" t="n">
        <v>52105</v>
      </c>
      <c r="H21" s="24" t="n">
        <v>208421</v>
      </c>
      <c r="I21" s="16" t="inlineStr">
        <is>
          <t>Søknad Helse- og omsorgsdep.</t>
        </is>
      </c>
    </row>
    <row r="22">
      <c r="B22" s="16" t="inlineStr">
        <is>
          <t>S1</t>
        </is>
      </c>
      <c r="C22" s="16" t="inlineStr">
        <is>
          <t>Kommunal Skole</t>
        </is>
      </c>
      <c r="D22" s="16" t="inlineStr">
        <is>
          <t>Stopp i eksterne lærervikarer; intern timebytte og ressursomdisponering</t>
        </is>
      </c>
      <c r="E22" s="16" t="inlineStr">
        <is>
          <t>1020</t>
        </is>
      </c>
      <c r="F22" s="16" t="inlineStr">
        <is>
          <t>Rektor</t>
        </is>
      </c>
      <c r="G22" s="17" t="n">
        <v>125000</v>
      </c>
      <c r="H22" s="24" t="n">
        <v>500000</v>
      </c>
      <c r="I22" s="16" t="inlineStr">
        <is>
          <t>Fagledermøte / leseplikt</t>
        </is>
      </c>
    </row>
    <row r="23">
      <c r="B23" s="16" t="inlineStr">
        <is>
          <t>S2</t>
        </is>
      </c>
      <c r="C23" s="16" t="inlineStr">
        <is>
          <t>Kommunal Skole</t>
        </is>
      </c>
      <c r="D23" s="16" t="inlineStr">
        <is>
          <t>Timeplanoptimalisering: Sammenslåing av paralleller og kutt i ekstrahjelp</t>
        </is>
      </c>
      <c r="E23" s="16" t="inlineStr">
        <is>
          <t>1030</t>
        </is>
      </c>
      <c r="F23" s="16" t="inlineStr">
        <is>
          <t>Undervisningsinsp.</t>
        </is>
      </c>
      <c r="G23" s="17" t="n">
        <v>75000</v>
      </c>
      <c r="H23" s="24" t="n">
        <v>300000</v>
      </c>
      <c r="I23" s="16" t="inlineStr">
        <is>
          <t>Timeplanlegger revidert</t>
        </is>
      </c>
    </row>
    <row r="24">
      <c r="B24" s="16" t="inlineStr">
        <is>
          <t>S3</t>
        </is>
      </c>
      <c r="C24" s="16" t="inlineStr">
        <is>
          <t>Kommunal Skole</t>
        </is>
      </c>
      <c r="D24" s="16" t="inlineStr">
        <is>
          <t>Innkjøpsfrys på IKT-utstyr, nye læremidler, inventar og administrative driftsmidler</t>
        </is>
      </c>
      <c r="E24" s="16" t="inlineStr">
        <is>
          <t>1110-1200</t>
        </is>
      </c>
      <c r="F24" s="16" t="inlineStr">
        <is>
          <t>Rektor / Admin</t>
        </is>
      </c>
      <c r="G24" s="17" t="n">
        <v>50000</v>
      </c>
      <c r="H24" s="24" t="n">
        <v>200000</v>
      </c>
      <c r="I24" s="16" t="inlineStr">
        <is>
          <t>Kun akutt materiell tillates</t>
        </is>
      </c>
    </row>
    <row r="25">
      <c r="B25" s="16" t="inlineStr">
        <is>
          <t>S4</t>
        </is>
      </c>
      <c r="C25" s="16" t="inlineStr">
        <is>
          <t>Kommunal Skole</t>
        </is>
      </c>
      <c r="D25" s="16" t="inlineStr">
        <is>
          <t>Aktiv purring og full avstemming av utestående NAV sykelønnsrefusjoner</t>
        </is>
      </c>
      <c r="E25" s="16" t="inlineStr">
        <is>
          <t>1690</t>
        </is>
      </c>
      <c r="F25" s="16" t="inlineStr">
        <is>
          <t>Skolesekretær/HR</t>
        </is>
      </c>
      <c r="G25" s="17" t="n">
        <v>62500</v>
      </c>
      <c r="H25" s="24" t="n">
        <v>250000</v>
      </c>
      <c r="I25" s="16" t="inlineStr">
        <is>
          <t>NAV forvaltning avstemt</t>
        </is>
      </c>
    </row>
    <row r="26">
      <c r="B26" s="16" t="inlineStr">
        <is>
          <t>S5</t>
        </is>
      </c>
      <c r="C26" s="16" t="inlineStr">
        <is>
          <t>Kommunal Skole</t>
        </is>
      </c>
      <c r="D26" s="16" t="inlineStr">
        <is>
          <t>Samordning av spesialpedagogiske timer og assistentressurser på tvers av trinn</t>
        </is>
      </c>
      <c r="E26" s="16" t="inlineStr">
        <is>
          <t>1010</t>
        </is>
      </c>
      <c r="F26" s="16" t="inlineStr">
        <is>
          <t>Avdelingsleder</t>
        </is>
      </c>
      <c r="G26" s="17" t="n">
        <v>41500</v>
      </c>
      <c r="H26" s="24" t="n">
        <v>166000</v>
      </c>
      <c r="I26" s="16" t="inlineStr">
        <is>
          <t>PPT og skolehelsetjeneste</t>
        </is>
      </c>
    </row>
    <row r="27">
      <c r="B27" s="20" t="inlineStr">
        <is>
          <t>TOTALT</t>
        </is>
      </c>
      <c r="C27" s="20" t="n"/>
      <c r="D27" s="20" t="inlineStr">
        <is>
          <t>SAMLET REALISERT TILTAKSEFFEKT I T3</t>
        </is>
      </c>
      <c r="E27" s="20" t="n"/>
      <c r="F27" s="20" t="n"/>
      <c r="G27" s="22">
        <f>SUM(G17:G26)</f>
        <v/>
      </c>
      <c r="H27" s="22">
        <f>SUM(H17:H26)</f>
        <v/>
      </c>
      <c r="I27" s="20" t="inlineStr">
        <is>
          <t>Garanterer 0 kr i avvik (Net Zero) ✓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9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50" customWidth="1" min="2" max="2"/>
    <col width="22" customWidth="1" min="3" max="3"/>
    <col width="10" customWidth="1" min="4" max="4"/>
    <col width="23" customWidth="1" min="5" max="5"/>
    <col width="22" customWidth="1" min="6" max="6"/>
    <col width="50" customWidth="1" min="7" max="7"/>
    <col width="12" customWidth="1" min="8" max="8"/>
    <col width="19" customWidth="1" min="9" max="9"/>
    <col width="50" customWidth="1" min="10" max="10"/>
    <col width="37" customWidth="1" min="11" max="11"/>
    <col width="15" customWidth="1" min="12" max="12"/>
  </cols>
  <sheetData>
    <row r="1"/>
    <row r="2">
      <c r="B2" s="1" t="inlineStr">
        <is>
          <t>AUDIT TRAIL: ANSVARLIG AI &amp; HUMAN-IN-THE-LOOP (HITL)</t>
        </is>
      </c>
    </row>
    <row r="3">
      <c r="B3" s="2" t="inlineStr">
        <is>
          <t>Sporbarhet for beslutningsstøtte jf. EU AI Act Art. 27 &amp; Kommuneloven § 14-5</t>
        </is>
      </c>
    </row>
    <row r="4"/>
    <row r="5">
      <c r="B5" s="14" t="inlineStr">
        <is>
          <t>Logg ID</t>
        </is>
      </c>
      <c r="C5" s="14" t="inlineStr">
        <is>
          <t>Tidsstempel</t>
        </is>
      </c>
      <c r="D5" s="14" t="inlineStr">
        <is>
          <t>Enhet</t>
        </is>
      </c>
      <c r="E5" s="14" t="inlineStr">
        <is>
          <t>AI Modell</t>
        </is>
      </c>
      <c r="F5" s="15" t="inlineStr">
        <is>
          <t>Prognose Avvik (kr)</t>
        </is>
      </c>
      <c r="G5" s="14" t="inlineStr">
        <is>
          <t>Foreslått Tiltak</t>
        </is>
      </c>
      <c r="H5" s="15" t="inlineStr">
        <is>
          <t>Konfidens</t>
        </is>
      </c>
      <c r="I5" s="14" t="inlineStr">
        <is>
          <t>Leder Beslutning</t>
        </is>
      </c>
      <c r="J5" s="14" t="inlineStr">
        <is>
          <t>Begrunnelse</t>
        </is>
      </c>
      <c r="K5" s="14" t="inlineStr">
        <is>
          <t>Saksbehandler</t>
        </is>
      </c>
      <c r="L5" s="14" t="inlineStr">
        <is>
          <t>IP-Adresse</t>
        </is>
      </c>
    </row>
    <row r="6">
      <c r="B6" s="16" t="n">
        <v>1</v>
      </c>
      <c r="C6" s="16" t="inlineStr">
        <is>
          <t>2024-08-20 09:15:00</t>
        </is>
      </c>
      <c r="D6" s="16" t="inlineStr">
        <is>
          <t>2020</t>
        </is>
      </c>
      <c r="E6" s="16" t="inlineStr">
        <is>
          <t>Antigravity-EPM-v2.4</t>
        </is>
      </c>
      <c r="F6" s="17" t="n">
        <v>116000</v>
      </c>
      <c r="G6" s="16" t="inlineStr">
        <is>
          <t>Tiltak A: Automatisk purring og avstemming mot NAV for utestående sykelønnsrefusjon (art 1690). Est. likviditetseffekt: kr 28 000.</t>
        </is>
      </c>
      <c r="H6" s="19" t="n">
        <v>0.9399999999999999</v>
      </c>
      <c r="I6" s="16" t="inlineStr">
        <is>
          <t>GODKJENT</t>
        </is>
      </c>
      <c r="J6" s="16" t="inlineStr">
        <is>
          <t>Avstemt mot lønnsavdelingen. Saksbehandler sendte purring via Altinn.</t>
        </is>
      </c>
      <c r="K6" s="16" t="inlineStr">
        <is>
          <t>Rektor Mevold Grunnskole</t>
        </is>
      </c>
      <c r="L6" s="16" t="inlineStr">
        <is>
          <t>10.140.22.15</t>
        </is>
      </c>
    </row>
    <row r="7">
      <c r="B7" s="16" t="n">
        <v>2</v>
      </c>
      <c r="C7" s="16" t="inlineStr">
        <is>
          <t>2024-08-20 09:30:00</t>
        </is>
      </c>
      <c r="D7" s="16" t="inlineStr">
        <is>
          <t>2020</t>
        </is>
      </c>
      <c r="E7" s="16" t="inlineStr">
        <is>
          <t>Antigravity-EPM-v2.4</t>
        </is>
      </c>
      <c r="F7" s="17" t="n">
        <v>116000</v>
      </c>
      <c r="G7" s="16" t="inlineStr">
        <is>
          <t>Tiltak B: Midlertidig frys i ikke-kritiske rammeavtaleinnkjøp på art 1200 fram til T2. Forventet innsparing: kr 15 000.</t>
        </is>
      </c>
      <c r="H7" s="19" t="n">
        <v>0.88</v>
      </c>
      <c r="I7" s="16" t="inlineStr">
        <is>
          <t>GODKJENT</t>
        </is>
      </c>
      <c r="J7" s="16" t="inlineStr">
        <is>
          <t>Godkjent i samråd med controller. Kun akutte driftsartikler tillates.</t>
        </is>
      </c>
      <c r="K7" s="16" t="inlineStr">
        <is>
          <t>Rektor Mevold Grunnskole</t>
        </is>
      </c>
      <c r="L7" s="16" t="inlineStr">
        <is>
          <t>10.140.22.15</t>
        </is>
      </c>
    </row>
    <row r="8">
      <c r="B8" s="16" t="n">
        <v>3</v>
      </c>
      <c r="C8" s="16" t="inlineStr">
        <is>
          <t>2024-08-22 14:10:00</t>
        </is>
      </c>
      <c r="D8" s="16" t="inlineStr">
        <is>
          <t>2540</t>
        </is>
      </c>
      <c r="E8" s="16" t="inlineStr">
        <is>
          <t>Antigravity-EPM-v2.4</t>
        </is>
      </c>
      <c r="F8" s="17" t="n">
        <v>1285614</v>
      </c>
      <c r="G8" s="16" t="inlineStr">
        <is>
          <t>Tiltak A: Obligatorisk bruk av kommunens interne vikarpool framfor eksterne byråer (art 127040) for helgevakter. Est. innsparing: kr 380 000.</t>
        </is>
      </c>
      <c r="H8" s="19" t="n">
        <v>0.96</v>
      </c>
      <c r="I8" s="16" t="inlineStr">
        <is>
          <t>GODKJENT</t>
        </is>
      </c>
      <c r="J8" s="16" t="inlineStr">
        <is>
          <t>Avtale inngått med enhetsleder om direkte prioritering via bemanningssenteret.</t>
        </is>
      </c>
      <c r="K8" s="16" t="inlineStr">
        <is>
          <t>Enhetsleder Slettheia Bofellesskap</t>
        </is>
      </c>
      <c r="L8" s="16" t="inlineStr">
        <is>
          <t>10.140.45.88</t>
        </is>
      </c>
    </row>
    <row r="9">
      <c r="B9" s="16" t="n">
        <v>4</v>
      </c>
      <c r="C9" s="16" t="inlineStr">
        <is>
          <t>2024-08-22 14:45:00</t>
        </is>
      </c>
      <c r="D9" s="16" t="inlineStr">
        <is>
          <t>2540</t>
        </is>
      </c>
      <c r="E9" s="16" t="inlineStr">
        <is>
          <t>Antigravity-EPM-v2.4</t>
        </is>
      </c>
      <c r="F9" s="17" t="n">
        <v>1285614</v>
      </c>
      <c r="G9" s="16" t="inlineStr">
        <is>
          <t>Tiltak B: Fremme sak om delvis dekning fra Toppfinansieringsordningen for ressurskrevende tjenester for 2 nye beboere med 2:1-bemanning.</t>
        </is>
      </c>
      <c r="H9" s="19" t="n">
        <v>0.91</v>
      </c>
      <c r="I9" s="16" t="inlineStr">
        <is>
          <t>GODKJENT</t>
        </is>
      </c>
      <c r="J9" s="16" t="inlineStr">
        <is>
          <t>Dokumentasjon og vedtak samlet. Overleveres helse- og mestringsdirektør for formell innmelding.</t>
        </is>
      </c>
      <c r="K9" s="16" t="inlineStr">
        <is>
          <t>Kommunalsjef Helse og mestring</t>
        </is>
      </c>
      <c r="L9" s="16" t="inlineStr">
        <is>
          <t>10.140.10.2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251"/>
  <sheetViews>
    <sheetView workbookViewId="0">
      <selection activeCell="A1" sqref="A1"/>
    </sheetView>
  </sheetViews>
  <sheetFormatPr baseColWidth="8" defaultRowHeight="15"/>
  <cols>
    <col width="50" customWidth="1" min="1" max="1"/>
    <col width="27" customWidth="1" min="2" max="2"/>
    <col width="15" customWidth="1" min="3" max="3"/>
    <col width="10" customWidth="1" min="4" max="4"/>
    <col width="13" customWidth="1" min="5" max="5"/>
    <col width="11" customWidth="1" min="6" max="6"/>
    <col width="13" customWidth="1" min="7" max="7"/>
    <col width="18" customWidth="1" min="8" max="8"/>
    <col width="17" customWidth="1" min="9" max="9"/>
    <col width="22" customWidth="1" min="10" max="10"/>
  </cols>
  <sheetData>
    <row r="1">
      <c r="A1" t="inlineStr">
        <is>
          <t>transaksjon_id</t>
        </is>
      </c>
      <c r="B1" t="inlineStr">
        <is>
          <t>kilde_system</t>
        </is>
      </c>
      <c r="C1" t="inlineStr">
        <is>
          <t>funksjon_key</t>
        </is>
      </c>
      <c r="D1" t="inlineStr">
        <is>
          <t>art_key</t>
        </is>
      </c>
      <c r="E1" t="inlineStr">
        <is>
          <t>ansvar_key</t>
        </is>
      </c>
      <c r="F1" t="inlineStr">
        <is>
          <t>dato_key</t>
        </is>
      </c>
      <c r="G1" t="inlineStr">
        <is>
          <t>belop</t>
        </is>
      </c>
      <c r="H1" t="inlineStr">
        <is>
          <t>korrigert_belop</t>
        </is>
      </c>
      <c r="I1" t="inlineStr">
        <is>
          <t>budsjett_belop</t>
        </is>
      </c>
      <c r="J1" t="inlineStr">
        <is>
          <t>avvik_belop</t>
        </is>
      </c>
    </row>
    <row r="2">
      <c r="A2" t="inlineStr">
        <is>
          <t>3934914451855a024fdaebcb0fa4d175fb02cc34e18ef233e19903516644216b</t>
        </is>
      </c>
      <c r="B2" t="inlineStr">
        <is>
          <t>Visma Enterprise (BOOM)</t>
        </is>
      </c>
      <c r="C2" t="n">
        <v>6</v>
      </c>
      <c r="D2" t="n">
        <v>1</v>
      </c>
      <c r="E2" t="n">
        <v>8</v>
      </c>
      <c r="F2" t="n">
        <v>20240101</v>
      </c>
      <c r="G2" t="n">
        <v>659882.34</v>
      </c>
      <c r="H2" t="n">
        <v>659882.34</v>
      </c>
      <c r="I2" t="n">
        <v>821676</v>
      </c>
      <c r="J2" t="n">
        <v>-161793.66</v>
      </c>
    </row>
    <row r="3">
      <c r="A3" t="inlineStr">
        <is>
          <t>b07b1d84b9e4674d928c13d3f85ae4980f9ab7cc180ac3565f13a738d72a52c0</t>
        </is>
      </c>
      <c r="B3" t="inlineStr">
        <is>
          <t>Visma Enterprise (BOOM)</t>
        </is>
      </c>
      <c r="C3" t="n">
        <v>6</v>
      </c>
      <c r="D3" t="n">
        <v>1</v>
      </c>
      <c r="E3" t="n">
        <v>8</v>
      </c>
      <c r="F3" t="n">
        <v>20240201</v>
      </c>
      <c r="G3" t="n">
        <v>956490.83</v>
      </c>
      <c r="H3" t="n">
        <v>956490.83</v>
      </c>
      <c r="I3" t="n">
        <v>821676</v>
      </c>
      <c r="J3" t="n">
        <v>134814.83</v>
      </c>
    </row>
    <row r="4">
      <c r="A4" t="inlineStr">
        <is>
          <t>660c78d2707ed36f93df550fc1f5512811dd55945937e81e9460dea378aee725</t>
        </is>
      </c>
      <c r="B4" t="inlineStr">
        <is>
          <t>Visma Enterprise (BOOM)</t>
        </is>
      </c>
      <c r="C4" t="n">
        <v>6</v>
      </c>
      <c r="D4" t="n">
        <v>1</v>
      </c>
      <c r="E4" t="n">
        <v>8</v>
      </c>
      <c r="F4" t="n">
        <v>20240301</v>
      </c>
      <c r="G4" t="n">
        <v>923021.33</v>
      </c>
      <c r="H4" t="n">
        <v>923021.33</v>
      </c>
      <c r="I4" t="n">
        <v>821676</v>
      </c>
      <c r="J4" t="n">
        <v>101345.33</v>
      </c>
    </row>
    <row r="5">
      <c r="A5" t="inlineStr">
        <is>
          <t>f38935a5a773f3b530ed3ee3c2a3f490437b7deff0e8be90860a34efb47fb7f8</t>
        </is>
      </c>
      <c r="B5" t="inlineStr">
        <is>
          <t>Visma Enterprise (BOOM)</t>
        </is>
      </c>
      <c r="C5" t="n">
        <v>6</v>
      </c>
      <c r="D5" t="n">
        <v>1</v>
      </c>
      <c r="E5" t="n">
        <v>8</v>
      </c>
      <c r="F5" t="n">
        <v>20240401</v>
      </c>
      <c r="G5" t="n">
        <v>804796.85</v>
      </c>
      <c r="H5" t="n">
        <v>804796.85</v>
      </c>
      <c r="I5" t="n">
        <v>821676</v>
      </c>
      <c r="J5" t="n">
        <v>-16879.15000000002</v>
      </c>
    </row>
    <row r="6">
      <c r="A6" t="inlineStr">
        <is>
          <t>1766f1c48581d4bce66e8692aecd59179f89a2e14dd504b013b22815b0e5c136</t>
        </is>
      </c>
      <c r="B6" t="inlineStr">
        <is>
          <t>Visma Enterprise (BOOM)</t>
        </is>
      </c>
      <c r="C6" t="n">
        <v>6</v>
      </c>
      <c r="D6" t="n">
        <v>1</v>
      </c>
      <c r="E6" t="n">
        <v>8</v>
      </c>
      <c r="F6" t="n">
        <v>20240501</v>
      </c>
      <c r="G6" t="n">
        <v>920235.95</v>
      </c>
      <c r="H6" t="n">
        <v>920235.95</v>
      </c>
      <c r="I6" t="n">
        <v>857162</v>
      </c>
      <c r="J6" t="n">
        <v>63073.94999999995</v>
      </c>
    </row>
    <row r="7">
      <c r="A7" t="inlineStr">
        <is>
          <t>3c804b818951dd69bdcf665e2521843e01bdbf4507e8948cfb8f593714130196</t>
        </is>
      </c>
      <c r="B7" t="inlineStr">
        <is>
          <t>Visma Enterprise (BOOM)</t>
        </is>
      </c>
      <c r="C7" t="n">
        <v>6</v>
      </c>
      <c r="D7" t="n">
        <v>1</v>
      </c>
      <c r="E7" t="n">
        <v>8</v>
      </c>
      <c r="F7" t="n">
        <v>20240601</v>
      </c>
      <c r="G7" t="n">
        <v>111858.5</v>
      </c>
      <c r="H7" t="n">
        <v>111858.5</v>
      </c>
      <c r="I7" t="n">
        <v>-126322</v>
      </c>
      <c r="J7" t="n">
        <v>238180.5</v>
      </c>
    </row>
    <row r="8">
      <c r="A8" t="inlineStr">
        <is>
          <t>2f35c31f535771b8d5596aa11e531dee62924e7301157632d72c3f11ae4bbbde</t>
        </is>
      </c>
      <c r="B8" t="inlineStr">
        <is>
          <t>Visma Enterprise (BOOM)</t>
        </is>
      </c>
      <c r="C8" t="n">
        <v>6</v>
      </c>
      <c r="D8" t="n">
        <v>1</v>
      </c>
      <c r="E8" t="n">
        <v>8</v>
      </c>
      <c r="F8" t="n">
        <v>20240701</v>
      </c>
      <c r="G8" t="n">
        <v>953189.12</v>
      </c>
      <c r="H8" t="n">
        <v>953189.12</v>
      </c>
      <c r="I8" t="n">
        <v>857144</v>
      </c>
      <c r="J8" t="n">
        <v>96045.12</v>
      </c>
    </row>
    <row r="9">
      <c r="A9" t="inlineStr">
        <is>
          <t>8dd5a77e160216ebdbf10f3131d749e670839708e98b19950641eb2e712a9d2a</t>
        </is>
      </c>
      <c r="B9" t="inlineStr">
        <is>
          <t>Visma Enterprise (BOOM)</t>
        </is>
      </c>
      <c r="C9" t="n">
        <v>6</v>
      </c>
      <c r="D9" t="n">
        <v>1</v>
      </c>
      <c r="E9" t="n">
        <v>8</v>
      </c>
      <c r="F9" t="n">
        <v>20240801</v>
      </c>
      <c r="G9" t="n">
        <v>877293.6899999999</v>
      </c>
      <c r="H9" t="n">
        <v>877293.6899999999</v>
      </c>
      <c r="I9" t="n">
        <v>857162</v>
      </c>
      <c r="J9" t="n">
        <v>20131.68999999994</v>
      </c>
    </row>
    <row r="10">
      <c r="A10" t="inlineStr">
        <is>
          <t>9cc412cf9894fa1bdd7278f1a67496cf207e0b05678098def950fbf8e48199c9</t>
        </is>
      </c>
      <c r="B10" t="inlineStr">
        <is>
          <t>Visma Enterprise (BOOM)</t>
        </is>
      </c>
      <c r="C10" t="n">
        <v>6</v>
      </c>
      <c r="D10" t="n">
        <v>1</v>
      </c>
      <c r="E10" t="n">
        <v>8</v>
      </c>
      <c r="F10" t="n">
        <v>20240901</v>
      </c>
      <c r="G10" t="n">
        <v>0</v>
      </c>
      <c r="H10" t="n">
        <v>0</v>
      </c>
      <c r="I10" t="n">
        <v>857162</v>
      </c>
      <c r="J10" t="n">
        <v>-857162</v>
      </c>
    </row>
    <row r="11">
      <c r="A11" t="inlineStr">
        <is>
          <t>a2a1bbb15c0cdb4417675e052064ddd0cfb5c53872395b084004491e388b7f8f</t>
        </is>
      </c>
      <c r="B11" t="inlineStr">
        <is>
          <t>Visma Enterprise (BOOM)</t>
        </is>
      </c>
      <c r="C11" t="n">
        <v>6</v>
      </c>
      <c r="D11" t="n">
        <v>1</v>
      </c>
      <c r="E11" t="n">
        <v>8</v>
      </c>
      <c r="F11" t="n">
        <v>20241001</v>
      </c>
      <c r="G11" t="n">
        <v>0</v>
      </c>
      <c r="H11" t="n">
        <v>0</v>
      </c>
      <c r="I11" t="n">
        <v>857162</v>
      </c>
      <c r="J11" t="n">
        <v>-857162</v>
      </c>
    </row>
    <row r="12">
      <c r="A12" t="inlineStr">
        <is>
          <t>a6308f3bc3997eb76925d3e97fdbded753ee4ea07e555ae8fe980af08dc6d438</t>
        </is>
      </c>
      <c r="B12" t="inlineStr">
        <is>
          <t>Visma Enterprise (BOOM)</t>
        </is>
      </c>
      <c r="C12" t="n">
        <v>6</v>
      </c>
      <c r="D12" t="n">
        <v>1</v>
      </c>
      <c r="E12" t="n">
        <v>8</v>
      </c>
      <c r="F12" t="n">
        <v>20241101</v>
      </c>
      <c r="G12" t="n">
        <v>0</v>
      </c>
      <c r="H12" t="n">
        <v>0</v>
      </c>
      <c r="I12" t="n">
        <v>857162</v>
      </c>
      <c r="J12" t="n">
        <v>-857162</v>
      </c>
    </row>
    <row r="13">
      <c r="A13" t="inlineStr">
        <is>
          <t>f9b72707742856614aad70e146715bdb65a12e5f8b7b6718dee6359bc8ca9dc4</t>
        </is>
      </c>
      <c r="B13" t="inlineStr">
        <is>
          <t>Visma Enterprise (BOOM)</t>
        </is>
      </c>
      <c r="C13" t="n">
        <v>6</v>
      </c>
      <c r="D13" t="n">
        <v>1</v>
      </c>
      <c r="E13" t="n">
        <v>8</v>
      </c>
      <c r="F13" t="n">
        <v>20241201</v>
      </c>
      <c r="G13" t="n">
        <v>0</v>
      </c>
      <c r="H13" t="n">
        <v>0</v>
      </c>
      <c r="I13" t="n">
        <v>857364</v>
      </c>
      <c r="J13" t="n">
        <v>-857364</v>
      </c>
    </row>
    <row r="14">
      <c r="A14" t="inlineStr">
        <is>
          <t>5539b789e3ac2ed52cbba3c7dbf2af91fb7bb173aa323ff1e4e4a5e498ba6c7a</t>
        </is>
      </c>
      <c r="B14" t="inlineStr">
        <is>
          <t>Visma Enterprise (BOOM)</t>
        </is>
      </c>
      <c r="C14" t="n">
        <v>6</v>
      </c>
      <c r="D14" t="n">
        <v>1</v>
      </c>
      <c r="E14" t="n">
        <v>8</v>
      </c>
      <c r="F14" t="n">
        <v>20240101</v>
      </c>
      <c r="G14" t="n">
        <v>36599.82</v>
      </c>
      <c r="H14" t="n">
        <v>36599.82</v>
      </c>
      <c r="I14" t="n">
        <v>56644</v>
      </c>
      <c r="J14" t="n">
        <v>-20044.18</v>
      </c>
    </row>
    <row r="15">
      <c r="A15" t="inlineStr">
        <is>
          <t>61ee280ab0dc22ff41671f277fbcbf6d8ad674a5733eb7575ef70442c71c4b64</t>
        </is>
      </c>
      <c r="B15" t="inlineStr">
        <is>
          <t>Visma Enterprise (BOOM)</t>
        </is>
      </c>
      <c r="C15" t="n">
        <v>6</v>
      </c>
      <c r="D15" t="n">
        <v>1</v>
      </c>
      <c r="E15" t="n">
        <v>8</v>
      </c>
      <c r="F15" t="n">
        <v>20240201</v>
      </c>
      <c r="G15" t="n">
        <v>70150.5</v>
      </c>
      <c r="H15" t="n">
        <v>70150.5</v>
      </c>
      <c r="I15" t="n">
        <v>56644</v>
      </c>
      <c r="J15" t="n">
        <v>13506.5</v>
      </c>
    </row>
    <row r="16">
      <c r="A16" t="inlineStr">
        <is>
          <t>2efbeec16fe0fd929468b48d89b4e3eb43d42284ec92505a5fe3fe11521c825b</t>
        </is>
      </c>
      <c r="B16" t="inlineStr">
        <is>
          <t>Visma Enterprise (BOOM)</t>
        </is>
      </c>
      <c r="C16" t="n">
        <v>6</v>
      </c>
      <c r="D16" t="n">
        <v>1</v>
      </c>
      <c r="E16" t="n">
        <v>8</v>
      </c>
      <c r="F16" t="n">
        <v>20240301</v>
      </c>
      <c r="G16" t="n">
        <v>39979.31</v>
      </c>
      <c r="H16" t="n">
        <v>39979.31</v>
      </c>
      <c r="I16" t="n">
        <v>56644</v>
      </c>
      <c r="J16" t="n">
        <v>-16664.69</v>
      </c>
    </row>
    <row r="17">
      <c r="A17" t="inlineStr">
        <is>
          <t>8bd4a3e4b3f1bff33e41390457488a46a1500bf6ff42e3dc08b3298d0371949f</t>
        </is>
      </c>
      <c r="B17" t="inlineStr">
        <is>
          <t>Visma Enterprise (BOOM)</t>
        </is>
      </c>
      <c r="C17" t="n">
        <v>6</v>
      </c>
      <c r="D17" t="n">
        <v>1</v>
      </c>
      <c r="E17" t="n">
        <v>8</v>
      </c>
      <c r="F17" t="n">
        <v>20240401</v>
      </c>
      <c r="G17" t="n">
        <v>48274.93</v>
      </c>
      <c r="H17" t="n">
        <v>48274.93</v>
      </c>
      <c r="I17" t="n">
        <v>56644</v>
      </c>
      <c r="J17" t="n">
        <v>-8369.07</v>
      </c>
    </row>
    <row r="18">
      <c r="A18" t="inlineStr">
        <is>
          <t>9f63956e373f7193b1f79d6f9136b11dbb4463d8ac722f5c6a1da85cbbc3712b</t>
        </is>
      </c>
      <c r="B18" t="inlineStr">
        <is>
          <t>Visma Enterprise (BOOM)</t>
        </is>
      </c>
      <c r="C18" t="n">
        <v>6</v>
      </c>
      <c r="D18" t="n">
        <v>1</v>
      </c>
      <c r="E18" t="n">
        <v>8</v>
      </c>
      <c r="F18" t="n">
        <v>20240501</v>
      </c>
      <c r="G18" t="n">
        <v>47870.48</v>
      </c>
      <c r="H18" t="n">
        <v>47870.48</v>
      </c>
      <c r="I18" t="n">
        <v>56644</v>
      </c>
      <c r="J18" t="n">
        <v>-8773.519999999997</v>
      </c>
    </row>
    <row r="19">
      <c r="A19" t="inlineStr">
        <is>
          <t>1e4a3d558218c3f615a0a4b924233271c0b210f75b9393e3967166525630d9fd</t>
        </is>
      </c>
      <c r="B19" t="inlineStr">
        <is>
          <t>Visma Enterprise (BOOM)</t>
        </is>
      </c>
      <c r="C19" t="n">
        <v>6</v>
      </c>
      <c r="D19" t="n">
        <v>1</v>
      </c>
      <c r="E19" t="n">
        <v>8</v>
      </c>
      <c r="F19" t="n">
        <v>20240601</v>
      </c>
      <c r="G19" t="n">
        <v>-6962.54</v>
      </c>
      <c r="H19" t="n">
        <v>-6962.54</v>
      </c>
      <c r="I19" t="n">
        <v>56644</v>
      </c>
      <c r="J19" t="n">
        <v>-63606.54</v>
      </c>
    </row>
    <row r="20">
      <c r="A20" t="inlineStr">
        <is>
          <t>5d5bb03bba2684cbb257e97c2abd65e826351baffed58a011f11717323902e19</t>
        </is>
      </c>
      <c r="B20" t="inlineStr">
        <is>
          <t>Visma Enterprise (BOOM)</t>
        </is>
      </c>
      <c r="C20" t="n">
        <v>6</v>
      </c>
      <c r="D20" t="n">
        <v>1</v>
      </c>
      <c r="E20" t="n">
        <v>8</v>
      </c>
      <c r="F20" t="n">
        <v>20240701</v>
      </c>
      <c r="G20" t="n">
        <v>43842.94</v>
      </c>
      <c r="H20" t="n">
        <v>43842.94</v>
      </c>
      <c r="I20" t="n">
        <v>56644</v>
      </c>
      <c r="J20" t="n">
        <v>-12801.06</v>
      </c>
    </row>
    <row r="21">
      <c r="A21" t="inlineStr">
        <is>
          <t>f2b367670938f7a73a567ab9d94267f505608bedc392c3bd01d67829fdfd2361</t>
        </is>
      </c>
      <c r="B21" t="inlineStr">
        <is>
          <t>Visma Enterprise (BOOM)</t>
        </is>
      </c>
      <c r="C21" t="n">
        <v>6</v>
      </c>
      <c r="D21" t="n">
        <v>1</v>
      </c>
      <c r="E21" t="n">
        <v>8</v>
      </c>
      <c r="F21" t="n">
        <v>20240801</v>
      </c>
      <c r="G21" t="n">
        <v>44006.01</v>
      </c>
      <c r="H21" t="n">
        <v>44006.01</v>
      </c>
      <c r="I21" t="n">
        <v>56644</v>
      </c>
      <c r="J21" t="n">
        <v>-12637.99</v>
      </c>
    </row>
    <row r="22">
      <c r="A22" t="inlineStr">
        <is>
          <t>433bbee6affca2c5fe0b2e672377d36f6a04064a9f515e98e82dfda349ff566d</t>
        </is>
      </c>
      <c r="B22" t="inlineStr">
        <is>
          <t>Visma Enterprise (BOOM)</t>
        </is>
      </c>
      <c r="C22" t="n">
        <v>6</v>
      </c>
      <c r="D22" t="n">
        <v>1</v>
      </c>
      <c r="E22" t="n">
        <v>8</v>
      </c>
      <c r="F22" t="n">
        <v>20240901</v>
      </c>
      <c r="G22" t="n">
        <v>0</v>
      </c>
      <c r="H22" t="n">
        <v>0</v>
      </c>
      <c r="I22" t="n">
        <v>56644</v>
      </c>
      <c r="J22" t="n">
        <v>-56644</v>
      </c>
    </row>
    <row r="23">
      <c r="A23" t="inlineStr">
        <is>
          <t>179750dee600644bd45bcb4d69eaac668ee2e352e961af189703528adf23aa95</t>
        </is>
      </c>
      <c r="B23" t="inlineStr">
        <is>
          <t>Visma Enterprise (BOOM)</t>
        </is>
      </c>
      <c r="C23" t="n">
        <v>6</v>
      </c>
      <c r="D23" t="n">
        <v>1</v>
      </c>
      <c r="E23" t="n">
        <v>8</v>
      </c>
      <c r="F23" t="n">
        <v>20241001</v>
      </c>
      <c r="G23" t="n">
        <v>0</v>
      </c>
      <c r="H23" t="n">
        <v>0</v>
      </c>
      <c r="I23" t="n">
        <v>56644</v>
      </c>
      <c r="J23" t="n">
        <v>-56644</v>
      </c>
    </row>
    <row r="24">
      <c r="A24" t="inlineStr">
        <is>
          <t>dcc2a8fa00e3922c171dc98474aed3ad498a971ce53b1a46886369b2032d733c</t>
        </is>
      </c>
      <c r="B24" t="inlineStr">
        <is>
          <t>Visma Enterprise (BOOM)</t>
        </is>
      </c>
      <c r="C24" t="n">
        <v>6</v>
      </c>
      <c r="D24" t="n">
        <v>1</v>
      </c>
      <c r="E24" t="n">
        <v>8</v>
      </c>
      <c r="F24" t="n">
        <v>20241101</v>
      </c>
      <c r="G24" t="n">
        <v>0</v>
      </c>
      <c r="H24" t="n">
        <v>0</v>
      </c>
      <c r="I24" t="n">
        <v>56644</v>
      </c>
      <c r="J24" t="n">
        <v>-56644</v>
      </c>
    </row>
    <row r="25">
      <c r="A25" t="inlineStr">
        <is>
          <t>b3baf9255e96563698be8f1f5db266c143204ebf32bd4b3eb4d372856e7c8f63</t>
        </is>
      </c>
      <c r="B25" t="inlineStr">
        <is>
          <t>Visma Enterprise (BOOM)</t>
        </is>
      </c>
      <c r="C25" t="n">
        <v>6</v>
      </c>
      <c r="D25" t="n">
        <v>1</v>
      </c>
      <c r="E25" t="n">
        <v>8</v>
      </c>
      <c r="F25" t="n">
        <v>20241201</v>
      </c>
      <c r="G25" t="n">
        <v>0</v>
      </c>
      <c r="H25" t="n">
        <v>0</v>
      </c>
      <c r="I25" t="n">
        <v>56916</v>
      </c>
      <c r="J25" t="n">
        <v>-56916</v>
      </c>
    </row>
    <row r="26">
      <c r="A26" t="inlineStr">
        <is>
          <t>f7a1e24df89c5dbfa4f65b6e215a233e77fee8ee966edb676b27ef197535c5c6</t>
        </is>
      </c>
      <c r="B26" t="inlineStr">
        <is>
          <t>Visma Enterprise (BOOM)</t>
        </is>
      </c>
      <c r="C26" t="n">
        <v>6</v>
      </c>
      <c r="D26" t="n">
        <v>1</v>
      </c>
      <c r="E26" t="n">
        <v>8</v>
      </c>
      <c r="F26" t="n">
        <v>20240101</v>
      </c>
      <c r="G26" t="n">
        <v>63095.38</v>
      </c>
      <c r="H26" t="n">
        <v>63095.38</v>
      </c>
      <c r="I26" t="n">
        <v>70447</v>
      </c>
      <c r="J26" t="n">
        <v>-7351.620000000003</v>
      </c>
    </row>
    <row r="27">
      <c r="A27" t="inlineStr">
        <is>
          <t>d19545173eb106e58eefda8652bd8797d0c16ab31f091e5504af2c7f5c546e0f</t>
        </is>
      </c>
      <c r="B27" t="inlineStr">
        <is>
          <t>Visma Enterprise (BOOM)</t>
        </is>
      </c>
      <c r="C27" t="n">
        <v>6</v>
      </c>
      <c r="D27" t="n">
        <v>1</v>
      </c>
      <c r="E27" t="n">
        <v>8</v>
      </c>
      <c r="F27" t="n">
        <v>20240201</v>
      </c>
      <c r="G27" t="n">
        <v>70583.67</v>
      </c>
      <c r="H27" t="n">
        <v>70583.67</v>
      </c>
      <c r="I27" t="n">
        <v>70447</v>
      </c>
      <c r="J27" t="n">
        <v>136.6699999999983</v>
      </c>
    </row>
    <row r="28">
      <c r="A28" t="inlineStr">
        <is>
          <t>6b746f46217738b8f7389f1ab41f62250e9355fab8a4b82a0d43ba27640adce9</t>
        </is>
      </c>
      <c r="B28" t="inlineStr">
        <is>
          <t>Visma Enterprise (BOOM)</t>
        </is>
      </c>
      <c r="C28" t="n">
        <v>6</v>
      </c>
      <c r="D28" t="n">
        <v>1</v>
      </c>
      <c r="E28" t="n">
        <v>8</v>
      </c>
      <c r="F28" t="n">
        <v>20240301</v>
      </c>
      <c r="G28" t="n">
        <v>64251.84</v>
      </c>
      <c r="H28" t="n">
        <v>64251.84</v>
      </c>
      <c r="I28" t="n">
        <v>70447</v>
      </c>
      <c r="J28" t="n">
        <v>-6195.160000000003</v>
      </c>
    </row>
    <row r="29">
      <c r="A29" t="inlineStr">
        <is>
          <t>d70e93728cbe0ef99373adb0d27dae248497a5e9d583ec2508311fd367ae0c66</t>
        </is>
      </c>
      <c r="B29" t="inlineStr">
        <is>
          <t>Visma Enterprise (BOOM)</t>
        </is>
      </c>
      <c r="C29" t="n">
        <v>6</v>
      </c>
      <c r="D29" t="n">
        <v>1</v>
      </c>
      <c r="E29" t="n">
        <v>8</v>
      </c>
      <c r="F29" t="n">
        <v>20240401</v>
      </c>
      <c r="G29" t="n">
        <v>84135.94</v>
      </c>
      <c r="H29" t="n">
        <v>84135.94</v>
      </c>
      <c r="I29" t="n">
        <v>70447</v>
      </c>
      <c r="J29" t="n">
        <v>13688.94</v>
      </c>
    </row>
    <row r="30">
      <c r="A30" t="inlineStr">
        <is>
          <t>e5bdc197eca9e1b33a9c40ee9035d5bb54d62ff56abd53c61415154a5551abf6</t>
        </is>
      </c>
      <c r="B30" t="inlineStr">
        <is>
          <t>Visma Enterprise (BOOM)</t>
        </is>
      </c>
      <c r="C30" t="n">
        <v>6</v>
      </c>
      <c r="D30" t="n">
        <v>1</v>
      </c>
      <c r="E30" t="n">
        <v>8</v>
      </c>
      <c r="F30" t="n">
        <v>20240501</v>
      </c>
      <c r="G30" t="n">
        <v>79057.96000000001</v>
      </c>
      <c r="H30" t="n">
        <v>79057.96000000001</v>
      </c>
      <c r="I30" t="n">
        <v>70447</v>
      </c>
      <c r="J30" t="n">
        <v>8610.960000000006</v>
      </c>
    </row>
    <row r="31">
      <c r="A31" t="inlineStr">
        <is>
          <t>c5d59b5dd29f506e804f8e8a64bc2ac3b699f6bbd8fe1b83055ab59378df588d</t>
        </is>
      </c>
      <c r="B31" t="inlineStr">
        <is>
          <t>Visma Enterprise (BOOM)</t>
        </is>
      </c>
      <c r="C31" t="n">
        <v>6</v>
      </c>
      <c r="D31" t="n">
        <v>1</v>
      </c>
      <c r="E31" t="n">
        <v>8</v>
      </c>
      <c r="F31" t="n">
        <v>20240601</v>
      </c>
      <c r="G31" t="n">
        <v>-14989.09</v>
      </c>
      <c r="H31" t="n">
        <v>-14989.09</v>
      </c>
      <c r="I31" t="n">
        <v>70447</v>
      </c>
      <c r="J31" t="n">
        <v>-85436.09</v>
      </c>
    </row>
    <row r="32">
      <c r="A32" t="inlineStr">
        <is>
          <t>523b52a74185189f513dd1a8fe181a8ea161a7c05eb369219458754cf1df368d</t>
        </is>
      </c>
      <c r="B32" t="inlineStr">
        <is>
          <t>Visma Enterprise (BOOM)</t>
        </is>
      </c>
      <c r="C32" t="n">
        <v>6</v>
      </c>
      <c r="D32" t="n">
        <v>1</v>
      </c>
      <c r="E32" t="n">
        <v>8</v>
      </c>
      <c r="F32" t="n">
        <v>20240701</v>
      </c>
      <c r="G32" t="n">
        <v>66994.64</v>
      </c>
      <c r="H32" t="n">
        <v>66994.64</v>
      </c>
      <c r="I32" t="n">
        <v>70447</v>
      </c>
      <c r="J32" t="n">
        <v>-3452.360000000001</v>
      </c>
    </row>
    <row r="33">
      <c r="A33" t="inlineStr">
        <is>
          <t>9e7ac79afccb4e786f0496fae17401dbff18c914ba31312acfd7c91a966434d4</t>
        </is>
      </c>
      <c r="B33" t="inlineStr">
        <is>
          <t>Visma Enterprise (BOOM)</t>
        </is>
      </c>
      <c r="C33" t="n">
        <v>6</v>
      </c>
      <c r="D33" t="n">
        <v>1</v>
      </c>
      <c r="E33" t="n">
        <v>8</v>
      </c>
      <c r="F33" t="n">
        <v>20240801</v>
      </c>
      <c r="G33" t="n">
        <v>68899.92</v>
      </c>
      <c r="H33" t="n">
        <v>68899.92</v>
      </c>
      <c r="I33" t="n">
        <v>70447</v>
      </c>
      <c r="J33" t="n">
        <v>-1547.080000000002</v>
      </c>
    </row>
    <row r="34">
      <c r="A34" t="inlineStr">
        <is>
          <t>88ccf7efce87161f5f1e4dfdbe58a3e747e1052bf69353660ee747f6225a9392</t>
        </is>
      </c>
      <c r="B34" t="inlineStr">
        <is>
          <t>Visma Enterprise (BOOM)</t>
        </is>
      </c>
      <c r="C34" t="n">
        <v>6</v>
      </c>
      <c r="D34" t="n">
        <v>1</v>
      </c>
      <c r="E34" t="n">
        <v>8</v>
      </c>
      <c r="F34" t="n">
        <v>20240901</v>
      </c>
      <c r="G34" t="n">
        <v>0</v>
      </c>
      <c r="H34" t="n">
        <v>0</v>
      </c>
      <c r="I34" t="n">
        <v>70447</v>
      </c>
      <c r="J34" t="n">
        <v>-70447</v>
      </c>
    </row>
    <row r="35">
      <c r="A35" t="inlineStr">
        <is>
          <t>056ce648006311ffc5416d9ff1938f7b3920ceba478472fdd6b31a246a94c750</t>
        </is>
      </c>
      <c r="B35" t="inlineStr">
        <is>
          <t>Visma Enterprise (BOOM)</t>
        </is>
      </c>
      <c r="C35" t="n">
        <v>6</v>
      </c>
      <c r="D35" t="n">
        <v>1</v>
      </c>
      <c r="E35" t="n">
        <v>8</v>
      </c>
      <c r="F35" t="n">
        <v>20241001</v>
      </c>
      <c r="G35" t="n">
        <v>0</v>
      </c>
      <c r="H35" t="n">
        <v>0</v>
      </c>
      <c r="I35" t="n">
        <v>70447</v>
      </c>
      <c r="J35" t="n">
        <v>-70447</v>
      </c>
    </row>
    <row r="36">
      <c r="A36" t="inlineStr">
        <is>
          <t>ecb7c2794eed8a22d616b27b0d13e263b94446d32c4552d5c4d3c3534e46b8b8</t>
        </is>
      </c>
      <c r="B36" t="inlineStr">
        <is>
          <t>Visma Enterprise (BOOM)</t>
        </is>
      </c>
      <c r="C36" t="n">
        <v>6</v>
      </c>
      <c r="D36" t="n">
        <v>1</v>
      </c>
      <c r="E36" t="n">
        <v>8</v>
      </c>
      <c r="F36" t="n">
        <v>20241101</v>
      </c>
      <c r="G36" t="n">
        <v>0</v>
      </c>
      <c r="H36" t="n">
        <v>0</v>
      </c>
      <c r="I36" t="n">
        <v>70447</v>
      </c>
      <c r="J36" t="n">
        <v>-70447</v>
      </c>
    </row>
    <row r="37">
      <c r="A37" t="inlineStr">
        <is>
          <t>65ecf956e60b159b99d164c1ad1062323109edf9d1cbe1d7fb9dcc98c599bf87</t>
        </is>
      </c>
      <c r="B37" t="inlineStr">
        <is>
          <t>Visma Enterprise (BOOM)</t>
        </is>
      </c>
      <c r="C37" t="n">
        <v>6</v>
      </c>
      <c r="D37" t="n">
        <v>1</v>
      </c>
      <c r="E37" t="n">
        <v>8</v>
      </c>
      <c r="F37" t="n">
        <v>20241201</v>
      </c>
      <c r="G37" t="n">
        <v>0</v>
      </c>
      <c r="H37" t="n">
        <v>0</v>
      </c>
      <c r="I37" t="n">
        <v>70783</v>
      </c>
      <c r="J37" t="n">
        <v>-70783</v>
      </c>
    </row>
    <row r="38">
      <c r="A38" t="inlineStr">
        <is>
          <t>ee60ec15befc6f7e13ae72fe4116f34f5545bb6da514171d97fdb1e4ed31c531</t>
        </is>
      </c>
      <c r="B38" t="inlineStr">
        <is>
          <t>Visma Enterprise (BOOM)</t>
        </is>
      </c>
      <c r="C38" t="n">
        <v>6</v>
      </c>
      <c r="D38" t="n">
        <v>1</v>
      </c>
      <c r="E38" t="n">
        <v>8</v>
      </c>
      <c r="F38" t="n">
        <v>20240101</v>
      </c>
      <c r="G38" t="n">
        <v>0</v>
      </c>
      <c r="H38" t="n">
        <v>0</v>
      </c>
      <c r="I38" t="n">
        <v>41400</v>
      </c>
      <c r="J38" t="n">
        <v>-41400</v>
      </c>
    </row>
    <row r="39">
      <c r="A39" t="inlineStr">
        <is>
          <t>8764d4b4a52a9b773b6eac5bc110968e557b1394303eccd682347566b4f0d134</t>
        </is>
      </c>
      <c r="B39" t="inlineStr">
        <is>
          <t>Visma Enterprise (BOOM)</t>
        </is>
      </c>
      <c r="C39" t="n">
        <v>6</v>
      </c>
      <c r="D39" t="n">
        <v>1</v>
      </c>
      <c r="E39" t="n">
        <v>8</v>
      </c>
      <c r="F39" t="n">
        <v>20240201</v>
      </c>
      <c r="G39" t="n">
        <v>68846.14999999999</v>
      </c>
      <c r="H39" t="n">
        <v>68846.14999999999</v>
      </c>
      <c r="I39" t="n">
        <v>69138</v>
      </c>
      <c r="J39" t="n">
        <v>-291.8500000000058</v>
      </c>
    </row>
    <row r="40">
      <c r="A40" t="inlineStr">
        <is>
          <t>44e04bc6b397b87f872dde80f8775a8ff30e0f9a5a4536cd88d11d8127545dbe</t>
        </is>
      </c>
      <c r="B40" t="inlineStr">
        <is>
          <t>Visma Enterprise (BOOM)</t>
        </is>
      </c>
      <c r="C40" t="n">
        <v>6</v>
      </c>
      <c r="D40" t="n">
        <v>1</v>
      </c>
      <c r="E40" t="n">
        <v>8</v>
      </c>
      <c r="F40" t="n">
        <v>20240301</v>
      </c>
      <c r="G40" t="n">
        <v>0</v>
      </c>
      <c r="H40" t="n">
        <v>0</v>
      </c>
      <c r="I40" t="n">
        <v>0</v>
      </c>
      <c r="J40" t="n">
        <v>0</v>
      </c>
    </row>
    <row r="41">
      <c r="A41" t="inlineStr">
        <is>
          <t>ba7a8b21000971aa75df8cb23123e083e0fd10efd21981394a874594f722f207</t>
        </is>
      </c>
      <c r="B41" t="inlineStr">
        <is>
          <t>Visma Enterprise (BOOM)</t>
        </is>
      </c>
      <c r="C41" t="n">
        <v>6</v>
      </c>
      <c r="D41" t="n">
        <v>1</v>
      </c>
      <c r="E41" t="n">
        <v>8</v>
      </c>
      <c r="F41" t="n">
        <v>20240401</v>
      </c>
      <c r="G41" t="n">
        <v>0</v>
      </c>
      <c r="H41" t="n">
        <v>0</v>
      </c>
      <c r="I41" t="n">
        <v>0</v>
      </c>
      <c r="J41" t="n">
        <v>0</v>
      </c>
    </row>
    <row r="42">
      <c r="A42" t="inlineStr">
        <is>
          <t>ba4cea5ac4019cd5efde31a480d1889769579a7fa187e6ca0bc1932afca0fd89</t>
        </is>
      </c>
      <c r="B42" t="inlineStr">
        <is>
          <t>Visma Enterprise (BOOM)</t>
        </is>
      </c>
      <c r="C42" t="n">
        <v>6</v>
      </c>
      <c r="D42" t="n">
        <v>1</v>
      </c>
      <c r="E42" t="n">
        <v>8</v>
      </c>
      <c r="F42" t="n">
        <v>20240501</v>
      </c>
      <c r="G42" t="n">
        <v>124415.44</v>
      </c>
      <c r="H42" t="n">
        <v>124415.44</v>
      </c>
      <c r="I42" t="n">
        <v>151524</v>
      </c>
      <c r="J42" t="n">
        <v>-27108.56</v>
      </c>
    </row>
    <row r="43">
      <c r="A43" t="inlineStr">
        <is>
          <t>a0142e05e8a9adc20c3f99f0188b7aeb1b04180467ca169a2c9d22cc86211137</t>
        </is>
      </c>
      <c r="B43" t="inlineStr">
        <is>
          <t>Visma Enterprise (BOOM)</t>
        </is>
      </c>
      <c r="C43" t="n">
        <v>6</v>
      </c>
      <c r="D43" t="n">
        <v>1</v>
      </c>
      <c r="E43" t="n">
        <v>8</v>
      </c>
      <c r="F43" t="n">
        <v>20240601</v>
      </c>
      <c r="G43" t="n">
        <v>83030.13</v>
      </c>
      <c r="H43" t="n">
        <v>83030.13</v>
      </c>
      <c r="I43" t="n">
        <v>82800</v>
      </c>
      <c r="J43" t="n">
        <v>230.1300000000047</v>
      </c>
    </row>
    <row r="44">
      <c r="A44" t="inlineStr">
        <is>
          <t>90e23348776bb6f44c1ba0a8e1c83ed3cb9228ebc4be9bdfe32121e7b0d7800d</t>
        </is>
      </c>
      <c r="B44" t="inlineStr">
        <is>
          <t>Visma Enterprise (BOOM)</t>
        </is>
      </c>
      <c r="C44" t="n">
        <v>6</v>
      </c>
      <c r="D44" t="n">
        <v>1</v>
      </c>
      <c r="E44" t="n">
        <v>8</v>
      </c>
      <c r="F44" t="n">
        <v>20240701</v>
      </c>
      <c r="G44" t="n">
        <v>74223.33</v>
      </c>
      <c r="H44" t="n">
        <v>74223.33</v>
      </c>
      <c r="I44" t="n">
        <v>69138</v>
      </c>
      <c r="J44" t="n">
        <v>5085.330000000002</v>
      </c>
    </row>
    <row r="45">
      <c r="A45" t="inlineStr">
        <is>
          <t>f6e9503bccc7d801bc1226e8b2a10141a7b990d1471a0d39f67484261892cd97</t>
        </is>
      </c>
      <c r="B45" t="inlineStr">
        <is>
          <t>Visma Enterprise (BOOM)</t>
        </is>
      </c>
      <c r="C45" t="n">
        <v>6</v>
      </c>
      <c r="D45" t="n">
        <v>1</v>
      </c>
      <c r="E45" t="n">
        <v>8</v>
      </c>
      <c r="F45" t="n">
        <v>20240801</v>
      </c>
      <c r="G45" t="n">
        <v>0</v>
      </c>
      <c r="H45" t="n">
        <v>0</v>
      </c>
      <c r="I45" t="n">
        <v>0</v>
      </c>
      <c r="J45" t="n">
        <v>0</v>
      </c>
    </row>
    <row r="46">
      <c r="A46" t="inlineStr">
        <is>
          <t>a1823b451be084bb2372cd2f683eaa65e40492cbfd52ebab6577191ecf900673</t>
        </is>
      </c>
      <c r="B46" t="inlineStr">
        <is>
          <t>Visma Enterprise (BOOM)</t>
        </is>
      </c>
      <c r="C46" t="n">
        <v>6</v>
      </c>
      <c r="D46" t="n">
        <v>1</v>
      </c>
      <c r="E46" t="n">
        <v>8</v>
      </c>
      <c r="F46" t="n">
        <v>20240901</v>
      </c>
      <c r="G46" t="n">
        <v>0</v>
      </c>
      <c r="H46" t="n">
        <v>0</v>
      </c>
      <c r="I46" t="n">
        <v>0</v>
      </c>
      <c r="J46" t="n">
        <v>0</v>
      </c>
    </row>
    <row r="47">
      <c r="A47" t="inlineStr">
        <is>
          <t>ac9871321e1eb390b1437799cf1707fcb8d49e807e74439e260f0a89317b6d85</t>
        </is>
      </c>
      <c r="B47" t="inlineStr">
        <is>
          <t>Visma Enterprise (BOOM)</t>
        </is>
      </c>
      <c r="C47" t="n">
        <v>6</v>
      </c>
      <c r="D47" t="n">
        <v>1</v>
      </c>
      <c r="E47" t="n">
        <v>8</v>
      </c>
      <c r="F47" t="n">
        <v>20241001</v>
      </c>
      <c r="G47" t="n">
        <v>0</v>
      </c>
      <c r="H47" t="n">
        <v>0</v>
      </c>
      <c r="I47" t="n">
        <v>0</v>
      </c>
      <c r="J47" t="n">
        <v>0</v>
      </c>
    </row>
    <row r="48">
      <c r="A48" t="inlineStr">
        <is>
          <t>c31fdf1e165ceb4125eea9f02b73360330757b5489c1a382cac398f5ae4d787c</t>
        </is>
      </c>
      <c r="B48" t="inlineStr">
        <is>
          <t>Visma Enterprise (BOOM)</t>
        </is>
      </c>
      <c r="C48" t="n">
        <v>6</v>
      </c>
      <c r="D48" t="n">
        <v>1</v>
      </c>
      <c r="E48" t="n">
        <v>8</v>
      </c>
      <c r="F48" t="n">
        <v>20241101</v>
      </c>
      <c r="G48" t="n">
        <v>0</v>
      </c>
      <c r="H48" t="n">
        <v>0</v>
      </c>
      <c r="I48" t="n">
        <v>0</v>
      </c>
      <c r="J48" t="n">
        <v>0</v>
      </c>
    </row>
    <row r="49">
      <c r="A49" t="inlineStr">
        <is>
          <t>ca48877cb3c3fd2910a42e356f7f3a7497464ad37954becbab50154d151874ba</t>
        </is>
      </c>
      <c r="B49" t="inlineStr">
        <is>
          <t>Visma Enterprise (BOOM)</t>
        </is>
      </c>
      <c r="C49" t="n">
        <v>6</v>
      </c>
      <c r="D49" t="n">
        <v>1</v>
      </c>
      <c r="E49" t="n">
        <v>8</v>
      </c>
      <c r="F49" t="n">
        <v>20241201</v>
      </c>
      <c r="G49" t="n">
        <v>0</v>
      </c>
      <c r="H49" t="n">
        <v>0</v>
      </c>
      <c r="I49" t="n">
        <v>0</v>
      </c>
      <c r="J49" t="n">
        <v>0</v>
      </c>
    </row>
    <row r="50">
      <c r="A50" t="inlineStr">
        <is>
          <t>9cda4884449dd7b5544f138a2fb079436b8613e1cac8a87ad8032d115df2cf45</t>
        </is>
      </c>
      <c r="B50" t="inlineStr">
        <is>
          <t>Visma Enterprise (BOOM)</t>
        </is>
      </c>
      <c r="C50" t="n">
        <v>6</v>
      </c>
      <c r="D50" t="n">
        <v>1</v>
      </c>
      <c r="E50" t="n">
        <v>8</v>
      </c>
      <c r="F50" t="n">
        <v>20240101</v>
      </c>
      <c r="G50" t="n">
        <v>0</v>
      </c>
      <c r="H50" t="n">
        <v>0</v>
      </c>
      <c r="I50" t="n">
        <v>1292</v>
      </c>
      <c r="J50" t="n">
        <v>-1292</v>
      </c>
    </row>
    <row r="51">
      <c r="A51" t="inlineStr">
        <is>
          <t>c8130d7dc5adb41e41da5fb6331d719034843ef89d7ad340e56e834644b8eb9d</t>
        </is>
      </c>
      <c r="B51" t="inlineStr">
        <is>
          <t>Visma Enterprise (BOOM)</t>
        </is>
      </c>
      <c r="C51" t="n">
        <v>6</v>
      </c>
      <c r="D51" t="n">
        <v>1</v>
      </c>
      <c r="E51" t="n">
        <v>8</v>
      </c>
      <c r="F51" t="n">
        <v>20240201</v>
      </c>
      <c r="G51" t="n">
        <v>0</v>
      </c>
      <c r="H51" t="n">
        <v>0</v>
      </c>
      <c r="I51" t="n">
        <v>1292</v>
      </c>
      <c r="J51" t="n">
        <v>-1292</v>
      </c>
    </row>
    <row r="52">
      <c r="A52" t="inlineStr">
        <is>
          <t>dc12ad5de8a1c402643cafbd198b659a901c35b8aa1dd7aec89810e1cdb5ead5</t>
        </is>
      </c>
      <c r="B52" t="inlineStr">
        <is>
          <t>Visma Enterprise (BOOM)</t>
        </is>
      </c>
      <c r="C52" t="n">
        <v>6</v>
      </c>
      <c r="D52" t="n">
        <v>1</v>
      </c>
      <c r="E52" t="n">
        <v>8</v>
      </c>
      <c r="F52" t="n">
        <v>20240301</v>
      </c>
      <c r="G52" t="n">
        <v>686.45</v>
      </c>
      <c r="H52" t="n">
        <v>686.45</v>
      </c>
      <c r="I52" t="n">
        <v>1292</v>
      </c>
      <c r="J52" t="n">
        <v>-605.55</v>
      </c>
    </row>
    <row r="53">
      <c r="A53" t="inlineStr">
        <is>
          <t>c51c5251df89193729f3da69c0b789860268115e44bbff1e7a6dcc26740ad451</t>
        </is>
      </c>
      <c r="B53" t="inlineStr">
        <is>
          <t>Visma Enterprise (BOOM)</t>
        </is>
      </c>
      <c r="C53" t="n">
        <v>6</v>
      </c>
      <c r="D53" t="n">
        <v>1</v>
      </c>
      <c r="E53" t="n">
        <v>8</v>
      </c>
      <c r="F53" t="n">
        <v>20240401</v>
      </c>
      <c r="G53" t="n">
        <v>1120</v>
      </c>
      <c r="H53" t="n">
        <v>1120</v>
      </c>
      <c r="I53" t="n">
        <v>1292</v>
      </c>
      <c r="J53" t="n">
        <v>-172</v>
      </c>
    </row>
    <row r="54">
      <c r="A54" t="inlineStr">
        <is>
          <t>25dff70c589ee648bbcb78e3ffd1296e20c46b6c860ebd718d159461441ff33b</t>
        </is>
      </c>
      <c r="B54" t="inlineStr">
        <is>
          <t>Visma Enterprise (BOOM)</t>
        </is>
      </c>
      <c r="C54" t="n">
        <v>6</v>
      </c>
      <c r="D54" t="n">
        <v>1</v>
      </c>
      <c r="E54" t="n">
        <v>8</v>
      </c>
      <c r="F54" t="n">
        <v>20240501</v>
      </c>
      <c r="G54" t="n">
        <v>1120</v>
      </c>
      <c r="H54" t="n">
        <v>1120</v>
      </c>
      <c r="I54" t="n">
        <v>1292</v>
      </c>
      <c r="J54" t="n">
        <v>-172</v>
      </c>
    </row>
    <row r="55">
      <c r="A55" t="inlineStr">
        <is>
          <t>b112479fc83c571db462deb00c0273de3f94f99bbc707838cd652dc1007827c8</t>
        </is>
      </c>
      <c r="B55" t="inlineStr">
        <is>
          <t>Visma Enterprise (BOOM)</t>
        </is>
      </c>
      <c r="C55" t="n">
        <v>6</v>
      </c>
      <c r="D55" t="n">
        <v>1</v>
      </c>
      <c r="E55" t="n">
        <v>8</v>
      </c>
      <c r="F55" t="n">
        <v>20240601</v>
      </c>
      <c r="G55" t="n">
        <v>-172.31</v>
      </c>
      <c r="H55" t="n">
        <v>-172.31</v>
      </c>
      <c r="I55" t="n">
        <v>1292</v>
      </c>
      <c r="J55" t="n">
        <v>-1464.31</v>
      </c>
    </row>
    <row r="56">
      <c r="A56" t="inlineStr">
        <is>
          <t>4a0abe6ccf284ecc437b35661540977b64fecee12e9cf071b3fd0b7d9438d2d5</t>
        </is>
      </c>
      <c r="B56" t="inlineStr">
        <is>
          <t>Visma Enterprise (BOOM)</t>
        </is>
      </c>
      <c r="C56" t="n">
        <v>6</v>
      </c>
      <c r="D56" t="n">
        <v>1</v>
      </c>
      <c r="E56" t="n">
        <v>8</v>
      </c>
      <c r="F56" t="n">
        <v>20240701</v>
      </c>
      <c r="G56" t="n">
        <v>1120</v>
      </c>
      <c r="H56" t="n">
        <v>1120</v>
      </c>
      <c r="I56" t="n">
        <v>1292</v>
      </c>
      <c r="J56" t="n">
        <v>-172</v>
      </c>
    </row>
    <row r="57">
      <c r="A57" t="inlineStr">
        <is>
          <t>32d349b6df95eeb3159ab701501142e86856aaef95947479b317152b1525d70d</t>
        </is>
      </c>
      <c r="B57" t="inlineStr">
        <is>
          <t>Visma Enterprise (BOOM)</t>
        </is>
      </c>
      <c r="C57" t="n">
        <v>6</v>
      </c>
      <c r="D57" t="n">
        <v>1</v>
      </c>
      <c r="E57" t="n">
        <v>8</v>
      </c>
      <c r="F57" t="n">
        <v>20240801</v>
      </c>
      <c r="G57" t="n">
        <v>1120</v>
      </c>
      <c r="H57" t="n">
        <v>1120</v>
      </c>
      <c r="I57" t="n">
        <v>1292</v>
      </c>
      <c r="J57" t="n">
        <v>-172</v>
      </c>
    </row>
    <row r="58">
      <c r="A58" t="inlineStr">
        <is>
          <t>e1834f9f82b9216d64f19e4ca586dbd168f08a8e9d59f7400727b93ac7535287</t>
        </is>
      </c>
      <c r="B58" t="inlineStr">
        <is>
          <t>Visma Enterprise (BOOM)</t>
        </is>
      </c>
      <c r="C58" t="n">
        <v>6</v>
      </c>
      <c r="D58" t="n">
        <v>1</v>
      </c>
      <c r="E58" t="n">
        <v>8</v>
      </c>
      <c r="F58" t="n">
        <v>20240901</v>
      </c>
      <c r="G58" t="n">
        <v>0</v>
      </c>
      <c r="H58" t="n">
        <v>0</v>
      </c>
      <c r="I58" t="n">
        <v>1292</v>
      </c>
      <c r="J58" t="n">
        <v>-1292</v>
      </c>
    </row>
    <row r="59">
      <c r="A59" t="inlineStr">
        <is>
          <t>d4f0e9b7fe52e0179168d876a248c5e4fdd295fc0dc3bc4ce7279d0cab502d06</t>
        </is>
      </c>
      <c r="B59" t="inlineStr">
        <is>
          <t>Visma Enterprise (BOOM)</t>
        </is>
      </c>
      <c r="C59" t="n">
        <v>6</v>
      </c>
      <c r="D59" t="n">
        <v>1</v>
      </c>
      <c r="E59" t="n">
        <v>8</v>
      </c>
      <c r="F59" t="n">
        <v>20241001</v>
      </c>
      <c r="G59" t="n">
        <v>0</v>
      </c>
      <c r="H59" t="n">
        <v>0</v>
      </c>
      <c r="I59" t="n">
        <v>1292</v>
      </c>
      <c r="J59" t="n">
        <v>-1292</v>
      </c>
    </row>
    <row r="60">
      <c r="A60" t="inlineStr">
        <is>
          <t>6b2592f7641bcf042b057368c84e106f5aab77b0b271873d83001d324307dc6c</t>
        </is>
      </c>
      <c r="B60" t="inlineStr">
        <is>
          <t>Visma Enterprise (BOOM)</t>
        </is>
      </c>
      <c r="C60" t="n">
        <v>6</v>
      </c>
      <c r="D60" t="n">
        <v>1</v>
      </c>
      <c r="E60" t="n">
        <v>8</v>
      </c>
      <c r="F60" t="n">
        <v>20241101</v>
      </c>
      <c r="G60" t="n">
        <v>0</v>
      </c>
      <c r="H60" t="n">
        <v>0</v>
      </c>
      <c r="I60" t="n">
        <v>1292</v>
      </c>
      <c r="J60" t="n">
        <v>-1292</v>
      </c>
    </row>
    <row r="61">
      <c r="A61" t="inlineStr">
        <is>
          <t>34f730052c5989f5469fc5b8eb238ca556e28495762cd40f810c08934a2d068f</t>
        </is>
      </c>
      <c r="B61" t="inlineStr">
        <is>
          <t>Visma Enterprise (BOOM)</t>
        </is>
      </c>
      <c r="C61" t="n">
        <v>6</v>
      </c>
      <c r="D61" t="n">
        <v>1</v>
      </c>
      <c r="E61" t="n">
        <v>8</v>
      </c>
      <c r="F61" t="n">
        <v>20241201</v>
      </c>
      <c r="G61" t="n">
        <v>0</v>
      </c>
      <c r="H61" t="n">
        <v>0</v>
      </c>
      <c r="I61" t="n">
        <v>1788</v>
      </c>
      <c r="J61" t="n">
        <v>-1788</v>
      </c>
    </row>
    <row r="62">
      <c r="A62" t="inlineStr">
        <is>
          <t>e490800473723d14bb479762dfe01bad95a062dc20efd71cf7dedf7d650f4acd</t>
        </is>
      </c>
      <c r="B62" t="inlineStr">
        <is>
          <t>Visma Enterprise (BOOM)</t>
        </is>
      </c>
      <c r="C62" t="n">
        <v>6</v>
      </c>
      <c r="D62" t="n">
        <v>2</v>
      </c>
      <c r="E62" t="n">
        <v>8</v>
      </c>
      <c r="F62" t="n">
        <v>20240101</v>
      </c>
      <c r="G62" t="n">
        <v>0</v>
      </c>
      <c r="H62" t="n">
        <v>0</v>
      </c>
      <c r="I62" t="n">
        <v>16660</v>
      </c>
      <c r="J62" t="n">
        <v>-16660</v>
      </c>
    </row>
    <row r="63">
      <c r="A63" t="inlineStr">
        <is>
          <t>9a538aa64a9212980e5df0ac72ace882302932be93b2636d2748ce18b3d24864</t>
        </is>
      </c>
      <c r="B63" t="inlineStr">
        <is>
          <t>Visma Enterprise (BOOM)</t>
        </is>
      </c>
      <c r="C63" t="n">
        <v>6</v>
      </c>
      <c r="D63" t="n">
        <v>2</v>
      </c>
      <c r="E63" t="n">
        <v>8</v>
      </c>
      <c r="F63" t="n">
        <v>20240201</v>
      </c>
      <c r="G63" t="n">
        <v>96432.33</v>
      </c>
      <c r="H63" t="n">
        <v>96432.33</v>
      </c>
      <c r="I63" t="n">
        <v>16660</v>
      </c>
      <c r="J63" t="n">
        <v>79772.33</v>
      </c>
    </row>
    <row r="64">
      <c r="A64" t="inlineStr">
        <is>
          <t>8e481bd51c726ad6d0563f3971cdebfad95a2dd070bbc73a1b403116fcade4a2</t>
        </is>
      </c>
      <c r="B64" t="inlineStr">
        <is>
          <t>Visma Enterprise (BOOM)</t>
        </is>
      </c>
      <c r="C64" t="n">
        <v>6</v>
      </c>
      <c r="D64" t="n">
        <v>2</v>
      </c>
      <c r="E64" t="n">
        <v>8</v>
      </c>
      <c r="F64" t="n">
        <v>20240301</v>
      </c>
      <c r="G64" t="n">
        <v>35833.75</v>
      </c>
      <c r="H64" t="n">
        <v>35833.75</v>
      </c>
      <c r="I64" t="n">
        <v>16660</v>
      </c>
      <c r="J64" t="n">
        <v>19173.75</v>
      </c>
    </row>
    <row r="65">
      <c r="A65" t="inlineStr">
        <is>
          <t>1f97cc8d617a3ea2b9a3f567aa81dedc91ea8fc00dafb8de0bb3846844723e60</t>
        </is>
      </c>
      <c r="B65" t="inlineStr">
        <is>
          <t>Visma Enterprise (BOOM)</t>
        </is>
      </c>
      <c r="C65" t="n">
        <v>6</v>
      </c>
      <c r="D65" t="n">
        <v>2</v>
      </c>
      <c r="E65" t="n">
        <v>8</v>
      </c>
      <c r="F65" t="n">
        <v>20240401</v>
      </c>
      <c r="G65" t="n">
        <v>34855.64</v>
      </c>
      <c r="H65" t="n">
        <v>34855.64</v>
      </c>
      <c r="I65" t="n">
        <v>16660</v>
      </c>
      <c r="J65" t="n">
        <v>18195.64</v>
      </c>
    </row>
    <row r="66">
      <c r="A66" t="inlineStr">
        <is>
          <t>03448e3a371956d7f0a46b440f664c0fbfd9447db8827bdcedae5c9bc8a9cd91</t>
        </is>
      </c>
      <c r="B66" t="inlineStr">
        <is>
          <t>Visma Enterprise (BOOM)</t>
        </is>
      </c>
      <c r="C66" t="n">
        <v>6</v>
      </c>
      <c r="D66" t="n">
        <v>2</v>
      </c>
      <c r="E66" t="n">
        <v>8</v>
      </c>
      <c r="F66" t="n">
        <v>20240501</v>
      </c>
      <c r="G66" t="n">
        <v>13105.85</v>
      </c>
      <c r="H66" t="n">
        <v>13105.85</v>
      </c>
      <c r="I66" t="n">
        <v>16660</v>
      </c>
      <c r="J66" t="n">
        <v>-3554.15</v>
      </c>
    </row>
    <row r="67">
      <c r="A67" t="inlineStr">
        <is>
          <t>82d414e148d59d2e45e7dbe10f67ec3cfbc6f372e55d40e4a82714a7aba2dbf0</t>
        </is>
      </c>
      <c r="B67" t="inlineStr">
        <is>
          <t>Visma Enterprise (BOOM)</t>
        </is>
      </c>
      <c r="C67" t="n">
        <v>6</v>
      </c>
      <c r="D67" t="n">
        <v>2</v>
      </c>
      <c r="E67" t="n">
        <v>8</v>
      </c>
      <c r="F67" t="n">
        <v>20240601</v>
      </c>
      <c r="G67" t="n">
        <v>3417.85</v>
      </c>
      <c r="H67" t="n">
        <v>3417.85</v>
      </c>
      <c r="I67" t="n">
        <v>16660</v>
      </c>
      <c r="J67" t="n">
        <v>-13242.15</v>
      </c>
    </row>
    <row r="68">
      <c r="A68" t="inlineStr">
        <is>
          <t>fe76bb1caad3feba5e0d4b2acd49b4c405f04ae28a32d2e7f579913f99105eb5</t>
        </is>
      </c>
      <c r="B68" t="inlineStr">
        <is>
          <t>Visma Enterprise (BOOM)</t>
        </is>
      </c>
      <c r="C68" t="n">
        <v>6</v>
      </c>
      <c r="D68" t="n">
        <v>2</v>
      </c>
      <c r="E68" t="n">
        <v>8</v>
      </c>
      <c r="F68" t="n">
        <v>20240701</v>
      </c>
      <c r="G68" t="n">
        <v>13415.11</v>
      </c>
      <c r="H68" t="n">
        <v>13415.11</v>
      </c>
      <c r="I68" t="n">
        <v>16660</v>
      </c>
      <c r="J68" t="n">
        <v>-3244.889999999999</v>
      </c>
    </row>
    <row r="69">
      <c r="A69" t="inlineStr">
        <is>
          <t>95c1965a7ec1c8afed9223c7ec580bc7fc6dea98e48d9e1c997b3921123b5e2d</t>
        </is>
      </c>
      <c r="B69" t="inlineStr">
        <is>
          <t>Visma Enterprise (BOOM)</t>
        </is>
      </c>
      <c r="C69" t="n">
        <v>6</v>
      </c>
      <c r="D69" t="n">
        <v>2</v>
      </c>
      <c r="E69" t="n">
        <v>8</v>
      </c>
      <c r="F69" t="n">
        <v>20240801</v>
      </c>
      <c r="G69" t="n">
        <v>15319.5</v>
      </c>
      <c r="H69" t="n">
        <v>15319.5</v>
      </c>
      <c r="I69" t="n">
        <v>16660</v>
      </c>
      <c r="J69" t="n">
        <v>-1340.5</v>
      </c>
    </row>
    <row r="70">
      <c r="A70" t="inlineStr">
        <is>
          <t>b16e402fdf0c1132877fd3940b497d8c5e1161284445ac982af4a30d3c13178d</t>
        </is>
      </c>
      <c r="B70" t="inlineStr">
        <is>
          <t>Visma Enterprise (BOOM)</t>
        </is>
      </c>
      <c r="C70" t="n">
        <v>6</v>
      </c>
      <c r="D70" t="n">
        <v>2</v>
      </c>
      <c r="E70" t="n">
        <v>8</v>
      </c>
      <c r="F70" t="n">
        <v>20240901</v>
      </c>
      <c r="G70" t="n">
        <v>0</v>
      </c>
      <c r="H70" t="n">
        <v>0</v>
      </c>
      <c r="I70" t="n">
        <v>16660</v>
      </c>
      <c r="J70" t="n">
        <v>-16660</v>
      </c>
    </row>
    <row r="71">
      <c r="A71" t="inlineStr">
        <is>
          <t>7b8754b7ac158e33e0ed0140239676bcb03635b5b9c3a0faba0a97d021e4215c</t>
        </is>
      </c>
      <c r="B71" t="inlineStr">
        <is>
          <t>Visma Enterprise (BOOM)</t>
        </is>
      </c>
      <c r="C71" t="n">
        <v>6</v>
      </c>
      <c r="D71" t="n">
        <v>2</v>
      </c>
      <c r="E71" t="n">
        <v>8</v>
      </c>
      <c r="F71" t="n">
        <v>20241001</v>
      </c>
      <c r="G71" t="n">
        <v>0</v>
      </c>
      <c r="H71" t="n">
        <v>0</v>
      </c>
      <c r="I71" t="n">
        <v>16660</v>
      </c>
      <c r="J71" t="n">
        <v>-16660</v>
      </c>
    </row>
    <row r="72">
      <c r="A72" t="inlineStr">
        <is>
          <t>47cba06df2cc3de50ca0e23e1dd9a01653b54e82fa486f6fb0e0c9ee113705de</t>
        </is>
      </c>
      <c r="B72" t="inlineStr">
        <is>
          <t>Visma Enterprise (BOOM)</t>
        </is>
      </c>
      <c r="C72" t="n">
        <v>6</v>
      </c>
      <c r="D72" t="n">
        <v>2</v>
      </c>
      <c r="E72" t="n">
        <v>8</v>
      </c>
      <c r="F72" t="n">
        <v>20241101</v>
      </c>
      <c r="G72" t="n">
        <v>0</v>
      </c>
      <c r="H72" t="n">
        <v>0</v>
      </c>
      <c r="I72" t="n">
        <v>16660</v>
      </c>
      <c r="J72" t="n">
        <v>-16660</v>
      </c>
    </row>
    <row r="73">
      <c r="A73" t="inlineStr">
        <is>
          <t>0f089a08410090288dfd24cd9c5fcf33bf90d59a4886d279c4ffd09ff9bac10a</t>
        </is>
      </c>
      <c r="B73" t="inlineStr">
        <is>
          <t>Visma Enterprise (BOOM)</t>
        </is>
      </c>
      <c r="C73" t="n">
        <v>6</v>
      </c>
      <c r="D73" t="n">
        <v>2</v>
      </c>
      <c r="E73" t="n">
        <v>8</v>
      </c>
      <c r="F73" t="n">
        <v>20241201</v>
      </c>
      <c r="G73" t="n">
        <v>0</v>
      </c>
      <c r="H73" t="n">
        <v>0</v>
      </c>
      <c r="I73" t="n">
        <v>16740</v>
      </c>
      <c r="J73" t="n">
        <v>-16740</v>
      </c>
    </row>
    <row r="74">
      <c r="A74" t="inlineStr">
        <is>
          <t>e221497920f4e7ed199e7d990ef4fc27d21f628a739857b9875199f1e5c79757</t>
        </is>
      </c>
      <c r="B74" t="inlineStr">
        <is>
          <t>Visma Enterprise (BOOM)</t>
        </is>
      </c>
      <c r="C74" t="n">
        <v>6</v>
      </c>
      <c r="D74" t="n">
        <v>2</v>
      </c>
      <c r="E74" t="n">
        <v>8</v>
      </c>
      <c r="F74" t="n">
        <v>20240101</v>
      </c>
      <c r="G74" t="n">
        <v>0</v>
      </c>
      <c r="H74" t="n">
        <v>0</v>
      </c>
      <c r="I74" t="n">
        <v>21809</v>
      </c>
      <c r="J74" t="n">
        <v>-21809</v>
      </c>
    </row>
    <row r="75">
      <c r="A75" t="inlineStr">
        <is>
          <t>78a9d5804f85c4cca3529209d622e30c0688e53c3c01865f0ed51b3e9e04185c</t>
        </is>
      </c>
      <c r="B75" t="inlineStr">
        <is>
          <t>Visma Enterprise (BOOM)</t>
        </is>
      </c>
      <c r="C75" t="n">
        <v>6</v>
      </c>
      <c r="D75" t="n">
        <v>2</v>
      </c>
      <c r="E75" t="n">
        <v>8</v>
      </c>
      <c r="F75" t="n">
        <v>20240201</v>
      </c>
      <c r="G75" t="n">
        <v>39187.82</v>
      </c>
      <c r="H75" t="n">
        <v>39187.82</v>
      </c>
      <c r="I75" t="n">
        <v>21809</v>
      </c>
      <c r="J75" t="n">
        <v>17378.82</v>
      </c>
    </row>
    <row r="76">
      <c r="A76" t="inlineStr">
        <is>
          <t>e6af4240a8566014b776efb6d7e497ced24e0ac6f6e3152913feb917f224d5e1</t>
        </is>
      </c>
      <c r="B76" t="inlineStr">
        <is>
          <t>Visma Enterprise (BOOM)</t>
        </is>
      </c>
      <c r="C76" t="n">
        <v>6</v>
      </c>
      <c r="D76" t="n">
        <v>2</v>
      </c>
      <c r="E76" t="n">
        <v>8</v>
      </c>
      <c r="F76" t="n">
        <v>20240301</v>
      </c>
      <c r="G76" t="n">
        <v>3729.89</v>
      </c>
      <c r="H76" t="n">
        <v>3729.89</v>
      </c>
      <c r="I76" t="n">
        <v>21809</v>
      </c>
      <c r="J76" t="n">
        <v>-18079.11</v>
      </c>
    </row>
    <row r="77">
      <c r="A77" t="inlineStr">
        <is>
          <t>8d49e4cbb717958539902701e0477ff7c4aad0a7cc1964522a4c2ff49443a790</t>
        </is>
      </c>
      <c r="B77" t="inlineStr">
        <is>
          <t>Visma Enterprise (BOOM)</t>
        </is>
      </c>
      <c r="C77" t="n">
        <v>6</v>
      </c>
      <c r="D77" t="n">
        <v>2</v>
      </c>
      <c r="E77" t="n">
        <v>8</v>
      </c>
      <c r="F77" t="n">
        <v>20240401</v>
      </c>
      <c r="G77" t="n">
        <v>1558.23</v>
      </c>
      <c r="H77" t="n">
        <v>1558.23</v>
      </c>
      <c r="I77" t="n">
        <v>21809</v>
      </c>
      <c r="J77" t="n">
        <v>-20250.77</v>
      </c>
    </row>
    <row r="78">
      <c r="A78" t="inlineStr">
        <is>
          <t>a49aca04ea82835334cc04e47244dc2256b2ca6758548843aa00cd5dab7814ae</t>
        </is>
      </c>
      <c r="B78" t="inlineStr">
        <is>
          <t>Visma Enterprise (BOOM)</t>
        </is>
      </c>
      <c r="C78" t="n">
        <v>6</v>
      </c>
      <c r="D78" t="n">
        <v>2</v>
      </c>
      <c r="E78" t="n">
        <v>8</v>
      </c>
      <c r="F78" t="n">
        <v>20240501</v>
      </c>
      <c r="G78" t="n">
        <v>13647.27</v>
      </c>
      <c r="H78" t="n">
        <v>13647.27</v>
      </c>
      <c r="I78" t="n">
        <v>21809</v>
      </c>
      <c r="J78" t="n">
        <v>-8161.73</v>
      </c>
    </row>
    <row r="79">
      <c r="A79" t="inlineStr">
        <is>
          <t>af5c5422bd1ca2e34d6d048795cb1dd3ec0c156a88a44a457b5f9a9cb0a5360c</t>
        </is>
      </c>
      <c r="B79" t="inlineStr">
        <is>
          <t>Visma Enterprise (BOOM)</t>
        </is>
      </c>
      <c r="C79" t="n">
        <v>6</v>
      </c>
      <c r="D79" t="n">
        <v>2</v>
      </c>
      <c r="E79" t="n">
        <v>8</v>
      </c>
      <c r="F79" t="n">
        <v>20240601</v>
      </c>
      <c r="G79" t="n">
        <v>18359.38</v>
      </c>
      <c r="H79" t="n">
        <v>18359.38</v>
      </c>
      <c r="I79" t="n">
        <v>21807</v>
      </c>
      <c r="J79" t="n">
        <v>-3447.619999999999</v>
      </c>
    </row>
    <row r="80">
      <c r="A80" t="inlineStr">
        <is>
          <t>74f70088f639125e606fc96e03116ab541cbae35a4bb192d790bb7770eaeac42</t>
        </is>
      </c>
      <c r="B80" t="inlineStr">
        <is>
          <t>Visma Enterprise (BOOM)</t>
        </is>
      </c>
      <c r="C80" t="n">
        <v>6</v>
      </c>
      <c r="D80" t="n">
        <v>2</v>
      </c>
      <c r="E80" t="n">
        <v>8</v>
      </c>
      <c r="F80" t="n">
        <v>20240701</v>
      </c>
      <c r="G80" t="n">
        <v>33861.46</v>
      </c>
      <c r="H80" t="n">
        <v>33861.46</v>
      </c>
      <c r="I80" t="n">
        <v>21809</v>
      </c>
      <c r="J80" t="n">
        <v>12052.46</v>
      </c>
    </row>
    <row r="81">
      <c r="A81" t="inlineStr">
        <is>
          <t>b8ebce8dc5ce19c7051721c2e534d826f7d5989c5013099f5e8e138b3bbafaec</t>
        </is>
      </c>
      <c r="B81" t="inlineStr">
        <is>
          <t>Visma Enterprise (BOOM)</t>
        </is>
      </c>
      <c r="C81" t="n">
        <v>6</v>
      </c>
      <c r="D81" t="n">
        <v>2</v>
      </c>
      <c r="E81" t="n">
        <v>8</v>
      </c>
      <c r="F81" t="n">
        <v>20240801</v>
      </c>
      <c r="G81" t="n">
        <v>18868.99</v>
      </c>
      <c r="H81" t="n">
        <v>18868.99</v>
      </c>
      <c r="I81" t="n">
        <v>21809</v>
      </c>
      <c r="J81" t="n">
        <v>-2940.009999999998</v>
      </c>
    </row>
    <row r="82">
      <c r="A82" t="inlineStr">
        <is>
          <t>4b609c37e99ebd20a6d4fef85906d2909e36c1ea289246eeef36ad57e422f846</t>
        </is>
      </c>
      <c r="B82" t="inlineStr">
        <is>
          <t>Visma Enterprise (BOOM)</t>
        </is>
      </c>
      <c r="C82" t="n">
        <v>6</v>
      </c>
      <c r="D82" t="n">
        <v>2</v>
      </c>
      <c r="E82" t="n">
        <v>8</v>
      </c>
      <c r="F82" t="n">
        <v>20240901</v>
      </c>
      <c r="G82" t="n">
        <v>0</v>
      </c>
      <c r="H82" t="n">
        <v>0</v>
      </c>
      <c r="I82" t="n">
        <v>21809</v>
      </c>
      <c r="J82" t="n">
        <v>-21809</v>
      </c>
    </row>
    <row r="83">
      <c r="A83" t="inlineStr">
        <is>
          <t>08a0dd947f564fd81cff51f20481094db5523dba1897a7e4461f0c2440501094</t>
        </is>
      </c>
      <c r="B83" t="inlineStr">
        <is>
          <t>Visma Enterprise (BOOM)</t>
        </is>
      </c>
      <c r="C83" t="n">
        <v>6</v>
      </c>
      <c r="D83" t="n">
        <v>2</v>
      </c>
      <c r="E83" t="n">
        <v>8</v>
      </c>
      <c r="F83" t="n">
        <v>20241001</v>
      </c>
      <c r="G83" t="n">
        <v>0</v>
      </c>
      <c r="H83" t="n">
        <v>0</v>
      </c>
      <c r="I83" t="n">
        <v>21809</v>
      </c>
      <c r="J83" t="n">
        <v>-21809</v>
      </c>
    </row>
    <row r="84">
      <c r="A84" t="inlineStr">
        <is>
          <t>a158714299d184ba8d3f2b6876ec5176e17021dc2cd6ce99b8b7866fd58923a1</t>
        </is>
      </c>
      <c r="B84" t="inlineStr">
        <is>
          <t>Visma Enterprise (BOOM)</t>
        </is>
      </c>
      <c r="C84" t="n">
        <v>6</v>
      </c>
      <c r="D84" t="n">
        <v>2</v>
      </c>
      <c r="E84" t="n">
        <v>8</v>
      </c>
      <c r="F84" t="n">
        <v>20241101</v>
      </c>
      <c r="G84" t="n">
        <v>0</v>
      </c>
      <c r="H84" t="n">
        <v>0</v>
      </c>
      <c r="I84" t="n">
        <v>21809</v>
      </c>
      <c r="J84" t="n">
        <v>-21809</v>
      </c>
    </row>
    <row r="85">
      <c r="A85" t="inlineStr">
        <is>
          <t>049c40782f1093f6d28b6134038c15c54c9b31b061ed7cbfcdc53fa4b7c60f1c</t>
        </is>
      </c>
      <c r="B85" t="inlineStr">
        <is>
          <t>Visma Enterprise (BOOM)</t>
        </is>
      </c>
      <c r="C85" t="n">
        <v>6</v>
      </c>
      <c r="D85" t="n">
        <v>2</v>
      </c>
      <c r="E85" t="n">
        <v>8</v>
      </c>
      <c r="F85" t="n">
        <v>20241201</v>
      </c>
      <c r="G85" t="n">
        <v>0</v>
      </c>
      <c r="H85" t="n">
        <v>0</v>
      </c>
      <c r="I85" t="n">
        <v>22103</v>
      </c>
      <c r="J85" t="n">
        <v>-22103</v>
      </c>
    </row>
    <row r="86">
      <c r="A86" t="inlineStr">
        <is>
          <t>b7c82e6d456dd17adb8e66ca49ebe612f914d9c9ab86907b298f7f35a230d48d</t>
        </is>
      </c>
      <c r="B86" t="inlineStr">
        <is>
          <t>Visma Enterprise (BOOM)</t>
        </is>
      </c>
      <c r="C86" t="n">
        <v>6</v>
      </c>
      <c r="D86" t="n">
        <v>2</v>
      </c>
      <c r="E86" t="n">
        <v>8</v>
      </c>
      <c r="F86" t="n">
        <v>20240101</v>
      </c>
      <c r="G86" t="n">
        <v>0</v>
      </c>
      <c r="H86" t="n">
        <v>0</v>
      </c>
      <c r="I86" t="n">
        <v>23741</v>
      </c>
      <c r="J86" t="n">
        <v>-23741</v>
      </c>
    </row>
    <row r="87">
      <c r="A87" t="inlineStr">
        <is>
          <t>8889992333aa7938feac5d152f43f7b4f012a8ca7bc50489c444c1be37d97363</t>
        </is>
      </c>
      <c r="B87" t="inlineStr">
        <is>
          <t>Visma Enterprise (BOOM)</t>
        </is>
      </c>
      <c r="C87" t="n">
        <v>6</v>
      </c>
      <c r="D87" t="n">
        <v>2</v>
      </c>
      <c r="E87" t="n">
        <v>8</v>
      </c>
      <c r="F87" t="n">
        <v>20240201</v>
      </c>
      <c r="G87" t="n">
        <v>0</v>
      </c>
      <c r="H87" t="n">
        <v>0</v>
      </c>
      <c r="I87" t="n">
        <v>23741</v>
      </c>
      <c r="J87" t="n">
        <v>-23741</v>
      </c>
    </row>
    <row r="88">
      <c r="A88" t="inlineStr">
        <is>
          <t>9dae9ac995f6dca6239ef30bee7ba171a0b650bbdc635b9f34412bf9adb43c9e</t>
        </is>
      </c>
      <c r="B88" t="inlineStr">
        <is>
          <t>Visma Enterprise (BOOM)</t>
        </is>
      </c>
      <c r="C88" t="n">
        <v>6</v>
      </c>
      <c r="D88" t="n">
        <v>2</v>
      </c>
      <c r="E88" t="n">
        <v>8</v>
      </c>
      <c r="F88" t="n">
        <v>20240301</v>
      </c>
      <c r="G88" t="n">
        <v>0</v>
      </c>
      <c r="H88" t="n">
        <v>0</v>
      </c>
      <c r="I88" t="n">
        <v>23741</v>
      </c>
      <c r="J88" t="n">
        <v>-23741</v>
      </c>
    </row>
    <row r="89">
      <c r="A89" t="inlineStr">
        <is>
          <t>ef0a0253f69c6066f3f4c6cbe79ba3a80a01aa4f976baaebfa0450786b4d199e</t>
        </is>
      </c>
      <c r="B89" t="inlineStr">
        <is>
          <t>Visma Enterprise (BOOM)</t>
        </is>
      </c>
      <c r="C89" t="n">
        <v>6</v>
      </c>
      <c r="D89" t="n">
        <v>2</v>
      </c>
      <c r="E89" t="n">
        <v>8</v>
      </c>
      <c r="F89" t="n">
        <v>20240401</v>
      </c>
      <c r="G89" t="n">
        <v>0</v>
      </c>
      <c r="H89" t="n">
        <v>0</v>
      </c>
      <c r="I89" t="n">
        <v>23741</v>
      </c>
      <c r="J89" t="n">
        <v>-23741</v>
      </c>
    </row>
    <row r="90">
      <c r="A90" t="inlineStr">
        <is>
          <t>e6e51cc8a60f36e6023a2b620ba35bb4b25119a53af08a68d2caf7d442b0fd2f</t>
        </is>
      </c>
      <c r="B90" t="inlineStr">
        <is>
          <t>Visma Enterprise (BOOM)</t>
        </is>
      </c>
      <c r="C90" t="n">
        <v>6</v>
      </c>
      <c r="D90" t="n">
        <v>2</v>
      </c>
      <c r="E90" t="n">
        <v>8</v>
      </c>
      <c r="F90" t="n">
        <v>20240501</v>
      </c>
      <c r="G90" t="n">
        <v>0</v>
      </c>
      <c r="H90" t="n">
        <v>0</v>
      </c>
      <c r="I90" t="n">
        <v>23741</v>
      </c>
      <c r="J90" t="n">
        <v>-23741</v>
      </c>
    </row>
    <row r="91">
      <c r="A91" t="inlineStr">
        <is>
          <t>262cd64bc404a5ecd480ece286a418ce1f14bf8c5262a18e3f4552ae50f85e0e</t>
        </is>
      </c>
      <c r="B91" t="inlineStr">
        <is>
          <t>Visma Enterprise (BOOM)</t>
        </is>
      </c>
      <c r="C91" t="n">
        <v>6</v>
      </c>
      <c r="D91" t="n">
        <v>2</v>
      </c>
      <c r="E91" t="n">
        <v>8</v>
      </c>
      <c r="F91" t="n">
        <v>20240601</v>
      </c>
      <c r="G91" t="n">
        <v>0</v>
      </c>
      <c r="H91" t="n">
        <v>0</v>
      </c>
      <c r="I91" t="n">
        <v>23741</v>
      </c>
      <c r="J91" t="n">
        <v>-23741</v>
      </c>
    </row>
    <row r="92">
      <c r="A92" t="inlineStr">
        <is>
          <t>0cbd167b955a6f948544e9f975380630e110ba476d681a791ac932e2c08775a9</t>
        </is>
      </c>
      <c r="B92" t="inlineStr">
        <is>
          <t>Visma Enterprise (BOOM)</t>
        </is>
      </c>
      <c r="C92" t="n">
        <v>6</v>
      </c>
      <c r="D92" t="n">
        <v>2</v>
      </c>
      <c r="E92" t="n">
        <v>8</v>
      </c>
      <c r="F92" t="n">
        <v>20240701</v>
      </c>
      <c r="G92" t="n">
        <v>0</v>
      </c>
      <c r="H92" t="n">
        <v>0</v>
      </c>
      <c r="I92" t="n">
        <v>23741</v>
      </c>
      <c r="J92" t="n">
        <v>-23741</v>
      </c>
    </row>
    <row r="93">
      <c r="A93" t="inlineStr">
        <is>
          <t>d6d513c755ec3c455b8ee0ceaec7a7244b540f3f45cc99daaa6e3980704266e5</t>
        </is>
      </c>
      <c r="B93" t="inlineStr">
        <is>
          <t>Visma Enterprise (BOOM)</t>
        </is>
      </c>
      <c r="C93" t="n">
        <v>6</v>
      </c>
      <c r="D93" t="n">
        <v>2</v>
      </c>
      <c r="E93" t="n">
        <v>8</v>
      </c>
      <c r="F93" t="n">
        <v>20240801</v>
      </c>
      <c r="G93" t="n">
        <v>0</v>
      </c>
      <c r="H93" t="n">
        <v>0</v>
      </c>
      <c r="I93" t="n">
        <v>23741</v>
      </c>
      <c r="J93" t="n">
        <v>-23741</v>
      </c>
    </row>
    <row r="94">
      <c r="A94" t="inlineStr">
        <is>
          <t>5b6f281cab1ada6122ed6c558edc2cbf08d1783138eb31daa319cf12c5b09046</t>
        </is>
      </c>
      <c r="B94" t="inlineStr">
        <is>
          <t>Visma Enterprise (BOOM)</t>
        </is>
      </c>
      <c r="C94" t="n">
        <v>6</v>
      </c>
      <c r="D94" t="n">
        <v>2</v>
      </c>
      <c r="E94" t="n">
        <v>8</v>
      </c>
      <c r="F94" t="n">
        <v>20240901</v>
      </c>
      <c r="G94" t="n">
        <v>0</v>
      </c>
      <c r="H94" t="n">
        <v>0</v>
      </c>
      <c r="I94" t="n">
        <v>23741</v>
      </c>
      <c r="J94" t="n">
        <v>-23741</v>
      </c>
    </row>
    <row r="95">
      <c r="A95" t="inlineStr">
        <is>
          <t>be6de1793a9540b50772e465bb6fbec2c685cb74c19dd41ca80308850f2965c0</t>
        </is>
      </c>
      <c r="B95" t="inlineStr">
        <is>
          <t>Visma Enterprise (BOOM)</t>
        </is>
      </c>
      <c r="C95" t="n">
        <v>6</v>
      </c>
      <c r="D95" t="n">
        <v>2</v>
      </c>
      <c r="E95" t="n">
        <v>8</v>
      </c>
      <c r="F95" t="n">
        <v>20241001</v>
      </c>
      <c r="G95" t="n">
        <v>0</v>
      </c>
      <c r="H95" t="n">
        <v>0</v>
      </c>
      <c r="I95" t="n">
        <v>23741</v>
      </c>
      <c r="J95" t="n">
        <v>-23741</v>
      </c>
    </row>
    <row r="96">
      <c r="A96" t="inlineStr">
        <is>
          <t>fe94dff60577541837c8aec5f4815d217c7500c6726abf3c336f080956f8667c</t>
        </is>
      </c>
      <c r="B96" t="inlineStr">
        <is>
          <t>Visma Enterprise (BOOM)</t>
        </is>
      </c>
      <c r="C96" t="n">
        <v>6</v>
      </c>
      <c r="D96" t="n">
        <v>2</v>
      </c>
      <c r="E96" t="n">
        <v>8</v>
      </c>
      <c r="F96" t="n">
        <v>20241101</v>
      </c>
      <c r="G96" t="n">
        <v>0</v>
      </c>
      <c r="H96" t="n">
        <v>0</v>
      </c>
      <c r="I96" t="n">
        <v>23741</v>
      </c>
      <c r="J96" t="n">
        <v>-23741</v>
      </c>
    </row>
    <row r="97">
      <c r="A97" t="inlineStr">
        <is>
          <t>67ffd17dbcef97b799a9816729036d2761e19f74be6cd8471c6309a1aea64109</t>
        </is>
      </c>
      <c r="B97" t="inlineStr">
        <is>
          <t>Visma Enterprise (BOOM)</t>
        </is>
      </c>
      <c r="C97" t="n">
        <v>6</v>
      </c>
      <c r="D97" t="n">
        <v>2</v>
      </c>
      <c r="E97" t="n">
        <v>8</v>
      </c>
      <c r="F97" t="n">
        <v>20241201</v>
      </c>
      <c r="G97" t="n">
        <v>0</v>
      </c>
      <c r="H97" t="n">
        <v>0</v>
      </c>
      <c r="I97" t="n">
        <v>23849</v>
      </c>
      <c r="J97" t="n">
        <v>-23849</v>
      </c>
    </row>
    <row r="98">
      <c r="A98" t="inlineStr">
        <is>
          <t>ae59a58b72d6895bd57a8e6bfe540c578db417713ca6f0a1ef8fa3909de390c9</t>
        </is>
      </c>
      <c r="B98" t="inlineStr">
        <is>
          <t>Visma Enterprise (BOOM)</t>
        </is>
      </c>
      <c r="C98" t="n">
        <v>6</v>
      </c>
      <c r="D98" t="n">
        <v>2</v>
      </c>
      <c r="E98" t="n">
        <v>8</v>
      </c>
      <c r="F98" t="n">
        <v>20240101</v>
      </c>
      <c r="G98" t="n">
        <v>0</v>
      </c>
      <c r="H98" t="n">
        <v>0</v>
      </c>
      <c r="I98" t="n">
        <v>4738</v>
      </c>
      <c r="J98" t="n">
        <v>-4738</v>
      </c>
    </row>
    <row r="99">
      <c r="A99" t="inlineStr">
        <is>
          <t>b2ae904e9e2cdbfd3e138f4b5e01444ada76658079d8106e59fa93477837de0f</t>
        </is>
      </c>
      <c r="B99" t="inlineStr">
        <is>
          <t>Visma Enterprise (BOOM)</t>
        </is>
      </c>
      <c r="C99" t="n">
        <v>6</v>
      </c>
      <c r="D99" t="n">
        <v>2</v>
      </c>
      <c r="E99" t="n">
        <v>8</v>
      </c>
      <c r="F99" t="n">
        <v>20240201</v>
      </c>
      <c r="G99" t="n">
        <v>8996.59</v>
      </c>
      <c r="H99" t="n">
        <v>8996.59</v>
      </c>
      <c r="I99" t="n">
        <v>4738</v>
      </c>
      <c r="J99" t="n">
        <v>4258.59</v>
      </c>
    </row>
    <row r="100">
      <c r="A100" t="inlineStr">
        <is>
          <t>a00fa8cc52212a56446e73eaa6dc7da690f6152ba210c08796b9bdbfc5912662</t>
        </is>
      </c>
      <c r="B100" t="inlineStr">
        <is>
          <t>Visma Enterprise (BOOM)</t>
        </is>
      </c>
      <c r="C100" t="n">
        <v>6</v>
      </c>
      <c r="D100" t="n">
        <v>2</v>
      </c>
      <c r="E100" t="n">
        <v>8</v>
      </c>
      <c r="F100" t="n">
        <v>20240301</v>
      </c>
      <c r="G100" t="n">
        <v>0</v>
      </c>
      <c r="H100" t="n">
        <v>0</v>
      </c>
      <c r="I100" t="n">
        <v>4738</v>
      </c>
      <c r="J100" t="n">
        <v>-4738</v>
      </c>
    </row>
    <row r="101">
      <c r="A101" t="inlineStr">
        <is>
          <t>9724c7654393ba8ba8c845b7058abce8bbd4c11afbf856de60bdc5ff908d5e13</t>
        </is>
      </c>
      <c r="B101" t="inlineStr">
        <is>
          <t>Visma Enterprise (BOOM)</t>
        </is>
      </c>
      <c r="C101" t="n">
        <v>6</v>
      </c>
      <c r="D101" t="n">
        <v>2</v>
      </c>
      <c r="E101" t="n">
        <v>8</v>
      </c>
      <c r="F101" t="n">
        <v>20240401</v>
      </c>
      <c r="G101" t="n">
        <v>5110.73</v>
      </c>
      <c r="H101" t="n">
        <v>5110.73</v>
      </c>
      <c r="I101" t="n">
        <v>4738</v>
      </c>
      <c r="J101" t="n">
        <v>372.7299999999996</v>
      </c>
    </row>
    <row r="102">
      <c r="A102" t="inlineStr">
        <is>
          <t>7e68267f4ee3c060514e037146a41bd547d749ef0d579c3c58dc6aedc64844f0</t>
        </is>
      </c>
      <c r="B102" t="inlineStr">
        <is>
          <t>Visma Enterprise (BOOM)</t>
        </is>
      </c>
      <c r="C102" t="n">
        <v>6</v>
      </c>
      <c r="D102" t="n">
        <v>2</v>
      </c>
      <c r="E102" t="n">
        <v>8</v>
      </c>
      <c r="F102" t="n">
        <v>20240501</v>
      </c>
      <c r="G102" t="n">
        <v>3351.87</v>
      </c>
      <c r="H102" t="n">
        <v>3351.87</v>
      </c>
      <c r="I102" t="n">
        <v>4738</v>
      </c>
      <c r="J102" t="n">
        <v>-1386.13</v>
      </c>
    </row>
    <row r="103">
      <c r="A103" t="inlineStr">
        <is>
          <t>29820ee94beaa3f17a0b286c03450d69de0418d1ad6e19b683fc8c78ebb139e7</t>
        </is>
      </c>
      <c r="B103" t="inlineStr">
        <is>
          <t>Visma Enterprise (BOOM)</t>
        </is>
      </c>
      <c r="C103" t="n">
        <v>6</v>
      </c>
      <c r="D103" t="n">
        <v>2</v>
      </c>
      <c r="E103" t="n">
        <v>8</v>
      </c>
      <c r="F103" t="n">
        <v>20240601</v>
      </c>
      <c r="G103" t="n">
        <v>2130.8</v>
      </c>
      <c r="H103" t="n">
        <v>2130.8</v>
      </c>
      <c r="I103" t="n">
        <v>4738</v>
      </c>
      <c r="J103" t="n">
        <v>-2607.2</v>
      </c>
    </row>
    <row r="104">
      <c r="A104" t="inlineStr">
        <is>
          <t>b1ddce8a85bfc037cef0ddf4ef7c3c3eba7617280a5a55cc5b70fadbd30d1847</t>
        </is>
      </c>
      <c r="B104" t="inlineStr">
        <is>
          <t>Visma Enterprise (BOOM)</t>
        </is>
      </c>
      <c r="C104" t="n">
        <v>6</v>
      </c>
      <c r="D104" t="n">
        <v>2</v>
      </c>
      <c r="E104" t="n">
        <v>8</v>
      </c>
      <c r="F104" t="n">
        <v>20240701</v>
      </c>
      <c r="G104" t="n">
        <v>964.38</v>
      </c>
      <c r="H104" t="n">
        <v>964.38</v>
      </c>
      <c r="I104" t="n">
        <v>4738</v>
      </c>
      <c r="J104" t="n">
        <v>-3773.62</v>
      </c>
    </row>
    <row r="105">
      <c r="A105" t="inlineStr">
        <is>
          <t>8a4e9d8662e9a6d8e32f03762ca83886c371e2867be4a11d3e1dd23da8ff6e7a</t>
        </is>
      </c>
      <c r="B105" t="inlineStr">
        <is>
          <t>Visma Enterprise (BOOM)</t>
        </is>
      </c>
      <c r="C105" t="n">
        <v>6</v>
      </c>
      <c r="D105" t="n">
        <v>2</v>
      </c>
      <c r="E105" t="n">
        <v>8</v>
      </c>
      <c r="F105" t="n">
        <v>20240801</v>
      </c>
      <c r="G105" t="n">
        <v>3854.21</v>
      </c>
      <c r="H105" t="n">
        <v>3854.21</v>
      </c>
      <c r="I105" t="n">
        <v>4738</v>
      </c>
      <c r="J105" t="n">
        <v>-883.79</v>
      </c>
    </row>
    <row r="106">
      <c r="A106" t="inlineStr">
        <is>
          <t>19f8138d474cf51759e97aca7327cdfc229856e7a5d7bfd481639011c5232b54</t>
        </is>
      </c>
      <c r="B106" t="inlineStr">
        <is>
          <t>Visma Enterprise (BOOM)</t>
        </is>
      </c>
      <c r="C106" t="n">
        <v>6</v>
      </c>
      <c r="D106" t="n">
        <v>2</v>
      </c>
      <c r="E106" t="n">
        <v>8</v>
      </c>
      <c r="F106" t="n">
        <v>20240901</v>
      </c>
      <c r="G106" t="n">
        <v>0</v>
      </c>
      <c r="H106" t="n">
        <v>0</v>
      </c>
      <c r="I106" t="n">
        <v>4738</v>
      </c>
      <c r="J106" t="n">
        <v>-4738</v>
      </c>
    </row>
    <row r="107">
      <c r="A107" t="inlineStr">
        <is>
          <t>ff23e8c0285817047a24f45efe5fb501308e0ad160d53c6a5e987647498e19a0</t>
        </is>
      </c>
      <c r="B107" t="inlineStr">
        <is>
          <t>Visma Enterprise (BOOM)</t>
        </is>
      </c>
      <c r="C107" t="n">
        <v>6</v>
      </c>
      <c r="D107" t="n">
        <v>2</v>
      </c>
      <c r="E107" t="n">
        <v>8</v>
      </c>
      <c r="F107" t="n">
        <v>20241001</v>
      </c>
      <c r="G107" t="n">
        <v>0</v>
      </c>
      <c r="H107" t="n">
        <v>0</v>
      </c>
      <c r="I107" t="n">
        <v>4738</v>
      </c>
      <c r="J107" t="n">
        <v>-4738</v>
      </c>
    </row>
    <row r="108">
      <c r="A108" t="inlineStr">
        <is>
          <t>31a690a1a9bf89a6f4a842972352a634973d26a79318c71887b53109b5e17013</t>
        </is>
      </c>
      <c r="B108" t="inlineStr">
        <is>
          <t>Visma Enterprise (BOOM)</t>
        </is>
      </c>
      <c r="C108" t="n">
        <v>6</v>
      </c>
      <c r="D108" t="n">
        <v>2</v>
      </c>
      <c r="E108" t="n">
        <v>8</v>
      </c>
      <c r="F108" t="n">
        <v>20241101</v>
      </c>
      <c r="G108" t="n">
        <v>0</v>
      </c>
      <c r="H108" t="n">
        <v>0</v>
      </c>
      <c r="I108" t="n">
        <v>4738</v>
      </c>
      <c r="J108" t="n">
        <v>-4738</v>
      </c>
    </row>
    <row r="109">
      <c r="A109" t="inlineStr">
        <is>
          <t>50dff57047b62b2c3c90d84e30a605dd1735c28e8375453dcd4dd67c737fc198</t>
        </is>
      </c>
      <c r="B109" t="inlineStr">
        <is>
          <t>Visma Enterprise (BOOM)</t>
        </is>
      </c>
      <c r="C109" t="n">
        <v>6</v>
      </c>
      <c r="D109" t="n">
        <v>2</v>
      </c>
      <c r="E109" t="n">
        <v>8</v>
      </c>
      <c r="F109" t="n">
        <v>20241201</v>
      </c>
      <c r="G109" t="n">
        <v>0</v>
      </c>
      <c r="H109" t="n">
        <v>0</v>
      </c>
      <c r="I109" t="n">
        <v>4882</v>
      </c>
      <c r="J109" t="n">
        <v>-4882</v>
      </c>
    </row>
    <row r="110">
      <c r="A110" t="inlineStr">
        <is>
          <t>da0166d7851aa30c5a8bb2332b29557a4cad14e835d1483b91b3060dd7530ac2</t>
        </is>
      </c>
      <c r="B110" t="inlineStr">
        <is>
          <t>Visma Enterprise (BOOM)</t>
        </is>
      </c>
      <c r="C110" t="n">
        <v>6</v>
      </c>
      <c r="D110" t="n">
        <v>2</v>
      </c>
      <c r="E110" t="n">
        <v>8</v>
      </c>
      <c r="F110" t="n">
        <v>20240101</v>
      </c>
      <c r="G110" t="n">
        <v>0</v>
      </c>
      <c r="H110" t="n">
        <v>0</v>
      </c>
      <c r="I110" t="n">
        <v>31172</v>
      </c>
      <c r="J110" t="n">
        <v>-31172</v>
      </c>
    </row>
    <row r="111">
      <c r="A111" t="inlineStr">
        <is>
          <t>9c3537cd0b3d13bfd4fe9272a9c2daae854133a226a0d83a59c7943535a2ee5f</t>
        </is>
      </c>
      <c r="B111" t="inlineStr">
        <is>
          <t>Visma Enterprise (BOOM)</t>
        </is>
      </c>
      <c r="C111" t="n">
        <v>6</v>
      </c>
      <c r="D111" t="n">
        <v>2</v>
      </c>
      <c r="E111" t="n">
        <v>8</v>
      </c>
      <c r="F111" t="n">
        <v>20240201</v>
      </c>
      <c r="G111" t="n">
        <v>95936.89</v>
      </c>
      <c r="H111" t="n">
        <v>95936.89</v>
      </c>
      <c r="I111" t="n">
        <v>10992</v>
      </c>
      <c r="J111" t="n">
        <v>84944.89</v>
      </c>
    </row>
    <row r="112">
      <c r="A112" t="inlineStr">
        <is>
          <t>bf0fa235faec96315cbbc0a2cbbbdbd73262c169de2a07ad961ea1d368cc647a</t>
        </is>
      </c>
      <c r="B112" t="inlineStr">
        <is>
          <t>Visma Enterprise (BOOM)</t>
        </is>
      </c>
      <c r="C112" t="n">
        <v>6</v>
      </c>
      <c r="D112" t="n">
        <v>2</v>
      </c>
      <c r="E112" t="n">
        <v>8</v>
      </c>
      <c r="F112" t="n">
        <v>20240301</v>
      </c>
      <c r="G112" t="n">
        <v>17258.03</v>
      </c>
      <c r="H112" t="n">
        <v>17258.03</v>
      </c>
      <c r="I112" t="n">
        <v>11621</v>
      </c>
      <c r="J112" t="n">
        <v>5637.029999999999</v>
      </c>
    </row>
    <row r="113">
      <c r="A113" t="inlineStr">
        <is>
          <t>8b6b304786ccb08a1b51711788d93b5bb1dfdddb2100dd8a9bfdfce6fe882c7a</t>
        </is>
      </c>
      <c r="B113" t="inlineStr">
        <is>
          <t>Visma Enterprise (BOOM)</t>
        </is>
      </c>
      <c r="C113" t="n">
        <v>6</v>
      </c>
      <c r="D113" t="n">
        <v>2</v>
      </c>
      <c r="E113" t="n">
        <v>8</v>
      </c>
      <c r="F113" t="n">
        <v>20240401</v>
      </c>
      <c r="G113" t="n">
        <v>8563.299999999999</v>
      </c>
      <c r="H113" t="n">
        <v>8563.299999999999</v>
      </c>
      <c r="I113" t="n">
        <v>17299</v>
      </c>
      <c r="J113" t="n">
        <v>-8735.700000000001</v>
      </c>
    </row>
    <row r="114">
      <c r="A114" t="inlineStr">
        <is>
          <t>f4c77862ea774d30abbf1f55a1afb68c97b66f66887d8967ca5d22d89dfa3c8d</t>
        </is>
      </c>
      <c r="B114" t="inlineStr">
        <is>
          <t>Visma Enterprise (BOOM)</t>
        </is>
      </c>
      <c r="C114" t="n">
        <v>6</v>
      </c>
      <c r="D114" t="n">
        <v>2</v>
      </c>
      <c r="E114" t="n">
        <v>8</v>
      </c>
      <c r="F114" t="n">
        <v>20240501</v>
      </c>
      <c r="G114" t="n">
        <v>5394.12</v>
      </c>
      <c r="H114" t="n">
        <v>5394.12</v>
      </c>
      <c r="I114" t="n">
        <v>14760</v>
      </c>
      <c r="J114" t="n">
        <v>-9365.880000000001</v>
      </c>
    </row>
    <row r="115">
      <c r="A115" t="inlineStr">
        <is>
          <t>492b85798c78ef20ed8886b76b78c049be79b9fd274c49ed47f7ceb791ee132e</t>
        </is>
      </c>
      <c r="B115" t="inlineStr">
        <is>
          <t>Visma Enterprise (BOOM)</t>
        </is>
      </c>
      <c r="C115" t="n">
        <v>6</v>
      </c>
      <c r="D115" t="n">
        <v>2</v>
      </c>
      <c r="E115" t="n">
        <v>8</v>
      </c>
      <c r="F115" t="n">
        <v>20240601</v>
      </c>
      <c r="G115" t="n">
        <v>2111.58</v>
      </c>
      <c r="H115" t="n">
        <v>2111.58</v>
      </c>
      <c r="I115" t="n">
        <v>21311</v>
      </c>
      <c r="J115" t="n">
        <v>-19199.42</v>
      </c>
    </row>
    <row r="116">
      <c r="A116" t="inlineStr">
        <is>
          <t>6cce6556acd4c97055135c7eca9dafad0c499b2d38c5e4852192f40de2a706d0</t>
        </is>
      </c>
      <c r="B116" t="inlineStr">
        <is>
          <t>Visma Enterprise (BOOM)</t>
        </is>
      </c>
      <c r="C116" t="n">
        <v>6</v>
      </c>
      <c r="D116" t="n">
        <v>2</v>
      </c>
      <c r="E116" t="n">
        <v>8</v>
      </c>
      <c r="F116" t="n">
        <v>20240701</v>
      </c>
      <c r="G116" t="n">
        <v>43393.77</v>
      </c>
      <c r="H116" t="n">
        <v>43393.77</v>
      </c>
      <c r="I116" t="n">
        <v>66668</v>
      </c>
      <c r="J116" t="n">
        <v>-23274.23</v>
      </c>
    </row>
    <row r="117">
      <c r="A117" t="inlineStr">
        <is>
          <t>9bed96afc468b3dab64b2e2e79c6a7430f1d879a743da9b11c1b301ab80e42ed</t>
        </is>
      </c>
      <c r="B117" t="inlineStr">
        <is>
          <t>Visma Enterprise (BOOM)</t>
        </is>
      </c>
      <c r="C117" t="n">
        <v>6</v>
      </c>
      <c r="D117" t="n">
        <v>2</v>
      </c>
      <c r="E117" t="n">
        <v>8</v>
      </c>
      <c r="F117" t="n">
        <v>20240801</v>
      </c>
      <c r="G117" t="n">
        <v>131265.74</v>
      </c>
      <c r="H117" t="n">
        <v>131265.74</v>
      </c>
      <c r="I117" t="n">
        <v>147227</v>
      </c>
      <c r="J117" t="n">
        <v>-15961.26000000001</v>
      </c>
    </row>
    <row r="118">
      <c r="A118" t="inlineStr">
        <is>
          <t>7f188424e70d39a1de89bd9f75c13f5b53260e72b2814011f4780b118d5f4b4d</t>
        </is>
      </c>
      <c r="B118" t="inlineStr">
        <is>
          <t>Visma Enterprise (BOOM)</t>
        </is>
      </c>
      <c r="C118" t="n">
        <v>6</v>
      </c>
      <c r="D118" t="n">
        <v>2</v>
      </c>
      <c r="E118" t="n">
        <v>8</v>
      </c>
      <c r="F118" t="n">
        <v>20240901</v>
      </c>
      <c r="G118" t="n">
        <v>0</v>
      </c>
      <c r="H118" t="n">
        <v>0</v>
      </c>
      <c r="I118" t="n">
        <v>126463</v>
      </c>
      <c r="J118" t="n">
        <v>-126463</v>
      </c>
    </row>
    <row r="119">
      <c r="A119" t="inlineStr">
        <is>
          <t>e1c2493cad78b9cb58afb757030e03f65db13764aa60a126f681812792114ad1</t>
        </is>
      </c>
      <c r="B119" t="inlineStr">
        <is>
          <t>Visma Enterprise (BOOM)</t>
        </is>
      </c>
      <c r="C119" t="n">
        <v>6</v>
      </c>
      <c r="D119" t="n">
        <v>2</v>
      </c>
      <c r="E119" t="n">
        <v>8</v>
      </c>
      <c r="F119" t="n">
        <v>20241001</v>
      </c>
      <c r="G119" t="n">
        <v>0</v>
      </c>
      <c r="H119" t="n">
        <v>0</v>
      </c>
      <c r="I119" t="n">
        <v>40837</v>
      </c>
      <c r="J119" t="n">
        <v>-40837</v>
      </c>
    </row>
    <row r="120">
      <c r="A120" t="inlineStr">
        <is>
          <t>9bf167a75fd6bc2b301016a336ad158784dd040c064c380f744e6152b742cdf0</t>
        </is>
      </c>
      <c r="B120" t="inlineStr">
        <is>
          <t>Visma Enterprise (BOOM)</t>
        </is>
      </c>
      <c r="C120" t="n">
        <v>6</v>
      </c>
      <c r="D120" t="n">
        <v>2</v>
      </c>
      <c r="E120" t="n">
        <v>8</v>
      </c>
      <c r="F120" t="n">
        <v>20241101</v>
      </c>
      <c r="G120" t="n">
        <v>0</v>
      </c>
      <c r="H120" t="n">
        <v>0</v>
      </c>
      <c r="I120" t="n">
        <v>40611</v>
      </c>
      <c r="J120" t="n">
        <v>-40611</v>
      </c>
    </row>
    <row r="121">
      <c r="A121" t="inlineStr">
        <is>
          <t>77e89c8697ab927f9379a8094c8ad1d886f05915c4fe91108559d1cbaf59a140</t>
        </is>
      </c>
      <c r="B121" t="inlineStr">
        <is>
          <t>Visma Enterprise (BOOM)</t>
        </is>
      </c>
      <c r="C121" t="n">
        <v>6</v>
      </c>
      <c r="D121" t="n">
        <v>2</v>
      </c>
      <c r="E121" t="n">
        <v>8</v>
      </c>
      <c r="F121" t="n">
        <v>20241201</v>
      </c>
      <c r="G121" t="n">
        <v>0</v>
      </c>
      <c r="H121" t="n">
        <v>0</v>
      </c>
      <c r="I121" t="n">
        <v>40040</v>
      </c>
      <c r="J121" t="n">
        <v>-40040</v>
      </c>
    </row>
    <row r="122">
      <c r="A122" t="inlineStr">
        <is>
          <t>41566c9a487f11513b6cd5325f45ddb926243f4cf779a9373011e04c8edfbe4b</t>
        </is>
      </c>
      <c r="B122" t="inlineStr">
        <is>
          <t>Visma Enterprise (BOOM)</t>
        </is>
      </c>
      <c r="C122" t="n">
        <v>6</v>
      </c>
      <c r="D122" t="n">
        <v>2</v>
      </c>
      <c r="E122" t="n">
        <v>8</v>
      </c>
      <c r="F122" t="n">
        <v>20240101</v>
      </c>
      <c r="G122" t="n">
        <v>0</v>
      </c>
      <c r="H122" t="n">
        <v>0</v>
      </c>
      <c r="I122" t="n">
        <v>0</v>
      </c>
      <c r="J122" t="n">
        <v>0</v>
      </c>
    </row>
    <row r="123">
      <c r="A123" t="inlineStr">
        <is>
          <t>6b292a6f30e48b2a1cf7da2d8503bc4b6cd3e338bfc26c3346c830337bf11dad</t>
        </is>
      </c>
      <c r="B123" t="inlineStr">
        <is>
          <t>Visma Enterprise (BOOM)</t>
        </is>
      </c>
      <c r="C123" t="n">
        <v>6</v>
      </c>
      <c r="D123" t="n">
        <v>2</v>
      </c>
      <c r="E123" t="n">
        <v>8</v>
      </c>
      <c r="F123" t="n">
        <v>20240201</v>
      </c>
      <c r="G123" t="n">
        <v>18404.54</v>
      </c>
      <c r="H123" t="n">
        <v>18404.54</v>
      </c>
      <c r="I123" t="n">
        <v>0</v>
      </c>
      <c r="J123" t="n">
        <v>18404.54</v>
      </c>
    </row>
    <row r="124">
      <c r="A124" t="inlineStr">
        <is>
          <t>e3876437a7c8e092dd172e619767806d10c88a1778dfc71264a61a7da10ce98a</t>
        </is>
      </c>
      <c r="B124" t="inlineStr">
        <is>
          <t>Visma Enterprise (BOOM)</t>
        </is>
      </c>
      <c r="C124" t="n">
        <v>6</v>
      </c>
      <c r="D124" t="n">
        <v>2</v>
      </c>
      <c r="E124" t="n">
        <v>8</v>
      </c>
      <c r="F124" t="n">
        <v>20240301</v>
      </c>
      <c r="G124" t="n">
        <v>9241.299999999999</v>
      </c>
      <c r="H124" t="n">
        <v>9241.299999999999</v>
      </c>
      <c r="I124" t="n">
        <v>0</v>
      </c>
      <c r="J124" t="n">
        <v>9241.299999999999</v>
      </c>
    </row>
    <row r="125">
      <c r="A125" t="inlineStr">
        <is>
          <t>74095f979836ae73ed349dee47c483bf181584731d22fcded867a82bf1b3e7c8</t>
        </is>
      </c>
      <c r="B125" t="inlineStr">
        <is>
          <t>Visma Enterprise (BOOM)</t>
        </is>
      </c>
      <c r="C125" t="n">
        <v>6</v>
      </c>
      <c r="D125" t="n">
        <v>2</v>
      </c>
      <c r="E125" t="n">
        <v>8</v>
      </c>
      <c r="F125" t="n">
        <v>20240401</v>
      </c>
      <c r="G125" t="n">
        <v>6405.76</v>
      </c>
      <c r="H125" t="n">
        <v>6405.76</v>
      </c>
      <c r="I125" t="n">
        <v>0</v>
      </c>
      <c r="J125" t="n">
        <v>6405.76</v>
      </c>
    </row>
    <row r="126">
      <c r="A126" t="inlineStr">
        <is>
          <t>587e8416de7f7e6e37f451a41709e631fc63efe1488e5526d01ffe3eb53c366c</t>
        </is>
      </c>
      <c r="B126" t="inlineStr">
        <is>
          <t>Visma Enterprise (BOOM)</t>
        </is>
      </c>
      <c r="C126" t="n">
        <v>6</v>
      </c>
      <c r="D126" t="n">
        <v>2</v>
      </c>
      <c r="E126" t="n">
        <v>8</v>
      </c>
      <c r="F126" t="n">
        <v>20240501</v>
      </c>
      <c r="G126" t="n">
        <v>3444.98</v>
      </c>
      <c r="H126" t="n">
        <v>3444.98</v>
      </c>
      <c r="I126" t="n">
        <v>0</v>
      </c>
      <c r="J126" t="n">
        <v>3444.98</v>
      </c>
    </row>
    <row r="127">
      <c r="A127" t="inlineStr">
        <is>
          <t>080a8db1837e8c79a8b27626fba962447bef510bb7120053840f50e5b5c5b824</t>
        </is>
      </c>
      <c r="B127" t="inlineStr">
        <is>
          <t>Visma Enterprise (BOOM)</t>
        </is>
      </c>
      <c r="C127" t="n">
        <v>6</v>
      </c>
      <c r="D127" t="n">
        <v>2</v>
      </c>
      <c r="E127" t="n">
        <v>8</v>
      </c>
      <c r="F127" t="n">
        <v>20240601</v>
      </c>
      <c r="G127" t="n">
        <v>14052.56</v>
      </c>
      <c r="H127" t="n">
        <v>14052.56</v>
      </c>
      <c r="I127" t="n">
        <v>0</v>
      </c>
      <c r="J127" t="n">
        <v>14052.56</v>
      </c>
    </row>
    <row r="128">
      <c r="A128" t="inlineStr">
        <is>
          <t>4f4b1cb0b7d26b20f59a2e6ae12cbe9e71fdb74449734eb7d3a3acbb2c3666d6</t>
        </is>
      </c>
      <c r="B128" t="inlineStr">
        <is>
          <t>Visma Enterprise (BOOM)</t>
        </is>
      </c>
      <c r="C128" t="n">
        <v>6</v>
      </c>
      <c r="D128" t="n">
        <v>2</v>
      </c>
      <c r="E128" t="n">
        <v>8</v>
      </c>
      <c r="F128" t="n">
        <v>20240701</v>
      </c>
      <c r="G128" t="n">
        <v>8319.139999999999</v>
      </c>
      <c r="H128" t="n">
        <v>8319.139999999999</v>
      </c>
      <c r="I128" t="n">
        <v>0</v>
      </c>
      <c r="J128" t="n">
        <v>8319.139999999999</v>
      </c>
    </row>
    <row r="129">
      <c r="A129" t="inlineStr">
        <is>
          <t>8b081b3e1491b7e4d42282cdec238defb3ace404598629475ed5077b44e58a37</t>
        </is>
      </c>
      <c r="B129" t="inlineStr">
        <is>
          <t>Visma Enterprise (BOOM)</t>
        </is>
      </c>
      <c r="C129" t="n">
        <v>6</v>
      </c>
      <c r="D129" t="n">
        <v>2</v>
      </c>
      <c r="E129" t="n">
        <v>8</v>
      </c>
      <c r="F129" t="n">
        <v>20240801</v>
      </c>
      <c r="G129" t="n">
        <v>1585.75</v>
      </c>
      <c r="H129" t="n">
        <v>1585.75</v>
      </c>
      <c r="I129" t="n">
        <v>0</v>
      </c>
      <c r="J129" t="n">
        <v>1585.75</v>
      </c>
    </row>
    <row r="130">
      <c r="A130" t="inlineStr">
        <is>
          <t>2c2b2b594cb1c948bc8adf519c2cb10b74e503c77e740b5963ed84328bb574c2</t>
        </is>
      </c>
      <c r="B130" t="inlineStr">
        <is>
          <t>Visma Enterprise (BOOM)</t>
        </is>
      </c>
      <c r="C130" t="n">
        <v>6</v>
      </c>
      <c r="D130" t="n">
        <v>2</v>
      </c>
      <c r="E130" t="n">
        <v>8</v>
      </c>
      <c r="F130" t="n">
        <v>20240901</v>
      </c>
      <c r="G130" t="n">
        <v>0</v>
      </c>
      <c r="H130" t="n">
        <v>0</v>
      </c>
      <c r="I130" t="n">
        <v>0</v>
      </c>
      <c r="J130" t="n">
        <v>0</v>
      </c>
    </row>
    <row r="131">
      <c r="A131" t="inlineStr">
        <is>
          <t>db263b1a7a6a7853030d70b8af34fbbe0c9120f2f247bc4a7293e62833be749d</t>
        </is>
      </c>
      <c r="B131" t="inlineStr">
        <is>
          <t>Visma Enterprise (BOOM)</t>
        </is>
      </c>
      <c r="C131" t="n">
        <v>6</v>
      </c>
      <c r="D131" t="n">
        <v>2</v>
      </c>
      <c r="E131" t="n">
        <v>8</v>
      </c>
      <c r="F131" t="n">
        <v>20241001</v>
      </c>
      <c r="G131" t="n">
        <v>0</v>
      </c>
      <c r="H131" t="n">
        <v>0</v>
      </c>
      <c r="I131" t="n">
        <v>0</v>
      </c>
      <c r="J131" t="n">
        <v>0</v>
      </c>
    </row>
    <row r="132">
      <c r="A132" t="inlineStr">
        <is>
          <t>8f43e19c1bcdf97cb9ed7d58a53cd799f3053e382217a5eb8d81f520d67ad623</t>
        </is>
      </c>
      <c r="B132" t="inlineStr">
        <is>
          <t>Visma Enterprise (BOOM)</t>
        </is>
      </c>
      <c r="C132" t="n">
        <v>6</v>
      </c>
      <c r="D132" t="n">
        <v>2</v>
      </c>
      <c r="E132" t="n">
        <v>8</v>
      </c>
      <c r="F132" t="n">
        <v>20241101</v>
      </c>
      <c r="G132" t="n">
        <v>0</v>
      </c>
      <c r="H132" t="n">
        <v>0</v>
      </c>
      <c r="I132" t="n">
        <v>0</v>
      </c>
      <c r="J132" t="n">
        <v>0</v>
      </c>
    </row>
    <row r="133">
      <c r="A133" t="inlineStr">
        <is>
          <t>4c0ddd370d9f8886d58bad97df2f783b821e4ac071a66fe5cb4b2f71262925ba</t>
        </is>
      </c>
      <c r="B133" t="inlineStr">
        <is>
          <t>Visma Enterprise (BOOM)</t>
        </is>
      </c>
      <c r="C133" t="n">
        <v>6</v>
      </c>
      <c r="D133" t="n">
        <v>2</v>
      </c>
      <c r="E133" t="n">
        <v>8</v>
      </c>
      <c r="F133" t="n">
        <v>20241201</v>
      </c>
      <c r="G133" t="n">
        <v>0</v>
      </c>
      <c r="H133" t="n">
        <v>0</v>
      </c>
      <c r="I133" t="n">
        <v>0</v>
      </c>
      <c r="J133" t="n">
        <v>0</v>
      </c>
    </row>
    <row r="134">
      <c r="A134" t="inlineStr">
        <is>
          <t>0f0eeb9eb206612c710752ed98fca6360fd46c0611688fe8adb17fa5bd5174a2</t>
        </is>
      </c>
      <c r="B134" t="inlineStr">
        <is>
          <t>Visma Enterprise (BOOM)</t>
        </is>
      </c>
      <c r="C134" t="n">
        <v>6</v>
      </c>
      <c r="D134" t="n">
        <v>2</v>
      </c>
      <c r="E134" t="n">
        <v>8</v>
      </c>
      <c r="F134" t="n">
        <v>20240101</v>
      </c>
      <c r="G134" t="n">
        <v>0</v>
      </c>
      <c r="H134" t="n">
        <v>0</v>
      </c>
      <c r="I134" t="n">
        <v>0</v>
      </c>
      <c r="J134" t="n">
        <v>0</v>
      </c>
    </row>
    <row r="135">
      <c r="A135" t="inlineStr">
        <is>
          <t>d0cc7888e4e8be6bd77b83b50a1cbbe064d82a4d564ea056758d81bf67c3ec08</t>
        </is>
      </c>
      <c r="B135" t="inlineStr">
        <is>
          <t>Visma Enterprise (BOOM)</t>
        </is>
      </c>
      <c r="C135" t="n">
        <v>6</v>
      </c>
      <c r="D135" t="n">
        <v>2</v>
      </c>
      <c r="E135" t="n">
        <v>8</v>
      </c>
      <c r="F135" t="n">
        <v>20240201</v>
      </c>
      <c r="G135" t="n">
        <v>14543.2</v>
      </c>
      <c r="H135" t="n">
        <v>14543.2</v>
      </c>
      <c r="I135" t="n">
        <v>0</v>
      </c>
      <c r="J135" t="n">
        <v>14543.2</v>
      </c>
    </row>
    <row r="136">
      <c r="A136" t="inlineStr">
        <is>
          <t>185a10a03ea31a94b7b45693a86d8bf5ce74e0be2aba72272c616a721dd7a17d</t>
        </is>
      </c>
      <c r="B136" t="inlineStr">
        <is>
          <t>Visma Enterprise (BOOM)</t>
        </is>
      </c>
      <c r="C136" t="n">
        <v>6</v>
      </c>
      <c r="D136" t="n">
        <v>2</v>
      </c>
      <c r="E136" t="n">
        <v>8</v>
      </c>
      <c r="F136" t="n">
        <v>20240301</v>
      </c>
      <c r="G136" t="n">
        <v>17012.8</v>
      </c>
      <c r="H136" t="n">
        <v>17012.8</v>
      </c>
      <c r="I136" t="n">
        <v>0</v>
      </c>
      <c r="J136" t="n">
        <v>17012.8</v>
      </c>
    </row>
    <row r="137">
      <c r="A137" t="inlineStr">
        <is>
          <t>e9ca5b46721664645ec848c25c8bd6b4b03657411e82dd1489d2105fc6ef7866</t>
        </is>
      </c>
      <c r="B137" t="inlineStr">
        <is>
          <t>Visma Enterprise (BOOM)</t>
        </is>
      </c>
      <c r="C137" t="n">
        <v>6</v>
      </c>
      <c r="D137" t="n">
        <v>2</v>
      </c>
      <c r="E137" t="n">
        <v>8</v>
      </c>
      <c r="F137" t="n">
        <v>20240401</v>
      </c>
      <c r="G137" t="n">
        <v>13955.2</v>
      </c>
      <c r="H137" t="n">
        <v>13955.2</v>
      </c>
      <c r="I137" t="n">
        <v>0</v>
      </c>
      <c r="J137" t="n">
        <v>13955.2</v>
      </c>
    </row>
    <row r="138">
      <c r="A138" t="inlineStr">
        <is>
          <t>a831a3d380c7ac2b988b273fd8db4cb8d3b031c238b3b3dfe0ff8406e505c5f2</t>
        </is>
      </c>
      <c r="B138" t="inlineStr">
        <is>
          <t>Visma Enterprise (BOOM)</t>
        </is>
      </c>
      <c r="C138" t="n">
        <v>6</v>
      </c>
      <c r="D138" t="n">
        <v>2</v>
      </c>
      <c r="E138" t="n">
        <v>8</v>
      </c>
      <c r="F138" t="n">
        <v>20240501</v>
      </c>
      <c r="G138" t="n">
        <v>18874.8</v>
      </c>
      <c r="H138" t="n">
        <v>18874.8</v>
      </c>
      <c r="I138" t="n">
        <v>0</v>
      </c>
      <c r="J138" t="n">
        <v>18874.8</v>
      </c>
    </row>
    <row r="139">
      <c r="A139" t="inlineStr">
        <is>
          <t>9a159bcce391a50f387a43a42d386ae556ec9fc6c832bdfc54b0d5cd45cb34a9</t>
        </is>
      </c>
      <c r="B139" t="inlineStr">
        <is>
          <t>Visma Enterprise (BOOM)</t>
        </is>
      </c>
      <c r="C139" t="n">
        <v>6</v>
      </c>
      <c r="D139" t="n">
        <v>2</v>
      </c>
      <c r="E139" t="n">
        <v>8</v>
      </c>
      <c r="F139" t="n">
        <v>20240601</v>
      </c>
      <c r="G139" t="n">
        <v>18188.52</v>
      </c>
      <c r="H139" t="n">
        <v>18188.52</v>
      </c>
      <c r="I139" t="n">
        <v>0</v>
      </c>
      <c r="J139" t="n">
        <v>18188.52</v>
      </c>
    </row>
    <row r="140">
      <c r="A140" t="inlineStr">
        <is>
          <t>e925185bcf54ecc5a625e8528a01adbcbf69c8e4f57ce59f7a77be5be2cad0ca</t>
        </is>
      </c>
      <c r="B140" t="inlineStr">
        <is>
          <t>Visma Enterprise (BOOM)</t>
        </is>
      </c>
      <c r="C140" t="n">
        <v>6</v>
      </c>
      <c r="D140" t="n">
        <v>2</v>
      </c>
      <c r="E140" t="n">
        <v>8</v>
      </c>
      <c r="F140" t="n">
        <v>20240701</v>
      </c>
      <c r="G140" t="n">
        <v>29733.2</v>
      </c>
      <c r="H140" t="n">
        <v>29733.2</v>
      </c>
      <c r="I140" t="n">
        <v>0</v>
      </c>
      <c r="J140" t="n">
        <v>29733.2</v>
      </c>
    </row>
    <row r="141">
      <c r="A141" t="inlineStr">
        <is>
          <t>feb2f43f51cd1232cff08a0c205b782b113aa7542b0db7ddaaba51c8b4a58c2b</t>
        </is>
      </c>
      <c r="B141" t="inlineStr">
        <is>
          <t>Visma Enterprise (BOOM)</t>
        </is>
      </c>
      <c r="C141" t="n">
        <v>6</v>
      </c>
      <c r="D141" t="n">
        <v>2</v>
      </c>
      <c r="E141" t="n">
        <v>8</v>
      </c>
      <c r="F141" t="n">
        <v>20240801</v>
      </c>
      <c r="G141" t="n">
        <v>28439.6</v>
      </c>
      <c r="H141" t="n">
        <v>28439.6</v>
      </c>
      <c r="I141" t="n">
        <v>0</v>
      </c>
      <c r="J141" t="n">
        <v>28439.6</v>
      </c>
    </row>
    <row r="142">
      <c r="A142" t="inlineStr">
        <is>
          <t>372a08be6a493172b3f52182846ddd8ca60745af9c2742fed2a0b49ccd9fd743</t>
        </is>
      </c>
      <c r="B142" t="inlineStr">
        <is>
          <t>Visma Enterprise (BOOM)</t>
        </is>
      </c>
      <c r="C142" t="n">
        <v>6</v>
      </c>
      <c r="D142" t="n">
        <v>2</v>
      </c>
      <c r="E142" t="n">
        <v>8</v>
      </c>
      <c r="F142" t="n">
        <v>20240901</v>
      </c>
      <c r="G142" t="n">
        <v>0</v>
      </c>
      <c r="H142" t="n">
        <v>0</v>
      </c>
      <c r="I142" t="n">
        <v>0</v>
      </c>
      <c r="J142" t="n">
        <v>0</v>
      </c>
    </row>
    <row r="143">
      <c r="A143" t="inlineStr">
        <is>
          <t>9ca8872a3d9bc089e4795dfdd7229ee44ce9dcb9836e9de8a7ad70e277c22e2b</t>
        </is>
      </c>
      <c r="B143" t="inlineStr">
        <is>
          <t>Visma Enterprise (BOOM)</t>
        </is>
      </c>
      <c r="C143" t="n">
        <v>6</v>
      </c>
      <c r="D143" t="n">
        <v>2</v>
      </c>
      <c r="E143" t="n">
        <v>8</v>
      </c>
      <c r="F143" t="n">
        <v>20241001</v>
      </c>
      <c r="G143" t="n">
        <v>0</v>
      </c>
      <c r="H143" t="n">
        <v>0</v>
      </c>
      <c r="I143" t="n">
        <v>0</v>
      </c>
      <c r="J143" t="n">
        <v>0</v>
      </c>
    </row>
    <row r="144">
      <c r="A144" t="inlineStr">
        <is>
          <t>15cb79ae1ac0f78570f332eb8b03be0fa46db6a44ee1ef5354c98b3e63e74477</t>
        </is>
      </c>
      <c r="B144" t="inlineStr">
        <is>
          <t>Visma Enterprise (BOOM)</t>
        </is>
      </c>
      <c r="C144" t="n">
        <v>6</v>
      </c>
      <c r="D144" t="n">
        <v>2</v>
      </c>
      <c r="E144" t="n">
        <v>8</v>
      </c>
      <c r="F144" t="n">
        <v>20241101</v>
      </c>
      <c r="G144" t="n">
        <v>0</v>
      </c>
      <c r="H144" t="n">
        <v>0</v>
      </c>
      <c r="I144" t="n">
        <v>0</v>
      </c>
      <c r="J144" t="n">
        <v>0</v>
      </c>
    </row>
    <row r="145">
      <c r="A145" t="inlineStr">
        <is>
          <t>38a4705add34fbd3908d3bd6b9e4f1ffc9da63df789a2f1f0f436def2625b24f</t>
        </is>
      </c>
      <c r="B145" t="inlineStr">
        <is>
          <t>Visma Enterprise (BOOM)</t>
        </is>
      </c>
      <c r="C145" t="n">
        <v>6</v>
      </c>
      <c r="D145" t="n">
        <v>2</v>
      </c>
      <c r="E145" t="n">
        <v>8</v>
      </c>
      <c r="F145" t="n">
        <v>20241201</v>
      </c>
      <c r="G145" t="n">
        <v>0</v>
      </c>
      <c r="H145" t="n">
        <v>0</v>
      </c>
      <c r="I145" t="n">
        <v>0</v>
      </c>
      <c r="J145" t="n">
        <v>0</v>
      </c>
    </row>
    <row r="146">
      <c r="A146" t="inlineStr">
        <is>
          <t>85911c596329c6678798a0c05228ba37e3d9d4ffe16cbfe27539000ca838ace8</t>
        </is>
      </c>
      <c r="B146" t="inlineStr">
        <is>
          <t>Visma Enterprise (BOOM)</t>
        </is>
      </c>
      <c r="C146" t="n">
        <v>6</v>
      </c>
      <c r="D146" t="n">
        <v>2</v>
      </c>
      <c r="E146" t="n">
        <v>8</v>
      </c>
      <c r="F146" t="n">
        <v>20240101</v>
      </c>
      <c r="G146" t="n">
        <v>0</v>
      </c>
      <c r="H146" t="n">
        <v>0</v>
      </c>
      <c r="I146" t="n">
        <v>0</v>
      </c>
      <c r="J146" t="n">
        <v>0</v>
      </c>
    </row>
    <row r="147">
      <c r="A147" t="inlineStr">
        <is>
          <t>be2e59a7d8b3cd215d98447ac23d5a6001e8f3bf2a39b13fa95256aa3451c478</t>
        </is>
      </c>
      <c r="B147" t="inlineStr">
        <is>
          <t>Visma Enterprise (BOOM)</t>
        </is>
      </c>
      <c r="C147" t="n">
        <v>6</v>
      </c>
      <c r="D147" t="n">
        <v>2</v>
      </c>
      <c r="E147" t="n">
        <v>8</v>
      </c>
      <c r="F147" t="n">
        <v>20240201</v>
      </c>
      <c r="G147" t="n">
        <v>59390.49</v>
      </c>
      <c r="H147" t="n">
        <v>59390.49</v>
      </c>
      <c r="I147" t="n">
        <v>0</v>
      </c>
      <c r="J147" t="n">
        <v>59390.49</v>
      </c>
    </row>
    <row r="148">
      <c r="A148" t="inlineStr">
        <is>
          <t>5be3d28c5feb9fedc4c9a6e17545284aca6d92696a82a15efeef983da6f87282</t>
        </is>
      </c>
      <c r="B148" t="inlineStr">
        <is>
          <t>Visma Enterprise (BOOM)</t>
        </is>
      </c>
      <c r="C148" t="n">
        <v>6</v>
      </c>
      <c r="D148" t="n">
        <v>2</v>
      </c>
      <c r="E148" t="n">
        <v>8</v>
      </c>
      <c r="F148" t="n">
        <v>20240301</v>
      </c>
      <c r="G148" t="n">
        <v>25189.15</v>
      </c>
      <c r="H148" t="n">
        <v>25189.15</v>
      </c>
      <c r="I148" t="n">
        <v>0</v>
      </c>
      <c r="J148" t="n">
        <v>25189.15</v>
      </c>
    </row>
    <row r="149">
      <c r="A149" t="inlineStr">
        <is>
          <t>7d00c97346c20fb2afc40bef36fad037ff56fcc5fb56c8f9ffa18052f2c6d2f2</t>
        </is>
      </c>
      <c r="B149" t="inlineStr">
        <is>
          <t>Visma Enterprise (BOOM)</t>
        </is>
      </c>
      <c r="C149" t="n">
        <v>6</v>
      </c>
      <c r="D149" t="n">
        <v>2</v>
      </c>
      <c r="E149" t="n">
        <v>8</v>
      </c>
      <c r="F149" t="n">
        <v>20240401</v>
      </c>
      <c r="G149" t="n">
        <v>28784.59</v>
      </c>
      <c r="H149" t="n">
        <v>28784.59</v>
      </c>
      <c r="I149" t="n">
        <v>0</v>
      </c>
      <c r="J149" t="n">
        <v>28784.59</v>
      </c>
    </row>
    <row r="150">
      <c r="A150" t="inlineStr">
        <is>
          <t>03469357f66162c386ef729e71a1773c8cc7d149632dade1687c130852aa6e5e</t>
        </is>
      </c>
      <c r="B150" t="inlineStr">
        <is>
          <t>Visma Enterprise (BOOM)</t>
        </is>
      </c>
      <c r="C150" t="n">
        <v>6</v>
      </c>
      <c r="D150" t="n">
        <v>2</v>
      </c>
      <c r="E150" t="n">
        <v>8</v>
      </c>
      <c r="F150" t="n">
        <v>20240501</v>
      </c>
      <c r="G150" t="n">
        <v>28468.81</v>
      </c>
      <c r="H150" t="n">
        <v>28468.81</v>
      </c>
      <c r="I150" t="n">
        <v>0</v>
      </c>
      <c r="J150" t="n">
        <v>28468.81</v>
      </c>
    </row>
    <row r="151">
      <c r="A151" t="inlineStr">
        <is>
          <t>9f349c29456add25e1025818f5ac8b70fe621169ba365d4ca115970a29b0f1ad</t>
        </is>
      </c>
      <c r="B151" t="inlineStr">
        <is>
          <t>Visma Enterprise (BOOM)</t>
        </is>
      </c>
      <c r="C151" t="n">
        <v>6</v>
      </c>
      <c r="D151" t="n">
        <v>2</v>
      </c>
      <c r="E151" t="n">
        <v>8</v>
      </c>
      <c r="F151" t="n">
        <v>20240601</v>
      </c>
      <c r="G151" t="n">
        <v>32469.26</v>
      </c>
      <c r="H151" t="n">
        <v>32469.26</v>
      </c>
      <c r="I151" t="n">
        <v>0</v>
      </c>
      <c r="J151" t="n">
        <v>32469.26</v>
      </c>
    </row>
    <row r="152">
      <c r="A152" t="inlineStr">
        <is>
          <t>57e8449caafd65238de0291fa3367ecafb15ebaee9a0e93eaec1f141039c24e6</t>
        </is>
      </c>
      <c r="B152" t="inlineStr">
        <is>
          <t>Visma Enterprise (BOOM)</t>
        </is>
      </c>
      <c r="C152" t="n">
        <v>6</v>
      </c>
      <c r="D152" t="n">
        <v>2</v>
      </c>
      <c r="E152" t="n">
        <v>8</v>
      </c>
      <c r="F152" t="n">
        <v>20240701</v>
      </c>
      <c r="G152" t="n">
        <v>39092.31</v>
      </c>
      <c r="H152" t="n">
        <v>39092.31</v>
      </c>
      <c r="I152" t="n">
        <v>0</v>
      </c>
      <c r="J152" t="n">
        <v>39092.31</v>
      </c>
    </row>
    <row r="153">
      <c r="A153" t="inlineStr">
        <is>
          <t>fa15bb0dd2caad75914811dfccd99b2d57deec5dcde0d7a61905f5e6751f0d63</t>
        </is>
      </c>
      <c r="B153" t="inlineStr">
        <is>
          <t>Visma Enterprise (BOOM)</t>
        </is>
      </c>
      <c r="C153" t="n">
        <v>6</v>
      </c>
      <c r="D153" t="n">
        <v>2</v>
      </c>
      <c r="E153" t="n">
        <v>8</v>
      </c>
      <c r="F153" t="n">
        <v>20240801</v>
      </c>
      <c r="G153" t="n">
        <v>45909.48</v>
      </c>
      <c r="H153" t="n">
        <v>45909.48</v>
      </c>
      <c r="I153" t="n">
        <v>0</v>
      </c>
      <c r="J153" t="n">
        <v>45909.48</v>
      </c>
    </row>
    <row r="154">
      <c r="A154" t="inlineStr">
        <is>
          <t>f15ff110b0b4b091f8482aad209c8f5d38bec60eb810f3d2179b0e3d2a72d6ac</t>
        </is>
      </c>
      <c r="B154" t="inlineStr">
        <is>
          <t>Visma Enterprise (BOOM)</t>
        </is>
      </c>
      <c r="C154" t="n">
        <v>6</v>
      </c>
      <c r="D154" t="n">
        <v>2</v>
      </c>
      <c r="E154" t="n">
        <v>8</v>
      </c>
      <c r="F154" t="n">
        <v>20240901</v>
      </c>
      <c r="G154" t="n">
        <v>0</v>
      </c>
      <c r="H154" t="n">
        <v>0</v>
      </c>
      <c r="I154" t="n">
        <v>0</v>
      </c>
      <c r="J154" t="n">
        <v>0</v>
      </c>
    </row>
    <row r="155">
      <c r="A155" t="inlineStr">
        <is>
          <t>f30b0b7b998782884960d55d999799be357bdba20806f360d503b5347842787a</t>
        </is>
      </c>
      <c r="B155" t="inlineStr">
        <is>
          <t>Visma Enterprise (BOOM)</t>
        </is>
      </c>
      <c r="C155" t="n">
        <v>6</v>
      </c>
      <c r="D155" t="n">
        <v>2</v>
      </c>
      <c r="E155" t="n">
        <v>8</v>
      </c>
      <c r="F155" t="n">
        <v>20241001</v>
      </c>
      <c r="G155" t="n">
        <v>0</v>
      </c>
      <c r="H155" t="n">
        <v>0</v>
      </c>
      <c r="I155" t="n">
        <v>0</v>
      </c>
      <c r="J155" t="n">
        <v>0</v>
      </c>
    </row>
    <row r="156">
      <c r="A156" t="inlineStr">
        <is>
          <t>ba41a5550db529671b263ef52e92adee958ccd9c1d862ec8150562eb134e1534</t>
        </is>
      </c>
      <c r="B156" t="inlineStr">
        <is>
          <t>Visma Enterprise (BOOM)</t>
        </is>
      </c>
      <c r="C156" t="n">
        <v>6</v>
      </c>
      <c r="D156" t="n">
        <v>2</v>
      </c>
      <c r="E156" t="n">
        <v>8</v>
      </c>
      <c r="F156" t="n">
        <v>20241101</v>
      </c>
      <c r="G156" t="n">
        <v>0</v>
      </c>
      <c r="H156" t="n">
        <v>0</v>
      </c>
      <c r="I156" t="n">
        <v>0</v>
      </c>
      <c r="J156" t="n">
        <v>0</v>
      </c>
    </row>
    <row r="157">
      <c r="A157" t="inlineStr">
        <is>
          <t>2e39c89872e8e034fe593393896b7eddf58572f953d9fda82149e8312f02f595</t>
        </is>
      </c>
      <c r="B157" t="inlineStr">
        <is>
          <t>Visma Enterprise (BOOM)</t>
        </is>
      </c>
      <c r="C157" t="n">
        <v>6</v>
      </c>
      <c r="D157" t="n">
        <v>2</v>
      </c>
      <c r="E157" t="n">
        <v>8</v>
      </c>
      <c r="F157" t="n">
        <v>20241201</v>
      </c>
      <c r="G157" t="n">
        <v>0</v>
      </c>
      <c r="H157" t="n">
        <v>0</v>
      </c>
      <c r="I157" t="n">
        <v>0</v>
      </c>
      <c r="J157" t="n">
        <v>0</v>
      </c>
    </row>
    <row r="158">
      <c r="A158" t="inlineStr">
        <is>
          <t>8d253c296f026a596ff12d4ee57469654f9a9e6b013556191aff5e7e319d0f4c</t>
        </is>
      </c>
      <c r="B158" t="inlineStr">
        <is>
          <t>Visma Enterprise (BOOM)</t>
        </is>
      </c>
      <c r="C158" t="n">
        <v>6</v>
      </c>
      <c r="D158" t="n">
        <v>2</v>
      </c>
      <c r="E158" t="n">
        <v>8</v>
      </c>
      <c r="F158" t="n">
        <v>20240101</v>
      </c>
      <c r="G158" t="n">
        <v>0</v>
      </c>
      <c r="H158" t="n">
        <v>0</v>
      </c>
      <c r="I158" t="n">
        <v>0</v>
      </c>
      <c r="J158" t="n">
        <v>0</v>
      </c>
    </row>
    <row r="159">
      <c r="A159" t="inlineStr">
        <is>
          <t>d93b3ce9010022d0b787968b5567ac9e2b38663354ffe76899cb12d871975b5a</t>
        </is>
      </c>
      <c r="B159" t="inlineStr">
        <is>
          <t>Visma Enterprise (BOOM)</t>
        </is>
      </c>
      <c r="C159" t="n">
        <v>6</v>
      </c>
      <c r="D159" t="n">
        <v>2</v>
      </c>
      <c r="E159" t="n">
        <v>8</v>
      </c>
      <c r="F159" t="n">
        <v>20240201</v>
      </c>
      <c r="G159" t="n">
        <v>20065.97</v>
      </c>
      <c r="H159" t="n">
        <v>20065.97</v>
      </c>
      <c r="I159" t="n">
        <v>0</v>
      </c>
      <c r="J159" t="n">
        <v>20065.97</v>
      </c>
    </row>
    <row r="160">
      <c r="A160" t="inlineStr">
        <is>
          <t>649e5e2613b55e22bf4ce5002dfc35bca4b706b0f55f9e9e146bec66f260e119</t>
        </is>
      </c>
      <c r="B160" t="inlineStr">
        <is>
          <t>Visma Enterprise (BOOM)</t>
        </is>
      </c>
      <c r="C160" t="n">
        <v>6</v>
      </c>
      <c r="D160" t="n">
        <v>2</v>
      </c>
      <c r="E160" t="n">
        <v>8</v>
      </c>
      <c r="F160" t="n">
        <v>20240301</v>
      </c>
      <c r="G160" t="n">
        <v>0</v>
      </c>
      <c r="H160" t="n">
        <v>0</v>
      </c>
      <c r="I160" t="n">
        <v>0</v>
      </c>
      <c r="J160" t="n">
        <v>0</v>
      </c>
    </row>
    <row r="161">
      <c r="A161" t="inlineStr">
        <is>
          <t>ae30cb9847d86aabc4ec6f5b45c61f724469db796388dbac372aea0632898d09</t>
        </is>
      </c>
      <c r="B161" t="inlineStr">
        <is>
          <t>Visma Enterprise (BOOM)</t>
        </is>
      </c>
      <c r="C161" t="n">
        <v>6</v>
      </c>
      <c r="D161" t="n">
        <v>2</v>
      </c>
      <c r="E161" t="n">
        <v>8</v>
      </c>
      <c r="F161" t="n">
        <v>20240401</v>
      </c>
      <c r="G161" t="n">
        <v>164.59</v>
      </c>
      <c r="H161" t="n">
        <v>164.59</v>
      </c>
      <c r="I161" t="n">
        <v>0</v>
      </c>
      <c r="J161" t="n">
        <v>164.59</v>
      </c>
    </row>
    <row r="162">
      <c r="A162" t="inlineStr">
        <is>
          <t>9ef1ad82431d71ef5bc6a2d334c71f7963f81234c4a2e3d1a65c8ab1123b4ba8</t>
        </is>
      </c>
      <c r="B162" t="inlineStr">
        <is>
          <t>Visma Enterprise (BOOM)</t>
        </is>
      </c>
      <c r="C162" t="n">
        <v>6</v>
      </c>
      <c r="D162" t="n">
        <v>2</v>
      </c>
      <c r="E162" t="n">
        <v>8</v>
      </c>
      <c r="F162" t="n">
        <v>20240501</v>
      </c>
      <c r="G162" t="n">
        <v>29714.92</v>
      </c>
      <c r="H162" t="n">
        <v>29714.92</v>
      </c>
      <c r="I162" t="n">
        <v>0</v>
      </c>
      <c r="J162" t="n">
        <v>29714.92</v>
      </c>
    </row>
    <row r="163">
      <c r="A163" t="inlineStr">
        <is>
          <t>1ace018ce6794c4c88cfd2365fbfff51434b0a576f936126512f1e1ced4a42ed</t>
        </is>
      </c>
      <c r="B163" t="inlineStr">
        <is>
          <t>Visma Enterprise (BOOM)</t>
        </is>
      </c>
      <c r="C163" t="n">
        <v>6</v>
      </c>
      <c r="D163" t="n">
        <v>2</v>
      </c>
      <c r="E163" t="n">
        <v>8</v>
      </c>
      <c r="F163" t="n">
        <v>20240601</v>
      </c>
      <c r="G163" t="n">
        <v>14652.72</v>
      </c>
      <c r="H163" t="n">
        <v>14652.72</v>
      </c>
      <c r="I163" t="n">
        <v>0</v>
      </c>
      <c r="J163" t="n">
        <v>14652.72</v>
      </c>
    </row>
    <row r="164">
      <c r="A164" t="inlineStr">
        <is>
          <t>7056792b93165b803a205333515cffd0b7b0e79183da3b016a1980f671e1fa82</t>
        </is>
      </c>
      <c r="B164" t="inlineStr">
        <is>
          <t>Visma Enterprise (BOOM)</t>
        </is>
      </c>
      <c r="C164" t="n">
        <v>6</v>
      </c>
      <c r="D164" t="n">
        <v>2</v>
      </c>
      <c r="E164" t="n">
        <v>8</v>
      </c>
      <c r="F164" t="n">
        <v>20240701</v>
      </c>
      <c r="G164" t="n">
        <v>28871.57</v>
      </c>
      <c r="H164" t="n">
        <v>28871.57</v>
      </c>
      <c r="I164" t="n">
        <v>0</v>
      </c>
      <c r="J164" t="n">
        <v>28871.57</v>
      </c>
    </row>
    <row r="165">
      <c r="A165" t="inlineStr">
        <is>
          <t>a3a27d0bdc954fec52cad0c8f95f4d4181142165f0bddcb0ea39cf06551c2e19</t>
        </is>
      </c>
      <c r="B165" t="inlineStr">
        <is>
          <t>Visma Enterprise (BOOM)</t>
        </is>
      </c>
      <c r="C165" t="n">
        <v>6</v>
      </c>
      <c r="D165" t="n">
        <v>2</v>
      </c>
      <c r="E165" t="n">
        <v>8</v>
      </c>
      <c r="F165" t="n">
        <v>20240801</v>
      </c>
      <c r="G165" t="n">
        <v>0</v>
      </c>
      <c r="H165" t="n">
        <v>0</v>
      </c>
      <c r="I165" t="n">
        <v>0</v>
      </c>
      <c r="J165" t="n">
        <v>0</v>
      </c>
    </row>
    <row r="166">
      <c r="A166" t="inlineStr">
        <is>
          <t>32f283f35ac4ba06a7d09effa4ae6bb178841de69c065c3d64cddcdd440a8a67</t>
        </is>
      </c>
      <c r="B166" t="inlineStr">
        <is>
          <t>Visma Enterprise (BOOM)</t>
        </is>
      </c>
      <c r="C166" t="n">
        <v>6</v>
      </c>
      <c r="D166" t="n">
        <v>2</v>
      </c>
      <c r="E166" t="n">
        <v>8</v>
      </c>
      <c r="F166" t="n">
        <v>20240901</v>
      </c>
      <c r="G166" t="n">
        <v>0</v>
      </c>
      <c r="H166" t="n">
        <v>0</v>
      </c>
      <c r="I166" t="n">
        <v>0</v>
      </c>
      <c r="J166" t="n">
        <v>0</v>
      </c>
    </row>
    <row r="167">
      <c r="A167" t="inlineStr">
        <is>
          <t>c4988f22797cc1078277b14e5efbcd083825563e0d074037d4650d15cd2345b0</t>
        </is>
      </c>
      <c r="B167" t="inlineStr">
        <is>
          <t>Visma Enterprise (BOOM)</t>
        </is>
      </c>
      <c r="C167" t="n">
        <v>6</v>
      </c>
      <c r="D167" t="n">
        <v>2</v>
      </c>
      <c r="E167" t="n">
        <v>8</v>
      </c>
      <c r="F167" t="n">
        <v>20241001</v>
      </c>
      <c r="G167" t="n">
        <v>0</v>
      </c>
      <c r="H167" t="n">
        <v>0</v>
      </c>
      <c r="I167" t="n">
        <v>0</v>
      </c>
      <c r="J167" t="n">
        <v>0</v>
      </c>
    </row>
    <row r="168">
      <c r="A168" t="inlineStr">
        <is>
          <t>0865cc2e54985101dfa22c45f82163e2c6fd4f7acadf81986c2e09365bfa3170</t>
        </is>
      </c>
      <c r="B168" t="inlineStr">
        <is>
          <t>Visma Enterprise (BOOM)</t>
        </is>
      </c>
      <c r="C168" t="n">
        <v>6</v>
      </c>
      <c r="D168" t="n">
        <v>2</v>
      </c>
      <c r="E168" t="n">
        <v>8</v>
      </c>
      <c r="F168" t="n">
        <v>20241101</v>
      </c>
      <c r="G168" t="n">
        <v>0</v>
      </c>
      <c r="H168" t="n">
        <v>0</v>
      </c>
      <c r="I168" t="n">
        <v>0</v>
      </c>
      <c r="J168" t="n">
        <v>0</v>
      </c>
    </row>
    <row r="169">
      <c r="A169" t="inlineStr">
        <is>
          <t>55f6a77351f46c20fd7ed8d16c44e20614e0b7d35d427ee41467c4ee65a00049</t>
        </is>
      </c>
      <c r="B169" t="inlineStr">
        <is>
          <t>Visma Enterprise (BOOM)</t>
        </is>
      </c>
      <c r="C169" t="n">
        <v>6</v>
      </c>
      <c r="D169" t="n">
        <v>2</v>
      </c>
      <c r="E169" t="n">
        <v>8</v>
      </c>
      <c r="F169" t="n">
        <v>20241201</v>
      </c>
      <c r="G169" t="n">
        <v>0</v>
      </c>
      <c r="H169" t="n">
        <v>0</v>
      </c>
      <c r="I169" t="n">
        <v>0</v>
      </c>
      <c r="J169" t="n">
        <v>0</v>
      </c>
    </row>
    <row r="170">
      <c r="A170" t="inlineStr">
        <is>
          <t>7dbad624851721b1d36774a2a1ba0f4b8ccbe296fc1b6ca8f3648bc770c57e99</t>
        </is>
      </c>
      <c r="B170" t="inlineStr">
        <is>
          <t>Visma Enterprise (BOOM)</t>
        </is>
      </c>
      <c r="C170" t="n">
        <v>6</v>
      </c>
      <c r="D170" t="n">
        <v>3</v>
      </c>
      <c r="E170" t="n">
        <v>8</v>
      </c>
      <c r="F170" t="n">
        <v>20240101</v>
      </c>
      <c r="G170" t="n">
        <v>0</v>
      </c>
      <c r="H170" t="n">
        <v>0</v>
      </c>
      <c r="I170" t="n">
        <v>0</v>
      </c>
      <c r="J170" t="n">
        <v>0</v>
      </c>
    </row>
    <row r="171">
      <c r="A171" t="inlineStr">
        <is>
          <t>27eac6219b7622d4fde278288fda1dffd88903c56ba696c0e27c0b798df71965</t>
        </is>
      </c>
      <c r="B171" t="inlineStr">
        <is>
          <t>Visma Enterprise (BOOM)</t>
        </is>
      </c>
      <c r="C171" t="n">
        <v>6</v>
      </c>
      <c r="D171" t="n">
        <v>3</v>
      </c>
      <c r="E171" t="n">
        <v>8</v>
      </c>
      <c r="F171" t="n">
        <v>20240201</v>
      </c>
      <c r="G171" t="n">
        <v>32502.05</v>
      </c>
      <c r="H171" t="n">
        <v>32502.05</v>
      </c>
      <c r="I171" t="n">
        <v>0</v>
      </c>
      <c r="J171" t="n">
        <v>32502.05</v>
      </c>
    </row>
    <row r="172">
      <c r="A172" t="inlineStr">
        <is>
          <t>4ed7b9532fee821d91fbad9ef695aba4fccb81c2b64f0fd55bb056cb9c59227f</t>
        </is>
      </c>
      <c r="B172" t="inlineStr">
        <is>
          <t>Visma Enterprise (BOOM)</t>
        </is>
      </c>
      <c r="C172" t="n">
        <v>6</v>
      </c>
      <c r="D172" t="n">
        <v>3</v>
      </c>
      <c r="E172" t="n">
        <v>8</v>
      </c>
      <c r="F172" t="n">
        <v>20240301</v>
      </c>
      <c r="G172" t="n">
        <v>26230.47</v>
      </c>
      <c r="H172" t="n">
        <v>26230.47</v>
      </c>
      <c r="I172" t="n">
        <v>0</v>
      </c>
      <c r="J172" t="n">
        <v>26230.47</v>
      </c>
    </row>
    <row r="173">
      <c r="A173" t="inlineStr">
        <is>
          <t>94abf90fa5582b391a0547d541b5f362e851c7a1b8d3ec9874dae2fbb89aa66d</t>
        </is>
      </c>
      <c r="B173" t="inlineStr">
        <is>
          <t>Visma Enterprise (BOOM)</t>
        </is>
      </c>
      <c r="C173" t="n">
        <v>6</v>
      </c>
      <c r="D173" t="n">
        <v>3</v>
      </c>
      <c r="E173" t="n">
        <v>8</v>
      </c>
      <c r="F173" t="n">
        <v>20240401</v>
      </c>
      <c r="G173" t="n">
        <v>4661.68</v>
      </c>
      <c r="H173" t="n">
        <v>4661.68</v>
      </c>
      <c r="I173" t="n">
        <v>0</v>
      </c>
      <c r="J173" t="n">
        <v>4661.68</v>
      </c>
    </row>
    <row r="174">
      <c r="A174" t="inlineStr">
        <is>
          <t>16f856e8d541d9647a186c0fe764b19f93391b7b8b50690044dc0cf288a6ccbd</t>
        </is>
      </c>
      <c r="B174" t="inlineStr">
        <is>
          <t>Visma Enterprise (BOOM)</t>
        </is>
      </c>
      <c r="C174" t="n">
        <v>6</v>
      </c>
      <c r="D174" t="n">
        <v>3</v>
      </c>
      <c r="E174" t="n">
        <v>8</v>
      </c>
      <c r="F174" t="n">
        <v>20240501</v>
      </c>
      <c r="G174" t="n">
        <v>12263.23</v>
      </c>
      <c r="H174" t="n">
        <v>12263.23</v>
      </c>
      <c r="I174" t="n">
        <v>0</v>
      </c>
      <c r="J174" t="n">
        <v>12263.23</v>
      </c>
    </row>
    <row r="175">
      <c r="A175" t="inlineStr">
        <is>
          <t>511ba7147062a47f7cbab0537176478da3e3e8f32189cde73512598c9ec2268d</t>
        </is>
      </c>
      <c r="B175" t="inlineStr">
        <is>
          <t>Visma Enterprise (BOOM)</t>
        </is>
      </c>
      <c r="C175" t="n">
        <v>6</v>
      </c>
      <c r="D175" t="n">
        <v>3</v>
      </c>
      <c r="E175" t="n">
        <v>8</v>
      </c>
      <c r="F175" t="n">
        <v>20240601</v>
      </c>
      <c r="G175" t="n">
        <v>34776.14</v>
      </c>
      <c r="H175" t="n">
        <v>34776.14</v>
      </c>
      <c r="I175" t="n">
        <v>0</v>
      </c>
      <c r="J175" t="n">
        <v>34776.14</v>
      </c>
    </row>
    <row r="176">
      <c r="A176" t="inlineStr">
        <is>
          <t>4410d066d73666440e5c34321ff043f5dd75490ba8f91a7a696238692cf796d3</t>
        </is>
      </c>
      <c r="B176" t="inlineStr">
        <is>
          <t>Visma Enterprise (BOOM)</t>
        </is>
      </c>
      <c r="C176" t="n">
        <v>6</v>
      </c>
      <c r="D176" t="n">
        <v>3</v>
      </c>
      <c r="E176" t="n">
        <v>8</v>
      </c>
      <c r="F176" t="n">
        <v>20240701</v>
      </c>
      <c r="G176" t="n">
        <v>20546.22</v>
      </c>
      <c r="H176" t="n">
        <v>20546.22</v>
      </c>
      <c r="I176" t="n">
        <v>0</v>
      </c>
      <c r="J176" t="n">
        <v>20546.22</v>
      </c>
    </row>
    <row r="177">
      <c r="A177" t="inlineStr">
        <is>
          <t>2aa06d3d21e72d06596315cf2eb7994ddaaf368aba0ff132100715ad1b8143c6</t>
        </is>
      </c>
      <c r="B177" t="inlineStr">
        <is>
          <t>Visma Enterprise (BOOM)</t>
        </is>
      </c>
      <c r="C177" t="n">
        <v>6</v>
      </c>
      <c r="D177" t="n">
        <v>3</v>
      </c>
      <c r="E177" t="n">
        <v>8</v>
      </c>
      <c r="F177" t="n">
        <v>20240801</v>
      </c>
      <c r="G177" t="n">
        <v>10668.91</v>
      </c>
      <c r="H177" t="n">
        <v>10668.91</v>
      </c>
      <c r="I177" t="n">
        <v>0</v>
      </c>
      <c r="J177" t="n">
        <v>10668.91</v>
      </c>
    </row>
    <row r="178">
      <c r="A178" t="inlineStr">
        <is>
          <t>313a245f48c7b73585190890a89e6a6f4f45ba9496ab183b125d52deb4e61c2f</t>
        </is>
      </c>
      <c r="B178" t="inlineStr">
        <is>
          <t>Visma Enterprise (BOOM)</t>
        </is>
      </c>
      <c r="C178" t="n">
        <v>6</v>
      </c>
      <c r="D178" t="n">
        <v>3</v>
      </c>
      <c r="E178" t="n">
        <v>8</v>
      </c>
      <c r="F178" t="n">
        <v>20240901</v>
      </c>
      <c r="G178" t="n">
        <v>0</v>
      </c>
      <c r="H178" t="n">
        <v>0</v>
      </c>
      <c r="I178" t="n">
        <v>0</v>
      </c>
      <c r="J178" t="n">
        <v>0</v>
      </c>
    </row>
    <row r="179">
      <c r="A179" t="inlineStr">
        <is>
          <t>5ee17f60a51f393c65bd6add78be293c1f58c72bbe23e77cdd0d633865d6bf80</t>
        </is>
      </c>
      <c r="B179" t="inlineStr">
        <is>
          <t>Visma Enterprise (BOOM)</t>
        </is>
      </c>
      <c r="C179" t="n">
        <v>6</v>
      </c>
      <c r="D179" t="n">
        <v>3</v>
      </c>
      <c r="E179" t="n">
        <v>8</v>
      </c>
      <c r="F179" t="n">
        <v>20241001</v>
      </c>
      <c r="G179" t="n">
        <v>0</v>
      </c>
      <c r="H179" t="n">
        <v>0</v>
      </c>
      <c r="I179" t="n">
        <v>0</v>
      </c>
      <c r="J179" t="n">
        <v>0</v>
      </c>
    </row>
    <row r="180">
      <c r="A180" t="inlineStr">
        <is>
          <t>17aa3f591d3f3e9cf38fd9e5588feab3d06594ae7d68f16678261e2ab024b799</t>
        </is>
      </c>
      <c r="B180" t="inlineStr">
        <is>
          <t>Visma Enterprise (BOOM)</t>
        </is>
      </c>
      <c r="C180" t="n">
        <v>6</v>
      </c>
      <c r="D180" t="n">
        <v>3</v>
      </c>
      <c r="E180" t="n">
        <v>8</v>
      </c>
      <c r="F180" t="n">
        <v>20241101</v>
      </c>
      <c r="G180" t="n">
        <v>0</v>
      </c>
      <c r="H180" t="n">
        <v>0</v>
      </c>
      <c r="I180" t="n">
        <v>0</v>
      </c>
      <c r="J180" t="n">
        <v>0</v>
      </c>
    </row>
    <row r="181">
      <c r="A181" t="inlineStr">
        <is>
          <t>ff4e5bd4c4b6f37caab93bbd689ae7c4c223f777a4bf11c87d2d2a7c83a42b6c</t>
        </is>
      </c>
      <c r="B181" t="inlineStr">
        <is>
          <t>Visma Enterprise (BOOM)</t>
        </is>
      </c>
      <c r="C181" t="n">
        <v>6</v>
      </c>
      <c r="D181" t="n">
        <v>3</v>
      </c>
      <c r="E181" t="n">
        <v>8</v>
      </c>
      <c r="F181" t="n">
        <v>20241201</v>
      </c>
      <c r="G181" t="n">
        <v>0</v>
      </c>
      <c r="H181" t="n">
        <v>0</v>
      </c>
      <c r="I181" t="n">
        <v>0</v>
      </c>
      <c r="J181" t="n">
        <v>0</v>
      </c>
    </row>
    <row r="182">
      <c r="A182" t="inlineStr">
        <is>
          <t>e21dab09e83d04f4c56d1de90c6edf9e06550d612d7b91c47b1e3379e7b2a7a5</t>
        </is>
      </c>
      <c r="B182" t="inlineStr">
        <is>
          <t>Visma Enterprise (BOOM)</t>
        </is>
      </c>
      <c r="C182" t="n">
        <v>6</v>
      </c>
      <c r="D182" t="n">
        <v>3</v>
      </c>
      <c r="E182" t="n">
        <v>8</v>
      </c>
      <c r="F182" t="n">
        <v>20240101</v>
      </c>
      <c r="G182" t="n">
        <v>0</v>
      </c>
      <c r="H182" t="n">
        <v>0</v>
      </c>
      <c r="I182" t="n">
        <v>0</v>
      </c>
      <c r="J182" t="n">
        <v>0</v>
      </c>
    </row>
    <row r="183">
      <c r="A183" t="inlineStr">
        <is>
          <t>87a27ddb4c8ff13b69b083908f7fa2f3939170819d2a131dfb9efb60e7d65b58</t>
        </is>
      </c>
      <c r="B183" t="inlineStr">
        <is>
          <t>Visma Enterprise (BOOM)</t>
        </is>
      </c>
      <c r="C183" t="n">
        <v>6</v>
      </c>
      <c r="D183" t="n">
        <v>3</v>
      </c>
      <c r="E183" t="n">
        <v>8</v>
      </c>
      <c r="F183" t="n">
        <v>20240201</v>
      </c>
      <c r="G183" t="n">
        <v>0</v>
      </c>
      <c r="H183" t="n">
        <v>0</v>
      </c>
      <c r="I183" t="n">
        <v>0</v>
      </c>
      <c r="J183" t="n">
        <v>0</v>
      </c>
    </row>
    <row r="184">
      <c r="A184" t="inlineStr">
        <is>
          <t>da97c013042048a4249a5dd08fb2768069ef55537b402b95ef2001754ae3785c</t>
        </is>
      </c>
      <c r="B184" t="inlineStr">
        <is>
          <t>Visma Enterprise (BOOM)</t>
        </is>
      </c>
      <c r="C184" t="n">
        <v>6</v>
      </c>
      <c r="D184" t="n">
        <v>3</v>
      </c>
      <c r="E184" t="n">
        <v>8</v>
      </c>
      <c r="F184" t="n">
        <v>20240301</v>
      </c>
      <c r="G184" t="n">
        <v>1881.6</v>
      </c>
      <c r="H184" t="n">
        <v>1881.6</v>
      </c>
      <c r="I184" t="n">
        <v>0</v>
      </c>
      <c r="J184" t="n">
        <v>1881.6</v>
      </c>
    </row>
    <row r="185">
      <c r="A185" t="inlineStr">
        <is>
          <t>86bfdd2746d540ba6c27bc0102d49fafcff498e2a936c845ac4b82aacc9fd61b</t>
        </is>
      </c>
      <c r="B185" t="inlineStr">
        <is>
          <t>Visma Enterprise (BOOM)</t>
        </is>
      </c>
      <c r="C185" t="n">
        <v>6</v>
      </c>
      <c r="D185" t="n">
        <v>3</v>
      </c>
      <c r="E185" t="n">
        <v>8</v>
      </c>
      <c r="F185" t="n">
        <v>20240401</v>
      </c>
      <c r="G185" t="n">
        <v>0</v>
      </c>
      <c r="H185" t="n">
        <v>0</v>
      </c>
      <c r="I185" t="n">
        <v>0</v>
      </c>
      <c r="J185" t="n">
        <v>0</v>
      </c>
    </row>
    <row r="186">
      <c r="A186" t="inlineStr">
        <is>
          <t>cff37fdcb1e563e5ca49206edd3f11d425e88e5b0d408cf33713b9728b6c142e</t>
        </is>
      </c>
      <c r="B186" t="inlineStr">
        <is>
          <t>Visma Enterprise (BOOM)</t>
        </is>
      </c>
      <c r="C186" t="n">
        <v>6</v>
      </c>
      <c r="D186" t="n">
        <v>3</v>
      </c>
      <c r="E186" t="n">
        <v>8</v>
      </c>
      <c r="F186" t="n">
        <v>20240501</v>
      </c>
      <c r="G186" t="n">
        <v>0</v>
      </c>
      <c r="H186" t="n">
        <v>0</v>
      </c>
      <c r="I186" t="n">
        <v>0</v>
      </c>
      <c r="J186" t="n">
        <v>0</v>
      </c>
    </row>
    <row r="187">
      <c r="A187" t="inlineStr">
        <is>
          <t>0b5bbf34140c0bbdda7a99e3bbfe35911f846f96984448dbc13b060df82592c4</t>
        </is>
      </c>
      <c r="B187" t="inlineStr">
        <is>
          <t>Visma Enterprise (BOOM)</t>
        </is>
      </c>
      <c r="C187" t="n">
        <v>6</v>
      </c>
      <c r="D187" t="n">
        <v>3</v>
      </c>
      <c r="E187" t="n">
        <v>8</v>
      </c>
      <c r="F187" t="n">
        <v>20240601</v>
      </c>
      <c r="G187" t="n">
        <v>558.46</v>
      </c>
      <c r="H187" t="n">
        <v>558.46</v>
      </c>
      <c r="I187" t="n">
        <v>0</v>
      </c>
      <c r="J187" t="n">
        <v>558.46</v>
      </c>
    </row>
    <row r="188">
      <c r="A188" t="inlineStr">
        <is>
          <t>ccebfa6dca668d1befa0f0871c3d34d6812fd07586397c61afe8036e683e902e</t>
        </is>
      </c>
      <c r="B188" t="inlineStr">
        <is>
          <t>Visma Enterprise (BOOM)</t>
        </is>
      </c>
      <c r="C188" t="n">
        <v>6</v>
      </c>
      <c r="D188" t="n">
        <v>3</v>
      </c>
      <c r="E188" t="n">
        <v>8</v>
      </c>
      <c r="F188" t="n">
        <v>20240701</v>
      </c>
      <c r="G188" t="n">
        <v>1058.4</v>
      </c>
      <c r="H188" t="n">
        <v>1058.4</v>
      </c>
      <c r="I188" t="n">
        <v>0</v>
      </c>
      <c r="J188" t="n">
        <v>1058.4</v>
      </c>
    </row>
    <row r="189">
      <c r="A189" t="inlineStr">
        <is>
          <t>3aa2c321f709456b8c7901e74caea34041170a03060031796fb9ea8983c0ade3</t>
        </is>
      </c>
      <c r="B189" t="inlineStr">
        <is>
          <t>Visma Enterprise (BOOM)</t>
        </is>
      </c>
      <c r="C189" t="n">
        <v>6</v>
      </c>
      <c r="D189" t="n">
        <v>3</v>
      </c>
      <c r="E189" t="n">
        <v>8</v>
      </c>
      <c r="F189" t="n">
        <v>20240801</v>
      </c>
      <c r="G189" t="n">
        <v>1881.6</v>
      </c>
      <c r="H189" t="n">
        <v>1881.6</v>
      </c>
      <c r="I189" t="n">
        <v>0</v>
      </c>
      <c r="J189" t="n">
        <v>1881.6</v>
      </c>
    </row>
    <row r="190">
      <c r="A190" t="inlineStr">
        <is>
          <t>d6863278a74bf871b5f62bb4e301624b0230f4d8f315a5f3dd23d5bf2f13c644</t>
        </is>
      </c>
      <c r="B190" t="inlineStr">
        <is>
          <t>Visma Enterprise (BOOM)</t>
        </is>
      </c>
      <c r="C190" t="n">
        <v>6</v>
      </c>
      <c r="D190" t="n">
        <v>3</v>
      </c>
      <c r="E190" t="n">
        <v>8</v>
      </c>
      <c r="F190" t="n">
        <v>20240901</v>
      </c>
      <c r="G190" t="n">
        <v>0</v>
      </c>
      <c r="H190" t="n">
        <v>0</v>
      </c>
      <c r="I190" t="n">
        <v>0</v>
      </c>
      <c r="J190" t="n">
        <v>0</v>
      </c>
    </row>
    <row r="191">
      <c r="A191" t="inlineStr">
        <is>
          <t>63db2827b3277b17470d1ea70059d988b72d73246c0567b6c4b2e441ed576699</t>
        </is>
      </c>
      <c r="B191" t="inlineStr">
        <is>
          <t>Visma Enterprise (BOOM)</t>
        </is>
      </c>
      <c r="C191" t="n">
        <v>6</v>
      </c>
      <c r="D191" t="n">
        <v>3</v>
      </c>
      <c r="E191" t="n">
        <v>8</v>
      </c>
      <c r="F191" t="n">
        <v>20241001</v>
      </c>
      <c r="G191" t="n">
        <v>0</v>
      </c>
      <c r="H191" t="n">
        <v>0</v>
      </c>
      <c r="I191" t="n">
        <v>0</v>
      </c>
      <c r="J191" t="n">
        <v>0</v>
      </c>
    </row>
    <row r="192">
      <c r="A192" t="inlineStr">
        <is>
          <t>e3814e72cbd73e2cfd5829b1c720b94ae73a910e80edba90ca79120bb1f00e19</t>
        </is>
      </c>
      <c r="B192" t="inlineStr">
        <is>
          <t>Visma Enterprise (BOOM)</t>
        </is>
      </c>
      <c r="C192" t="n">
        <v>6</v>
      </c>
      <c r="D192" t="n">
        <v>3</v>
      </c>
      <c r="E192" t="n">
        <v>8</v>
      </c>
      <c r="F192" t="n">
        <v>20241101</v>
      </c>
      <c r="G192" t="n">
        <v>0</v>
      </c>
      <c r="H192" t="n">
        <v>0</v>
      </c>
      <c r="I192" t="n">
        <v>0</v>
      </c>
      <c r="J192" t="n">
        <v>0</v>
      </c>
    </row>
    <row r="193">
      <c r="A193" t="inlineStr">
        <is>
          <t>50d5cb1959ca63a9709f26bb3f15554582ae114b42eafdb033b4d3ad3818999d</t>
        </is>
      </c>
      <c r="B193" t="inlineStr">
        <is>
          <t>Visma Enterprise (BOOM)</t>
        </is>
      </c>
      <c r="C193" t="n">
        <v>6</v>
      </c>
      <c r="D193" t="n">
        <v>3</v>
      </c>
      <c r="E193" t="n">
        <v>8</v>
      </c>
      <c r="F193" t="n">
        <v>20241201</v>
      </c>
      <c r="G193" t="n">
        <v>0</v>
      </c>
      <c r="H193" t="n">
        <v>0</v>
      </c>
      <c r="I193" t="n">
        <v>0</v>
      </c>
      <c r="J193" t="n">
        <v>0</v>
      </c>
    </row>
    <row r="194">
      <c r="A194" t="inlineStr">
        <is>
          <t>e1caa4d92b14f4b24dc74da75933aca1298dec938d53fa2ff5335eea29e1ae7c</t>
        </is>
      </c>
      <c r="B194" t="inlineStr">
        <is>
          <t>Visma Enterprise (BOOM)</t>
        </is>
      </c>
      <c r="C194" t="n">
        <v>6</v>
      </c>
      <c r="D194" t="n">
        <v>3</v>
      </c>
      <c r="E194" t="n">
        <v>8</v>
      </c>
      <c r="F194" t="n">
        <v>20240101</v>
      </c>
      <c r="G194" t="n">
        <v>0</v>
      </c>
      <c r="H194" t="n">
        <v>0</v>
      </c>
      <c r="I194" t="n">
        <v>0</v>
      </c>
      <c r="J194" t="n">
        <v>0</v>
      </c>
    </row>
    <row r="195">
      <c r="A195" t="inlineStr">
        <is>
          <t>dda0085acad4a3fee20e5941f50a9a789fbad655d6e04c831a40ef54eb784313</t>
        </is>
      </c>
      <c r="B195" t="inlineStr">
        <is>
          <t>Visma Enterprise (BOOM)</t>
        </is>
      </c>
      <c r="C195" t="n">
        <v>6</v>
      </c>
      <c r="D195" t="n">
        <v>3</v>
      </c>
      <c r="E195" t="n">
        <v>8</v>
      </c>
      <c r="F195" t="n">
        <v>20240201</v>
      </c>
      <c r="G195" t="n">
        <v>1740.48</v>
      </c>
      <c r="H195" t="n">
        <v>1740.48</v>
      </c>
      <c r="I195" t="n">
        <v>0</v>
      </c>
      <c r="J195" t="n">
        <v>1740.48</v>
      </c>
    </row>
    <row r="196">
      <c r="A196" t="inlineStr">
        <is>
          <t>9cbf1683f616d00e10717865b04d52f5ee5e84e0931c6f6771cf8a20d79470b2</t>
        </is>
      </c>
      <c r="B196" t="inlineStr">
        <is>
          <t>Visma Enterprise (BOOM)</t>
        </is>
      </c>
      <c r="C196" t="n">
        <v>6</v>
      </c>
      <c r="D196" t="n">
        <v>3</v>
      </c>
      <c r="E196" t="n">
        <v>8</v>
      </c>
      <c r="F196" t="n">
        <v>20240301</v>
      </c>
      <c r="G196" t="n">
        <v>831.04</v>
      </c>
      <c r="H196" t="n">
        <v>831.04</v>
      </c>
      <c r="I196" t="n">
        <v>0</v>
      </c>
      <c r="J196" t="n">
        <v>831.04</v>
      </c>
    </row>
    <row r="197">
      <c r="A197" t="inlineStr">
        <is>
          <t>773def76f7f74209c8443c1d8d24bdecf83949beef7c4beadad252955b2e3438</t>
        </is>
      </c>
      <c r="B197" t="inlineStr">
        <is>
          <t>Visma Enterprise (BOOM)</t>
        </is>
      </c>
      <c r="C197" t="n">
        <v>6</v>
      </c>
      <c r="D197" t="n">
        <v>3</v>
      </c>
      <c r="E197" t="n">
        <v>8</v>
      </c>
      <c r="F197" t="n">
        <v>20240401</v>
      </c>
      <c r="G197" t="n">
        <v>0</v>
      </c>
      <c r="H197" t="n">
        <v>0</v>
      </c>
      <c r="I197" t="n">
        <v>0</v>
      </c>
      <c r="J197" t="n">
        <v>0</v>
      </c>
    </row>
    <row r="198">
      <c r="A198" t="inlineStr">
        <is>
          <t>d18a204d9ce5e4f593a614014bf57c6e3ae279fa45744bd602b5f2cf91e29d0f</t>
        </is>
      </c>
      <c r="B198" t="inlineStr">
        <is>
          <t>Visma Enterprise (BOOM)</t>
        </is>
      </c>
      <c r="C198" t="n">
        <v>6</v>
      </c>
      <c r="D198" t="n">
        <v>3</v>
      </c>
      <c r="E198" t="n">
        <v>8</v>
      </c>
      <c r="F198" t="n">
        <v>20240501</v>
      </c>
      <c r="G198" t="n">
        <v>0</v>
      </c>
      <c r="H198" t="n">
        <v>0</v>
      </c>
      <c r="I198" t="n">
        <v>0</v>
      </c>
      <c r="J198" t="n">
        <v>0</v>
      </c>
    </row>
    <row r="199">
      <c r="A199" t="inlineStr">
        <is>
          <t>67d463d33441aa826ce28fde8e806c12e8db8b2302acb9a995ba0cf4d9908524</t>
        </is>
      </c>
      <c r="B199" t="inlineStr">
        <is>
          <t>Visma Enterprise (BOOM)</t>
        </is>
      </c>
      <c r="C199" t="n">
        <v>6</v>
      </c>
      <c r="D199" t="n">
        <v>3</v>
      </c>
      <c r="E199" t="n">
        <v>8</v>
      </c>
      <c r="F199" t="n">
        <v>20240601</v>
      </c>
      <c r="G199" t="n">
        <v>1641.4</v>
      </c>
      <c r="H199" t="n">
        <v>1641.4</v>
      </c>
      <c r="I199" t="n">
        <v>0</v>
      </c>
      <c r="J199" t="n">
        <v>1641.4</v>
      </c>
    </row>
    <row r="200">
      <c r="A200" t="inlineStr">
        <is>
          <t>afaee68645485f7f63f361fd9a73da40db610c368dec7df08255d87cb6846a4a</t>
        </is>
      </c>
      <c r="B200" t="inlineStr">
        <is>
          <t>Visma Enterprise (BOOM)</t>
        </is>
      </c>
      <c r="C200" t="n">
        <v>6</v>
      </c>
      <c r="D200" t="n">
        <v>3</v>
      </c>
      <c r="E200" t="n">
        <v>8</v>
      </c>
      <c r="F200" t="n">
        <v>20240701</v>
      </c>
      <c r="G200" t="n">
        <v>1383.76</v>
      </c>
      <c r="H200" t="n">
        <v>1383.76</v>
      </c>
      <c r="I200" t="n">
        <v>0</v>
      </c>
      <c r="J200" t="n">
        <v>1383.76</v>
      </c>
    </row>
    <row r="201">
      <c r="A201" t="inlineStr">
        <is>
          <t>a1200ce78ab8b81af58213cc0918d08e5ffb071283af0c8a3d693e2c1d8cdc5a</t>
        </is>
      </c>
      <c r="B201" t="inlineStr">
        <is>
          <t>Visma Enterprise (BOOM)</t>
        </is>
      </c>
      <c r="C201" t="n">
        <v>6</v>
      </c>
      <c r="D201" t="n">
        <v>3</v>
      </c>
      <c r="E201" t="n">
        <v>8</v>
      </c>
      <c r="F201" t="n">
        <v>20240801</v>
      </c>
      <c r="G201" t="n">
        <v>987.84</v>
      </c>
      <c r="H201" t="n">
        <v>987.84</v>
      </c>
      <c r="I201" t="n">
        <v>0</v>
      </c>
      <c r="J201" t="n">
        <v>987.84</v>
      </c>
    </row>
    <row r="202">
      <c r="A202" t="inlineStr">
        <is>
          <t>73f331d6d4979dacf4afce606a82702dc69cd79f354ff3396a0036dafd86e74a</t>
        </is>
      </c>
      <c r="B202" t="inlineStr">
        <is>
          <t>Visma Enterprise (BOOM)</t>
        </is>
      </c>
      <c r="C202" t="n">
        <v>6</v>
      </c>
      <c r="D202" t="n">
        <v>3</v>
      </c>
      <c r="E202" t="n">
        <v>8</v>
      </c>
      <c r="F202" t="n">
        <v>20240901</v>
      </c>
      <c r="G202" t="n">
        <v>0</v>
      </c>
      <c r="H202" t="n">
        <v>0</v>
      </c>
      <c r="I202" t="n">
        <v>0</v>
      </c>
      <c r="J202" t="n">
        <v>0</v>
      </c>
    </row>
    <row r="203">
      <c r="A203" t="inlineStr">
        <is>
          <t>6de650e193787b9e59f0faf3c3fbafdcc8c0aa5163ad34812e756259dc9c5eee</t>
        </is>
      </c>
      <c r="B203" t="inlineStr">
        <is>
          <t>Visma Enterprise (BOOM)</t>
        </is>
      </c>
      <c r="C203" t="n">
        <v>6</v>
      </c>
      <c r="D203" t="n">
        <v>3</v>
      </c>
      <c r="E203" t="n">
        <v>8</v>
      </c>
      <c r="F203" t="n">
        <v>20241001</v>
      </c>
      <c r="G203" t="n">
        <v>0</v>
      </c>
      <c r="H203" t="n">
        <v>0</v>
      </c>
      <c r="I203" t="n">
        <v>0</v>
      </c>
      <c r="J203" t="n">
        <v>0</v>
      </c>
    </row>
    <row r="204">
      <c r="A204" t="inlineStr">
        <is>
          <t>1fd4e17dec545528605cc41e6600dd25eb0c3afeda17358a4a2bb2ead901fbb5</t>
        </is>
      </c>
      <c r="B204" t="inlineStr">
        <is>
          <t>Visma Enterprise (BOOM)</t>
        </is>
      </c>
      <c r="C204" t="n">
        <v>6</v>
      </c>
      <c r="D204" t="n">
        <v>3</v>
      </c>
      <c r="E204" t="n">
        <v>8</v>
      </c>
      <c r="F204" t="n">
        <v>20241101</v>
      </c>
      <c r="G204" t="n">
        <v>0</v>
      </c>
      <c r="H204" t="n">
        <v>0</v>
      </c>
      <c r="I204" t="n">
        <v>0</v>
      </c>
      <c r="J204" t="n">
        <v>0</v>
      </c>
    </row>
    <row r="205">
      <c r="A205" t="inlineStr">
        <is>
          <t>479e515b0878233e5aec27d419cd0720478bf42570b9efcfb94e39f2fb034593</t>
        </is>
      </c>
      <c r="B205" t="inlineStr">
        <is>
          <t>Visma Enterprise (BOOM)</t>
        </is>
      </c>
      <c r="C205" t="n">
        <v>6</v>
      </c>
      <c r="D205" t="n">
        <v>3</v>
      </c>
      <c r="E205" t="n">
        <v>8</v>
      </c>
      <c r="F205" t="n">
        <v>20241201</v>
      </c>
      <c r="G205" t="n">
        <v>0</v>
      </c>
      <c r="H205" t="n">
        <v>0</v>
      </c>
      <c r="I205" t="n">
        <v>0</v>
      </c>
      <c r="J205" t="n">
        <v>0</v>
      </c>
    </row>
    <row r="206">
      <c r="A206" t="inlineStr">
        <is>
          <t>91cb641d8ff2976ac7f92d03fb532ebe412ef0e7426b0ab5973a20868d1fabb2</t>
        </is>
      </c>
      <c r="B206" t="inlineStr">
        <is>
          <t>Visma Enterprise (BOOM)</t>
        </is>
      </c>
      <c r="C206" t="n">
        <v>6</v>
      </c>
      <c r="D206" t="n">
        <v>3</v>
      </c>
      <c r="E206" t="n">
        <v>8</v>
      </c>
      <c r="F206" t="n">
        <v>20240101</v>
      </c>
      <c r="G206" t="n">
        <v>0</v>
      </c>
      <c r="H206" t="n">
        <v>0</v>
      </c>
      <c r="I206" t="n">
        <v>0</v>
      </c>
      <c r="J206" t="n">
        <v>0</v>
      </c>
    </row>
    <row r="207">
      <c r="A207" t="inlineStr">
        <is>
          <t>d09cd718a588f978ae8689a9ac045ea660d669468de9dab29bf9de753dd168bc</t>
        </is>
      </c>
      <c r="B207" t="inlineStr">
        <is>
          <t>Visma Enterprise (BOOM)</t>
        </is>
      </c>
      <c r="C207" t="n">
        <v>6</v>
      </c>
      <c r="D207" t="n">
        <v>3</v>
      </c>
      <c r="E207" t="n">
        <v>8</v>
      </c>
      <c r="F207" t="n">
        <v>20240201</v>
      </c>
      <c r="G207" t="n">
        <v>1708.4</v>
      </c>
      <c r="H207" t="n">
        <v>1708.4</v>
      </c>
      <c r="I207" t="n">
        <v>0</v>
      </c>
      <c r="J207" t="n">
        <v>1708.4</v>
      </c>
    </row>
    <row r="208">
      <c r="A208" t="inlineStr">
        <is>
          <t>399c0ed6cb5d1e21b197691aed923ebd18f6ed5d313882b47462a61869595c47</t>
        </is>
      </c>
      <c r="B208" t="inlineStr">
        <is>
          <t>Visma Enterprise (BOOM)</t>
        </is>
      </c>
      <c r="C208" t="n">
        <v>6</v>
      </c>
      <c r="D208" t="n">
        <v>3</v>
      </c>
      <c r="E208" t="n">
        <v>8</v>
      </c>
      <c r="F208" t="n">
        <v>20240301</v>
      </c>
      <c r="G208" t="n">
        <v>0</v>
      </c>
      <c r="H208" t="n">
        <v>0</v>
      </c>
      <c r="I208" t="n">
        <v>0</v>
      </c>
      <c r="J208" t="n">
        <v>0</v>
      </c>
    </row>
    <row r="209">
      <c r="A209" t="inlineStr">
        <is>
          <t>f733fbb8b27ff0c1fac3b0ca9e5eba5b10ab2de5d52fc36c455fa81f4a4fb388</t>
        </is>
      </c>
      <c r="B209" t="inlineStr">
        <is>
          <t>Visma Enterprise (BOOM)</t>
        </is>
      </c>
      <c r="C209" t="n">
        <v>6</v>
      </c>
      <c r="D209" t="n">
        <v>3</v>
      </c>
      <c r="E209" t="n">
        <v>8</v>
      </c>
      <c r="F209" t="n">
        <v>20240401</v>
      </c>
      <c r="G209" t="n">
        <v>0</v>
      </c>
      <c r="H209" t="n">
        <v>0</v>
      </c>
      <c r="I209" t="n">
        <v>0</v>
      </c>
      <c r="J209" t="n">
        <v>0</v>
      </c>
    </row>
    <row r="210">
      <c r="A210" t="inlineStr">
        <is>
          <t>32e0a8bf4719fb375ad1bcb50addf2e02eca2d40ed4ddf66ff5ca53147c6635c</t>
        </is>
      </c>
      <c r="B210" t="inlineStr">
        <is>
          <t>Visma Enterprise (BOOM)</t>
        </is>
      </c>
      <c r="C210" t="n">
        <v>6</v>
      </c>
      <c r="D210" t="n">
        <v>3</v>
      </c>
      <c r="E210" t="n">
        <v>8</v>
      </c>
      <c r="F210" t="n">
        <v>20240501</v>
      </c>
      <c r="G210" t="n">
        <v>0</v>
      </c>
      <c r="H210" t="n">
        <v>0</v>
      </c>
      <c r="I210" t="n">
        <v>0</v>
      </c>
      <c r="J210" t="n">
        <v>0</v>
      </c>
    </row>
    <row r="211">
      <c r="A211" t="inlineStr">
        <is>
          <t>e4350c321bb6274ece11853bfe6fdb5063cc52d2da874bfda549a65a6623fadd</t>
        </is>
      </c>
      <c r="B211" t="inlineStr">
        <is>
          <t>Visma Enterprise (BOOM)</t>
        </is>
      </c>
      <c r="C211" t="n">
        <v>6</v>
      </c>
      <c r="D211" t="n">
        <v>3</v>
      </c>
      <c r="E211" t="n">
        <v>8</v>
      </c>
      <c r="F211" t="n">
        <v>20240601</v>
      </c>
      <c r="G211" t="n">
        <v>4900.9</v>
      </c>
      <c r="H211" t="n">
        <v>4900.9</v>
      </c>
      <c r="I211" t="n">
        <v>0</v>
      </c>
      <c r="J211" t="n">
        <v>4900.9</v>
      </c>
    </row>
    <row r="212">
      <c r="A212" t="inlineStr">
        <is>
          <t>cc0af784391050c7e8a0404006daa185772e42512f24e651578ffca52a7f008f</t>
        </is>
      </c>
      <c r="B212" t="inlineStr">
        <is>
          <t>Visma Enterprise (BOOM)</t>
        </is>
      </c>
      <c r="C212" t="n">
        <v>6</v>
      </c>
      <c r="D212" t="n">
        <v>3</v>
      </c>
      <c r="E212" t="n">
        <v>8</v>
      </c>
      <c r="F212" t="n">
        <v>20240701</v>
      </c>
      <c r="G212" t="n">
        <v>0</v>
      </c>
      <c r="H212" t="n">
        <v>0</v>
      </c>
      <c r="I212" t="n">
        <v>0</v>
      </c>
      <c r="J212" t="n">
        <v>0</v>
      </c>
    </row>
    <row r="213">
      <c r="A213" t="inlineStr">
        <is>
          <t>38126501f46d43c00c11c254a80d9432ab782d97d7286950c1ccf108df10a55b</t>
        </is>
      </c>
      <c r="B213" t="inlineStr">
        <is>
          <t>Visma Enterprise (BOOM)</t>
        </is>
      </c>
      <c r="C213" t="n">
        <v>6</v>
      </c>
      <c r="D213" t="n">
        <v>3</v>
      </c>
      <c r="E213" t="n">
        <v>8</v>
      </c>
      <c r="F213" t="n">
        <v>20240801</v>
      </c>
      <c r="G213" t="n">
        <v>0</v>
      </c>
      <c r="H213" t="n">
        <v>0</v>
      </c>
      <c r="I213" t="n">
        <v>0</v>
      </c>
      <c r="J213" t="n">
        <v>0</v>
      </c>
    </row>
    <row r="214">
      <c r="A214" t="inlineStr">
        <is>
          <t>ddfd96b7bef36c5ecc952cf8b1e673a655aa962f2655edacd1efe38bbe4c6d9e</t>
        </is>
      </c>
      <c r="B214" t="inlineStr">
        <is>
          <t>Visma Enterprise (BOOM)</t>
        </is>
      </c>
      <c r="C214" t="n">
        <v>6</v>
      </c>
      <c r="D214" t="n">
        <v>3</v>
      </c>
      <c r="E214" t="n">
        <v>8</v>
      </c>
      <c r="F214" t="n">
        <v>20240901</v>
      </c>
      <c r="G214" t="n">
        <v>0</v>
      </c>
      <c r="H214" t="n">
        <v>0</v>
      </c>
      <c r="I214" t="n">
        <v>0</v>
      </c>
      <c r="J214" t="n">
        <v>0</v>
      </c>
    </row>
    <row r="215">
      <c r="A215" t="inlineStr">
        <is>
          <t>1fe477b2e47df3560f847afb5aacc731adb9e087b18458713d8dc6b915f15168</t>
        </is>
      </c>
      <c r="B215" t="inlineStr">
        <is>
          <t>Visma Enterprise (BOOM)</t>
        </is>
      </c>
      <c r="C215" t="n">
        <v>6</v>
      </c>
      <c r="D215" t="n">
        <v>3</v>
      </c>
      <c r="E215" t="n">
        <v>8</v>
      </c>
      <c r="F215" t="n">
        <v>20241001</v>
      </c>
      <c r="G215" t="n">
        <v>0</v>
      </c>
      <c r="H215" t="n">
        <v>0</v>
      </c>
      <c r="I215" t="n">
        <v>0</v>
      </c>
      <c r="J215" t="n">
        <v>0</v>
      </c>
    </row>
    <row r="216">
      <c r="A216" t="inlineStr">
        <is>
          <t>e730c71a3846b3c28d3a4cfeacb441e6a84c18e9d2ee7a16a7977f72ef74e067</t>
        </is>
      </c>
      <c r="B216" t="inlineStr">
        <is>
          <t>Visma Enterprise (BOOM)</t>
        </is>
      </c>
      <c r="C216" t="n">
        <v>6</v>
      </c>
      <c r="D216" t="n">
        <v>3</v>
      </c>
      <c r="E216" t="n">
        <v>8</v>
      </c>
      <c r="F216" t="n">
        <v>20241101</v>
      </c>
      <c r="G216" t="n">
        <v>0</v>
      </c>
      <c r="H216" t="n">
        <v>0</v>
      </c>
      <c r="I216" t="n">
        <v>0</v>
      </c>
      <c r="J216" t="n">
        <v>0</v>
      </c>
    </row>
    <row r="217">
      <c r="A217" t="inlineStr">
        <is>
          <t>cc7d74a9fd06a2edbe28a54201c88924071302079fa3f558eaaef937f36d2924</t>
        </is>
      </c>
      <c r="B217" t="inlineStr">
        <is>
          <t>Visma Enterprise (BOOM)</t>
        </is>
      </c>
      <c r="C217" t="n">
        <v>6</v>
      </c>
      <c r="D217" t="n">
        <v>3</v>
      </c>
      <c r="E217" t="n">
        <v>8</v>
      </c>
      <c r="F217" t="n">
        <v>20241201</v>
      </c>
      <c r="G217" t="n">
        <v>0</v>
      </c>
      <c r="H217" t="n">
        <v>0</v>
      </c>
      <c r="I217" t="n">
        <v>0</v>
      </c>
      <c r="J217" t="n">
        <v>0</v>
      </c>
    </row>
    <row r="218">
      <c r="A218" t="inlineStr">
        <is>
          <t>f3d0e182c2424b5d5e47bc4afbd413030ee5f770133811fc562555369e5c2244</t>
        </is>
      </c>
      <c r="B218" t="inlineStr">
        <is>
          <t>Visma Enterprise (BOOM)</t>
        </is>
      </c>
      <c r="C218" t="n">
        <v>6</v>
      </c>
      <c r="D218" t="n">
        <v>3</v>
      </c>
      <c r="E218" t="n">
        <v>8</v>
      </c>
      <c r="F218" t="n">
        <v>20240101</v>
      </c>
      <c r="G218" t="n">
        <v>0</v>
      </c>
      <c r="H218" t="n">
        <v>0</v>
      </c>
      <c r="I218" t="n">
        <v>0</v>
      </c>
      <c r="J218" t="n">
        <v>0</v>
      </c>
    </row>
    <row r="219">
      <c r="A219" t="inlineStr">
        <is>
          <t>236aa76f183687015c7262a4ab8933c03422cd189a6ecef1583a42ef39fc9d15</t>
        </is>
      </c>
      <c r="B219" t="inlineStr">
        <is>
          <t>Visma Enterprise (BOOM)</t>
        </is>
      </c>
      <c r="C219" t="n">
        <v>6</v>
      </c>
      <c r="D219" t="n">
        <v>3</v>
      </c>
      <c r="E219" t="n">
        <v>8</v>
      </c>
      <c r="F219" t="n">
        <v>20240201</v>
      </c>
      <c r="G219" t="n">
        <v>0</v>
      </c>
      <c r="H219" t="n">
        <v>0</v>
      </c>
      <c r="I219" t="n">
        <v>0</v>
      </c>
      <c r="J219" t="n">
        <v>0</v>
      </c>
    </row>
    <row r="220">
      <c r="A220" t="inlineStr">
        <is>
          <t>ce88ae9dd8de38d8f03a410b416aff0ca1e52c1ac0e3d8184ca8c0ab5e6a4445</t>
        </is>
      </c>
      <c r="B220" t="inlineStr">
        <is>
          <t>Visma Enterprise (BOOM)</t>
        </is>
      </c>
      <c r="C220" t="n">
        <v>6</v>
      </c>
      <c r="D220" t="n">
        <v>3</v>
      </c>
      <c r="E220" t="n">
        <v>8</v>
      </c>
      <c r="F220" t="n">
        <v>20240301</v>
      </c>
      <c r="G220" t="n">
        <v>19282.89</v>
      </c>
      <c r="H220" t="n">
        <v>19282.89</v>
      </c>
      <c r="I220" t="n">
        <v>0</v>
      </c>
      <c r="J220" t="n">
        <v>19282.89</v>
      </c>
    </row>
    <row r="221">
      <c r="A221" t="inlineStr">
        <is>
          <t>e5c76bb94713b93464590c75634fba04ff6323b10628ed832dd95000a3b98aea</t>
        </is>
      </c>
      <c r="B221" t="inlineStr">
        <is>
          <t>Visma Enterprise (BOOM)</t>
        </is>
      </c>
      <c r="C221" t="n">
        <v>6</v>
      </c>
      <c r="D221" t="n">
        <v>3</v>
      </c>
      <c r="E221" t="n">
        <v>8</v>
      </c>
      <c r="F221" t="n">
        <v>20240401</v>
      </c>
      <c r="G221" t="n">
        <v>0</v>
      </c>
      <c r="H221" t="n">
        <v>0</v>
      </c>
      <c r="I221" t="n">
        <v>0</v>
      </c>
      <c r="J221" t="n">
        <v>0</v>
      </c>
    </row>
    <row r="222">
      <c r="A222" t="inlineStr">
        <is>
          <t>fbf499cb330991773845c018f5b772039dd79f94b3b12da5be8a8524fcc80e07</t>
        </is>
      </c>
      <c r="B222" t="inlineStr">
        <is>
          <t>Visma Enterprise (BOOM)</t>
        </is>
      </c>
      <c r="C222" t="n">
        <v>6</v>
      </c>
      <c r="D222" t="n">
        <v>3</v>
      </c>
      <c r="E222" t="n">
        <v>8</v>
      </c>
      <c r="F222" t="n">
        <v>20240501</v>
      </c>
      <c r="G222" t="n">
        <v>0</v>
      </c>
      <c r="H222" t="n">
        <v>0</v>
      </c>
      <c r="I222" t="n">
        <v>0</v>
      </c>
      <c r="J222" t="n">
        <v>0</v>
      </c>
    </row>
    <row r="223">
      <c r="A223" t="inlineStr">
        <is>
          <t>26960b3660d514f5f67de1b61bc8e9645ef2b6365823d561e57bcaaf263a4ac5</t>
        </is>
      </c>
      <c r="B223" t="inlineStr">
        <is>
          <t>Visma Enterprise (BOOM)</t>
        </is>
      </c>
      <c r="C223" t="n">
        <v>6</v>
      </c>
      <c r="D223" t="n">
        <v>3</v>
      </c>
      <c r="E223" t="n">
        <v>8</v>
      </c>
      <c r="F223" t="n">
        <v>20240601</v>
      </c>
      <c r="G223" t="n">
        <v>0</v>
      </c>
      <c r="H223" t="n">
        <v>0</v>
      </c>
      <c r="I223" t="n">
        <v>0</v>
      </c>
      <c r="J223" t="n">
        <v>0</v>
      </c>
    </row>
    <row r="224">
      <c r="A224" t="inlineStr">
        <is>
          <t>c7d38caa3e680ea6810d452339c0ec4fe4abd71315d5da749a003f5131ee0354</t>
        </is>
      </c>
      <c r="B224" t="inlineStr">
        <is>
          <t>Visma Enterprise (BOOM)</t>
        </is>
      </c>
      <c r="C224" t="n">
        <v>6</v>
      </c>
      <c r="D224" t="n">
        <v>3</v>
      </c>
      <c r="E224" t="n">
        <v>8</v>
      </c>
      <c r="F224" t="n">
        <v>20240701</v>
      </c>
      <c r="G224" t="n">
        <v>0</v>
      </c>
      <c r="H224" t="n">
        <v>0</v>
      </c>
      <c r="I224" t="n">
        <v>0</v>
      </c>
      <c r="J224" t="n">
        <v>0</v>
      </c>
    </row>
    <row r="225">
      <c r="A225" t="inlineStr">
        <is>
          <t>56aa089ac8b458373133634a8bd2ccfce8ef319a84f2ad0309503eec4d385c35</t>
        </is>
      </c>
      <c r="B225" t="inlineStr">
        <is>
          <t>Visma Enterprise (BOOM)</t>
        </is>
      </c>
      <c r="C225" t="n">
        <v>6</v>
      </c>
      <c r="D225" t="n">
        <v>3</v>
      </c>
      <c r="E225" t="n">
        <v>8</v>
      </c>
      <c r="F225" t="n">
        <v>20240801</v>
      </c>
      <c r="G225" t="n">
        <v>0</v>
      </c>
      <c r="H225" t="n">
        <v>0</v>
      </c>
      <c r="I225" t="n">
        <v>0</v>
      </c>
      <c r="J225" t="n">
        <v>0</v>
      </c>
    </row>
    <row r="226">
      <c r="A226" t="inlineStr">
        <is>
          <t>7a527295948664744e944eb5ab66a330552e3725c6dd94a9925193565a41db35</t>
        </is>
      </c>
      <c r="B226" t="inlineStr">
        <is>
          <t>Visma Enterprise (BOOM)</t>
        </is>
      </c>
      <c r="C226" t="n">
        <v>6</v>
      </c>
      <c r="D226" t="n">
        <v>3</v>
      </c>
      <c r="E226" t="n">
        <v>8</v>
      </c>
      <c r="F226" t="n">
        <v>20240901</v>
      </c>
      <c r="G226" t="n">
        <v>0</v>
      </c>
      <c r="H226" t="n">
        <v>0</v>
      </c>
      <c r="I226" t="n">
        <v>0</v>
      </c>
      <c r="J226" t="n">
        <v>0</v>
      </c>
    </row>
    <row r="227">
      <c r="A227" t="inlineStr">
        <is>
          <t>5d1cdc08de055e6caae236d16726610a5a398410617d4b91fda0782a868ce166</t>
        </is>
      </c>
      <c r="B227" t="inlineStr">
        <is>
          <t>Visma Enterprise (BOOM)</t>
        </is>
      </c>
      <c r="C227" t="n">
        <v>6</v>
      </c>
      <c r="D227" t="n">
        <v>3</v>
      </c>
      <c r="E227" t="n">
        <v>8</v>
      </c>
      <c r="F227" t="n">
        <v>20241001</v>
      </c>
      <c r="G227" t="n">
        <v>0</v>
      </c>
      <c r="H227" t="n">
        <v>0</v>
      </c>
      <c r="I227" t="n">
        <v>0</v>
      </c>
      <c r="J227" t="n">
        <v>0</v>
      </c>
    </row>
    <row r="228">
      <c r="A228" t="inlineStr">
        <is>
          <t>462d2e3da1c74c010fec3de0f6c2577355c82fe2f0602054226442fe451f6101</t>
        </is>
      </c>
      <c r="B228" t="inlineStr">
        <is>
          <t>Visma Enterprise (BOOM)</t>
        </is>
      </c>
      <c r="C228" t="n">
        <v>6</v>
      </c>
      <c r="D228" t="n">
        <v>3</v>
      </c>
      <c r="E228" t="n">
        <v>8</v>
      </c>
      <c r="F228" t="n">
        <v>20241101</v>
      </c>
      <c r="G228" t="n">
        <v>0</v>
      </c>
      <c r="H228" t="n">
        <v>0</v>
      </c>
      <c r="I228" t="n">
        <v>0</v>
      </c>
      <c r="J228" t="n">
        <v>0</v>
      </c>
    </row>
    <row r="229">
      <c r="A229" t="inlineStr">
        <is>
          <t>0fdd68e35ed9f5182adeedcf3ef6e8961bc64afd3f43bca887b1f665b3ca0240</t>
        </is>
      </c>
      <c r="B229" t="inlineStr">
        <is>
          <t>Visma Enterprise (BOOM)</t>
        </is>
      </c>
      <c r="C229" t="n">
        <v>6</v>
      </c>
      <c r="D229" t="n">
        <v>3</v>
      </c>
      <c r="E229" t="n">
        <v>8</v>
      </c>
      <c r="F229" t="n">
        <v>20241201</v>
      </c>
      <c r="G229" t="n">
        <v>0</v>
      </c>
      <c r="H229" t="n">
        <v>0</v>
      </c>
      <c r="I229" t="n">
        <v>0</v>
      </c>
      <c r="J229" t="n">
        <v>0</v>
      </c>
    </row>
    <row r="230">
      <c r="A230" t="inlineStr">
        <is>
          <t>5325edcd4341c1c8344c59643ae48ec15bb3361b5026e97b21526dc0eea2a42c</t>
        </is>
      </c>
      <c r="B230" t="inlineStr">
        <is>
          <t>Visma Enterprise (BOOM)</t>
        </is>
      </c>
      <c r="C230" t="n">
        <v>6</v>
      </c>
      <c r="D230" t="n">
        <v>3</v>
      </c>
      <c r="E230" t="n">
        <v>8</v>
      </c>
      <c r="F230" t="n">
        <v>20240101</v>
      </c>
      <c r="G230" t="n">
        <v>0</v>
      </c>
      <c r="H230" t="n">
        <v>0</v>
      </c>
      <c r="I230" t="n">
        <v>0</v>
      </c>
      <c r="J230" t="n">
        <v>0</v>
      </c>
    </row>
    <row r="231">
      <c r="A231" t="inlineStr">
        <is>
          <t>351051110e042d641e1e4c69bfa4ee1b2f75f194fccafb3a8a6142765c73d83a</t>
        </is>
      </c>
      <c r="B231" t="inlineStr">
        <is>
          <t>Visma Enterprise (BOOM)</t>
        </is>
      </c>
      <c r="C231" t="n">
        <v>6</v>
      </c>
      <c r="D231" t="n">
        <v>3</v>
      </c>
      <c r="E231" t="n">
        <v>8</v>
      </c>
      <c r="F231" t="n">
        <v>20240201</v>
      </c>
      <c r="G231" t="n">
        <v>0</v>
      </c>
      <c r="H231" t="n">
        <v>0</v>
      </c>
      <c r="I231" t="n">
        <v>0</v>
      </c>
      <c r="J231" t="n">
        <v>0</v>
      </c>
    </row>
    <row r="232">
      <c r="A232" t="inlineStr">
        <is>
          <t>d9358100fdfd1b40514865a625c49b29259d0c1c3f93b3996bfd0d9e2ea3b8e8</t>
        </is>
      </c>
      <c r="B232" t="inlineStr">
        <is>
          <t>Visma Enterprise (BOOM)</t>
        </is>
      </c>
      <c r="C232" t="n">
        <v>6</v>
      </c>
      <c r="D232" t="n">
        <v>3</v>
      </c>
      <c r="E232" t="n">
        <v>8</v>
      </c>
      <c r="F232" t="n">
        <v>20240301</v>
      </c>
      <c r="G232" t="n">
        <v>0</v>
      </c>
      <c r="H232" t="n">
        <v>0</v>
      </c>
      <c r="I232" t="n">
        <v>0</v>
      </c>
      <c r="J232" t="n">
        <v>0</v>
      </c>
    </row>
    <row r="233">
      <c r="A233" t="inlineStr">
        <is>
          <t>a3edc3ed36d02ae761779dbf1caa09df5270b332f0053f5a9bfe01d185ed43b7</t>
        </is>
      </c>
      <c r="B233" t="inlineStr">
        <is>
          <t>Visma Enterprise (BOOM)</t>
        </is>
      </c>
      <c r="C233" t="n">
        <v>6</v>
      </c>
      <c r="D233" t="n">
        <v>3</v>
      </c>
      <c r="E233" t="n">
        <v>8</v>
      </c>
      <c r="F233" t="n">
        <v>20240401</v>
      </c>
      <c r="G233" t="n">
        <v>0</v>
      </c>
      <c r="H233" t="n">
        <v>0</v>
      </c>
      <c r="I233" t="n">
        <v>0</v>
      </c>
      <c r="J233" t="n">
        <v>0</v>
      </c>
    </row>
    <row r="234">
      <c r="A234" t="inlineStr">
        <is>
          <t>a301855bc2f46238fe2d7196fe5198f245659b0a7901ae2539dcb62b02a7e4f8</t>
        </is>
      </c>
      <c r="B234" t="inlineStr">
        <is>
          <t>Visma Enterprise (BOOM)</t>
        </is>
      </c>
      <c r="C234" t="n">
        <v>6</v>
      </c>
      <c r="D234" t="n">
        <v>3</v>
      </c>
      <c r="E234" t="n">
        <v>8</v>
      </c>
      <c r="F234" t="n">
        <v>20240501</v>
      </c>
      <c r="G234" t="n">
        <v>0</v>
      </c>
      <c r="H234" t="n">
        <v>0</v>
      </c>
      <c r="I234" t="n">
        <v>0</v>
      </c>
      <c r="J234" t="n">
        <v>0</v>
      </c>
    </row>
    <row r="235">
      <c r="A235" t="inlineStr">
        <is>
          <t>da0fbf25c0608118086423b031322a722fb4e6e1accbc9966386091d97f36e4c</t>
        </is>
      </c>
      <c r="B235" t="inlineStr">
        <is>
          <t>Visma Enterprise (BOOM)</t>
        </is>
      </c>
      <c r="C235" t="n">
        <v>6</v>
      </c>
      <c r="D235" t="n">
        <v>3</v>
      </c>
      <c r="E235" t="n">
        <v>8</v>
      </c>
      <c r="F235" t="n">
        <v>20240601</v>
      </c>
      <c r="G235" t="n">
        <v>0</v>
      </c>
      <c r="H235" t="n">
        <v>0</v>
      </c>
      <c r="I235" t="n">
        <v>0</v>
      </c>
      <c r="J235" t="n">
        <v>0</v>
      </c>
    </row>
    <row r="236">
      <c r="A236" t="inlineStr">
        <is>
          <t>e73cdafcbe02bdd8834a0d63ff295e35f0a152626f1e3a9e720e84cd5fe7f9ef</t>
        </is>
      </c>
      <c r="B236" t="inlineStr">
        <is>
          <t>Visma Enterprise (BOOM)</t>
        </is>
      </c>
      <c r="C236" t="n">
        <v>6</v>
      </c>
      <c r="D236" t="n">
        <v>3</v>
      </c>
      <c r="E236" t="n">
        <v>8</v>
      </c>
      <c r="F236" t="n">
        <v>20240701</v>
      </c>
      <c r="G236" t="n">
        <v>10175.6</v>
      </c>
      <c r="H236" t="n">
        <v>10175.6</v>
      </c>
      <c r="I236" t="n">
        <v>0</v>
      </c>
      <c r="J236" t="n">
        <v>10175.6</v>
      </c>
    </row>
    <row r="237">
      <c r="A237" t="inlineStr">
        <is>
          <t>d76ea85663f5f55ff470b3e34f0046502baa0b665aae6092d63bb27b6cbc4362</t>
        </is>
      </c>
      <c r="B237" t="inlineStr">
        <is>
          <t>Visma Enterprise (BOOM)</t>
        </is>
      </c>
      <c r="C237" t="n">
        <v>6</v>
      </c>
      <c r="D237" t="n">
        <v>3</v>
      </c>
      <c r="E237" t="n">
        <v>8</v>
      </c>
      <c r="F237" t="n">
        <v>20240801</v>
      </c>
      <c r="G237" t="n">
        <v>19858.59</v>
      </c>
      <c r="H237" t="n">
        <v>19858.59</v>
      </c>
      <c r="I237" t="n">
        <v>0</v>
      </c>
      <c r="J237" t="n">
        <v>19858.59</v>
      </c>
    </row>
    <row r="238">
      <c r="A238" t="inlineStr">
        <is>
          <t>e1a7a279661db3477c70d378463c541eea8791d581efde94339cec45bd4f14ad</t>
        </is>
      </c>
      <c r="B238" t="inlineStr">
        <is>
          <t>Visma Enterprise (BOOM)</t>
        </is>
      </c>
      <c r="C238" t="n">
        <v>6</v>
      </c>
      <c r="D238" t="n">
        <v>3</v>
      </c>
      <c r="E238" t="n">
        <v>8</v>
      </c>
      <c r="F238" t="n">
        <v>20240901</v>
      </c>
      <c r="G238" t="n">
        <v>0</v>
      </c>
      <c r="H238" t="n">
        <v>0</v>
      </c>
      <c r="I238" t="n">
        <v>0</v>
      </c>
      <c r="J238" t="n">
        <v>0</v>
      </c>
    </row>
    <row r="239">
      <c r="A239" t="inlineStr">
        <is>
          <t>4dac2153e5871c45269cda8eca6f059ae19b8bb2ee8a050e138060f0ab1a1c91</t>
        </is>
      </c>
      <c r="B239" t="inlineStr">
        <is>
          <t>Visma Enterprise (BOOM)</t>
        </is>
      </c>
      <c r="C239" t="n">
        <v>6</v>
      </c>
      <c r="D239" t="n">
        <v>3</v>
      </c>
      <c r="E239" t="n">
        <v>8</v>
      </c>
      <c r="F239" t="n">
        <v>20241001</v>
      </c>
      <c r="G239" t="n">
        <v>0</v>
      </c>
      <c r="H239" t="n">
        <v>0</v>
      </c>
      <c r="I239" t="n">
        <v>0</v>
      </c>
      <c r="J239" t="n">
        <v>0</v>
      </c>
    </row>
    <row r="240">
      <c r="A240" t="inlineStr">
        <is>
          <t>ffa0e1d2ecfda2843bf1a326385f813dce3836007e91c2a1c8fab683fc69a8a1</t>
        </is>
      </c>
      <c r="B240" t="inlineStr">
        <is>
          <t>Visma Enterprise (BOOM)</t>
        </is>
      </c>
      <c r="C240" t="n">
        <v>6</v>
      </c>
      <c r="D240" t="n">
        <v>3</v>
      </c>
      <c r="E240" t="n">
        <v>8</v>
      </c>
      <c r="F240" t="n">
        <v>20241101</v>
      </c>
      <c r="G240" t="n">
        <v>0</v>
      </c>
      <c r="H240" t="n">
        <v>0</v>
      </c>
      <c r="I240" t="n">
        <v>0</v>
      </c>
      <c r="J240" t="n">
        <v>0</v>
      </c>
    </row>
    <row r="241">
      <c r="A241" t="inlineStr">
        <is>
          <t>0c3054bb972004977bee7ac5f121b2ee59ffbf0b36062dc766548aded92b337c</t>
        </is>
      </c>
      <c r="B241" t="inlineStr">
        <is>
          <t>Visma Enterprise (BOOM)</t>
        </is>
      </c>
      <c r="C241" t="n">
        <v>6</v>
      </c>
      <c r="D241" t="n">
        <v>3</v>
      </c>
      <c r="E241" t="n">
        <v>8</v>
      </c>
      <c r="F241" t="n">
        <v>20241201</v>
      </c>
      <c r="G241" t="n">
        <v>0</v>
      </c>
      <c r="H241" t="n">
        <v>0</v>
      </c>
      <c r="I241" t="n">
        <v>0</v>
      </c>
      <c r="J241" t="n">
        <v>0</v>
      </c>
    </row>
    <row r="242">
      <c r="A242" t="inlineStr">
        <is>
          <t>e0337763f75604d8946f90e93908f9d9bc868ab4b857c88372d4d2bf54dd82d3</t>
        </is>
      </c>
      <c r="B242" t="inlineStr">
        <is>
          <t>Visma Enterprise (BOOM)</t>
        </is>
      </c>
      <c r="C242" t="n">
        <v>6</v>
      </c>
      <c r="D242" t="n">
        <v>4</v>
      </c>
      <c r="E242" t="n">
        <v>8</v>
      </c>
      <c r="F242" t="n">
        <v>20240101</v>
      </c>
      <c r="G242" t="n">
        <v>0</v>
      </c>
      <c r="H242" t="n">
        <v>0</v>
      </c>
      <c r="I242" t="n">
        <v>7063</v>
      </c>
      <c r="J242" t="n">
        <v>-7063</v>
      </c>
    </row>
    <row r="243">
      <c r="A243" t="inlineStr">
        <is>
          <t>6132403a6a0bbd9d1000e942d5a0a0d8800fd73ba9ba6ff46eff9f35eab9f6ce</t>
        </is>
      </c>
      <c r="B243" t="inlineStr">
        <is>
          <t>Visma Enterprise (BOOM)</t>
        </is>
      </c>
      <c r="C243" t="n">
        <v>6</v>
      </c>
      <c r="D243" t="n">
        <v>4</v>
      </c>
      <c r="E243" t="n">
        <v>8</v>
      </c>
      <c r="F243" t="n">
        <v>20240201</v>
      </c>
      <c r="G243" t="n">
        <v>103533.77</v>
      </c>
      <c r="H243" t="n">
        <v>103533.77</v>
      </c>
      <c r="I243" t="n">
        <v>7063</v>
      </c>
      <c r="J243" t="n">
        <v>96470.77</v>
      </c>
    </row>
    <row r="244">
      <c r="A244" t="inlineStr">
        <is>
          <t>3ede27159f2d1068749ebf7f78cbbe838702023338b1d6068851d2a31467c9fe</t>
        </is>
      </c>
      <c r="B244" t="inlineStr">
        <is>
          <t>Visma Enterprise (BOOM)</t>
        </is>
      </c>
      <c r="C244" t="n">
        <v>6</v>
      </c>
      <c r="D244" t="n">
        <v>4</v>
      </c>
      <c r="E244" t="n">
        <v>8</v>
      </c>
      <c r="F244" t="n">
        <v>20240301</v>
      </c>
      <c r="G244" t="n">
        <v>66482.39999999999</v>
      </c>
      <c r="H244" t="n">
        <v>66482.39999999999</v>
      </c>
      <c r="I244" t="n">
        <v>7063</v>
      </c>
      <c r="J244" t="n">
        <v>59419.39999999999</v>
      </c>
    </row>
    <row r="245">
      <c r="A245" t="inlineStr">
        <is>
          <t>cc08721875a6135ec0794cbd596952d1531a63ce8eaa1aa3744bed2c18e4289b</t>
        </is>
      </c>
      <c r="B245" t="inlineStr">
        <is>
          <t>Visma Enterprise (BOOM)</t>
        </is>
      </c>
      <c r="C245" t="n">
        <v>6</v>
      </c>
      <c r="D245" t="n">
        <v>4</v>
      </c>
      <c r="E245" t="n">
        <v>8</v>
      </c>
      <c r="F245" t="n">
        <v>20240401</v>
      </c>
      <c r="G245" t="n">
        <v>8461.82</v>
      </c>
      <c r="H245" t="n">
        <v>8461.82</v>
      </c>
      <c r="I245" t="n">
        <v>7063</v>
      </c>
      <c r="J245" t="n">
        <v>1398.82</v>
      </c>
    </row>
    <row r="246">
      <c r="A246" t="inlineStr">
        <is>
          <t>d5d933ee20f811db4bb4580d3f42e2f3c9eb9a8f246b2c01bd7912aaa68608e9</t>
        </is>
      </c>
      <c r="B246" t="inlineStr">
        <is>
          <t>Visma Enterprise (BOOM)</t>
        </is>
      </c>
      <c r="C246" t="n">
        <v>6</v>
      </c>
      <c r="D246" t="n">
        <v>4</v>
      </c>
      <c r="E246" t="n">
        <v>8</v>
      </c>
      <c r="F246" t="n">
        <v>20240501</v>
      </c>
      <c r="G246" t="n">
        <v>4272.71</v>
      </c>
      <c r="H246" t="n">
        <v>4272.71</v>
      </c>
      <c r="I246" t="n">
        <v>7063</v>
      </c>
      <c r="J246" t="n">
        <v>-2790.29</v>
      </c>
    </row>
    <row r="247">
      <c r="A247" t="inlineStr">
        <is>
          <t>e30ffdae681cbf4c0979257a4d8862c45e33aac2b4aa3dd01bce3e8e4706dcd1</t>
        </is>
      </c>
      <c r="B247" t="inlineStr">
        <is>
          <t>Visma Enterprise (BOOM)</t>
        </is>
      </c>
      <c r="C247" t="n">
        <v>6</v>
      </c>
      <c r="D247" t="n">
        <v>4</v>
      </c>
      <c r="E247" t="n">
        <v>8</v>
      </c>
      <c r="F247" t="n">
        <v>20240601</v>
      </c>
      <c r="G247" t="n">
        <v>6065.63</v>
      </c>
      <c r="H247" t="n">
        <v>6065.63</v>
      </c>
      <c r="I247" t="n">
        <v>7063</v>
      </c>
      <c r="J247" t="n">
        <v>-997.3699999999999</v>
      </c>
    </row>
    <row r="248">
      <c r="A248" t="inlineStr">
        <is>
          <t>96a247c21b18f6490bffafc11032aabe24c400f3a22587a8532d3a3d269b2703</t>
        </is>
      </c>
      <c r="B248" t="inlineStr">
        <is>
          <t>Visma Enterprise (BOOM)</t>
        </is>
      </c>
      <c r="C248" t="n">
        <v>6</v>
      </c>
      <c r="D248" t="n">
        <v>4</v>
      </c>
      <c r="E248" t="n">
        <v>8</v>
      </c>
      <c r="F248" t="n">
        <v>20240701</v>
      </c>
      <c r="G248" t="n">
        <v>31970.72</v>
      </c>
      <c r="H248" t="n">
        <v>31970.72</v>
      </c>
      <c r="I248" t="n">
        <v>7063</v>
      </c>
      <c r="J248" t="n">
        <v>24907.72</v>
      </c>
    </row>
    <row r="249">
      <c r="A249" t="inlineStr">
        <is>
          <t>ce0fbc4b0e11c74820ad5e82c9ba4de0354cc458516731195eaff1e2ba2643f6</t>
        </is>
      </c>
      <c r="B249" t="inlineStr">
        <is>
          <t>Visma Enterprise (BOOM)</t>
        </is>
      </c>
      <c r="C249" t="n">
        <v>6</v>
      </c>
      <c r="D249" t="n">
        <v>4</v>
      </c>
      <c r="E249" t="n">
        <v>8</v>
      </c>
      <c r="F249" t="n">
        <v>20240801</v>
      </c>
      <c r="G249" t="n">
        <v>21288.8</v>
      </c>
      <c r="H249" t="n">
        <v>21288.8</v>
      </c>
      <c r="I249" t="n">
        <v>7063</v>
      </c>
      <c r="J249" t="n">
        <v>14225.8</v>
      </c>
    </row>
    <row r="250">
      <c r="A250" t="inlineStr">
        <is>
          <t>f7c562e69a95c833a1e2fa7328502626220ca9755dc5b5d8e65059f4c5339448</t>
        </is>
      </c>
      <c r="B250" t="inlineStr">
        <is>
          <t>Visma Enterprise (BOOM)</t>
        </is>
      </c>
      <c r="C250" t="n">
        <v>6</v>
      </c>
      <c r="D250" t="n">
        <v>4</v>
      </c>
      <c r="E250" t="n">
        <v>8</v>
      </c>
      <c r="F250" t="n">
        <v>20240901</v>
      </c>
      <c r="G250" t="n">
        <v>0</v>
      </c>
      <c r="H250" t="n">
        <v>0</v>
      </c>
      <c r="I250" t="n">
        <v>7063</v>
      </c>
      <c r="J250" t="n">
        <v>-7063</v>
      </c>
    </row>
    <row r="251">
      <c r="A251" t="inlineStr">
        <is>
          <t>6a426908de4391a0f4a2efe08179a0741c16a78a001d2c5026489b541e0b3c12</t>
        </is>
      </c>
      <c r="B251" t="inlineStr">
        <is>
          <t>Visma Enterprise (BOOM)</t>
        </is>
      </c>
      <c r="C251" t="n">
        <v>6</v>
      </c>
      <c r="D251" t="n">
        <v>4</v>
      </c>
      <c r="E251" t="n">
        <v>8</v>
      </c>
      <c r="F251" t="n">
        <v>20241001</v>
      </c>
      <c r="G251" t="n">
        <v>0</v>
      </c>
      <c r="H251" t="n">
        <v>0</v>
      </c>
      <c r="I251" t="n">
        <v>7063</v>
      </c>
      <c r="J251" t="n">
        <v>-7063</v>
      </c>
    </row>
    <row r="252">
      <c r="A252" t="inlineStr">
        <is>
          <t>cf468cab8b490fa1c125f50b55774d9548b943a2b059e014ca9eb432a374c514</t>
        </is>
      </c>
      <c r="B252" t="inlineStr">
        <is>
          <t>Visma Enterprise (BOOM)</t>
        </is>
      </c>
      <c r="C252" t="n">
        <v>6</v>
      </c>
      <c r="D252" t="n">
        <v>4</v>
      </c>
      <c r="E252" t="n">
        <v>8</v>
      </c>
      <c r="F252" t="n">
        <v>20241101</v>
      </c>
      <c r="G252" t="n">
        <v>0</v>
      </c>
      <c r="H252" t="n">
        <v>0</v>
      </c>
      <c r="I252" t="n">
        <v>7063</v>
      </c>
      <c r="J252" t="n">
        <v>-7063</v>
      </c>
    </row>
    <row r="253">
      <c r="A253" t="inlineStr">
        <is>
          <t>991f005a4f3d2366464652e3d5467ae099a0856bd72ed570199b531bb36761ff</t>
        </is>
      </c>
      <c r="B253" t="inlineStr">
        <is>
          <t>Visma Enterprise (BOOM)</t>
        </is>
      </c>
      <c r="C253" t="n">
        <v>6</v>
      </c>
      <c r="D253" t="n">
        <v>4</v>
      </c>
      <c r="E253" t="n">
        <v>8</v>
      </c>
      <c r="F253" t="n">
        <v>20241201</v>
      </c>
      <c r="G253" t="n">
        <v>0</v>
      </c>
      <c r="H253" t="n">
        <v>0</v>
      </c>
      <c r="I253" t="n">
        <v>7307</v>
      </c>
      <c r="J253" t="n">
        <v>-7307</v>
      </c>
    </row>
    <row r="254">
      <c r="A254" t="inlineStr">
        <is>
          <t>2be06183f2599549be417eeb8802b48ba04367f5032438294b5be06fd94933be</t>
        </is>
      </c>
      <c r="B254" t="inlineStr">
        <is>
          <t>Visma Enterprise (BOOM)</t>
        </is>
      </c>
      <c r="C254" t="n">
        <v>6</v>
      </c>
      <c r="D254" t="n">
        <v>5</v>
      </c>
      <c r="E254" t="n">
        <v>8</v>
      </c>
      <c r="F254" t="n">
        <v>20240101</v>
      </c>
      <c r="G254" t="n">
        <v>0</v>
      </c>
      <c r="H254" t="n">
        <v>0</v>
      </c>
      <c r="I254" t="n">
        <v>0</v>
      </c>
      <c r="J254" t="n">
        <v>0</v>
      </c>
    </row>
    <row r="255">
      <c r="A255" t="inlineStr">
        <is>
          <t>63b66b9fe4ec09a5bc2b67bfb5822097dc2fd2440bfd60d172cd57e2765606b9</t>
        </is>
      </c>
      <c r="B255" t="inlineStr">
        <is>
          <t>Visma Enterprise (BOOM)</t>
        </is>
      </c>
      <c r="C255" t="n">
        <v>6</v>
      </c>
      <c r="D255" t="n">
        <v>5</v>
      </c>
      <c r="E255" t="n">
        <v>8</v>
      </c>
      <c r="F255" t="n">
        <v>20240201</v>
      </c>
      <c r="G255" t="n">
        <v>0</v>
      </c>
      <c r="H255" t="n">
        <v>0</v>
      </c>
      <c r="I255" t="n">
        <v>0</v>
      </c>
      <c r="J255" t="n">
        <v>0</v>
      </c>
    </row>
    <row r="256">
      <c r="A256" t="inlineStr">
        <is>
          <t>84a371b89215534ea1e46afdc5a97e7d34a094a91357c037282dce3318102364</t>
        </is>
      </c>
      <c r="B256" t="inlineStr">
        <is>
          <t>Visma Enterprise (BOOM)</t>
        </is>
      </c>
      <c r="C256" t="n">
        <v>6</v>
      </c>
      <c r="D256" t="n">
        <v>5</v>
      </c>
      <c r="E256" t="n">
        <v>8</v>
      </c>
      <c r="F256" t="n">
        <v>20240301</v>
      </c>
      <c r="G256" t="n">
        <v>8900.99</v>
      </c>
      <c r="H256" t="n">
        <v>8900.99</v>
      </c>
      <c r="I256" t="n">
        <v>0</v>
      </c>
      <c r="J256" t="n">
        <v>8900.99</v>
      </c>
    </row>
    <row r="257">
      <c r="A257" t="inlineStr">
        <is>
          <t>60a5433ca830943a922d40dd3b6788f3df35bfb3daf54bf5d7da44c94207adaa</t>
        </is>
      </c>
      <c r="B257" t="inlineStr">
        <is>
          <t>Visma Enterprise (BOOM)</t>
        </is>
      </c>
      <c r="C257" t="n">
        <v>6</v>
      </c>
      <c r="D257" t="n">
        <v>5</v>
      </c>
      <c r="E257" t="n">
        <v>8</v>
      </c>
      <c r="F257" t="n">
        <v>20240401</v>
      </c>
      <c r="G257" t="n">
        <v>14522.67</v>
      </c>
      <c r="H257" t="n">
        <v>14522.67</v>
      </c>
      <c r="I257" t="n">
        <v>0</v>
      </c>
      <c r="J257" t="n">
        <v>14522.67</v>
      </c>
    </row>
    <row r="258">
      <c r="A258" t="inlineStr">
        <is>
          <t>9e117d9bf65ebcb4cdbf85794d0bb37591f9bffcf049649f1c6d1999008bb7f1</t>
        </is>
      </c>
      <c r="B258" t="inlineStr">
        <is>
          <t>Visma Enterprise (BOOM)</t>
        </is>
      </c>
      <c r="C258" t="n">
        <v>6</v>
      </c>
      <c r="D258" t="n">
        <v>5</v>
      </c>
      <c r="E258" t="n">
        <v>8</v>
      </c>
      <c r="F258" t="n">
        <v>20240501</v>
      </c>
      <c r="G258" t="n">
        <v>14522.67</v>
      </c>
      <c r="H258" t="n">
        <v>14522.67</v>
      </c>
      <c r="I258" t="n">
        <v>0</v>
      </c>
      <c r="J258" t="n">
        <v>14522.67</v>
      </c>
    </row>
    <row r="259">
      <c r="A259" t="inlineStr">
        <is>
          <t>3017c4ef138c9e550bc38caacb07a319257f0ff6e6c2ebe35850e6f6b728888a</t>
        </is>
      </c>
      <c r="B259" t="inlineStr">
        <is>
          <t>Visma Enterprise (BOOM)</t>
        </is>
      </c>
      <c r="C259" t="n">
        <v>6</v>
      </c>
      <c r="D259" t="n">
        <v>5</v>
      </c>
      <c r="E259" t="n">
        <v>8</v>
      </c>
      <c r="F259" t="n">
        <v>20240601</v>
      </c>
      <c r="G259" t="n">
        <v>-1403.44</v>
      </c>
      <c r="H259" t="n">
        <v>-1403.44</v>
      </c>
      <c r="I259" t="n">
        <v>0</v>
      </c>
      <c r="J259" t="n">
        <v>-1403.44</v>
      </c>
    </row>
    <row r="260">
      <c r="A260" t="inlineStr">
        <is>
          <t>25bc5804211e7d1addf2f66db6f45e4490922b1b51aa77c87cda5d3684c42a28</t>
        </is>
      </c>
      <c r="B260" t="inlineStr">
        <is>
          <t>Visma Enterprise (BOOM)</t>
        </is>
      </c>
      <c r="C260" t="n">
        <v>6</v>
      </c>
      <c r="D260" t="n">
        <v>5</v>
      </c>
      <c r="E260" t="n">
        <v>8</v>
      </c>
      <c r="F260" t="n">
        <v>20240701</v>
      </c>
      <c r="G260" t="n">
        <v>15504.53</v>
      </c>
      <c r="H260" t="n">
        <v>15504.53</v>
      </c>
      <c r="I260" t="n">
        <v>0</v>
      </c>
      <c r="J260" t="n">
        <v>15504.53</v>
      </c>
    </row>
    <row r="261">
      <c r="A261" t="inlineStr">
        <is>
          <t>6f3a0807ab32ada803c3611a8c089b98d99000de271d77bdb6479ff5022fee83</t>
        </is>
      </c>
      <c r="B261" t="inlineStr">
        <is>
          <t>Visma Enterprise (BOOM)</t>
        </is>
      </c>
      <c r="C261" t="n">
        <v>6</v>
      </c>
      <c r="D261" t="n">
        <v>5</v>
      </c>
      <c r="E261" t="n">
        <v>8</v>
      </c>
      <c r="F261" t="n">
        <v>20240801</v>
      </c>
      <c r="G261" t="n">
        <v>17630.16</v>
      </c>
      <c r="H261" t="n">
        <v>17630.16</v>
      </c>
      <c r="I261" t="n">
        <v>0</v>
      </c>
      <c r="J261" t="n">
        <v>17630.16</v>
      </c>
    </row>
    <row r="262">
      <c r="A262" t="inlineStr">
        <is>
          <t>d616d4887fd7d033d5a16ceb1a3dd2732cb581e121363779eaf1ffe7c41b830b</t>
        </is>
      </c>
      <c r="B262" t="inlineStr">
        <is>
          <t>Visma Enterprise (BOOM)</t>
        </is>
      </c>
      <c r="C262" t="n">
        <v>6</v>
      </c>
      <c r="D262" t="n">
        <v>5</v>
      </c>
      <c r="E262" t="n">
        <v>8</v>
      </c>
      <c r="F262" t="n">
        <v>20240901</v>
      </c>
      <c r="G262" t="n">
        <v>0</v>
      </c>
      <c r="H262" t="n">
        <v>0</v>
      </c>
      <c r="I262" t="n">
        <v>0</v>
      </c>
      <c r="J262" t="n">
        <v>0</v>
      </c>
    </row>
    <row r="263">
      <c r="A263" t="inlineStr">
        <is>
          <t>06078217c654188fb08d0e768d3746bc479db9a331072483c7dd85b9b2d3b918</t>
        </is>
      </c>
      <c r="B263" t="inlineStr">
        <is>
          <t>Visma Enterprise (BOOM)</t>
        </is>
      </c>
      <c r="C263" t="n">
        <v>6</v>
      </c>
      <c r="D263" t="n">
        <v>5</v>
      </c>
      <c r="E263" t="n">
        <v>8</v>
      </c>
      <c r="F263" t="n">
        <v>20241001</v>
      </c>
      <c r="G263" t="n">
        <v>0</v>
      </c>
      <c r="H263" t="n">
        <v>0</v>
      </c>
      <c r="I263" t="n">
        <v>0</v>
      </c>
      <c r="J263" t="n">
        <v>0</v>
      </c>
    </row>
    <row r="264">
      <c r="A264" t="inlineStr">
        <is>
          <t>d0e9e549c981998cd83e9838864a8e6e5853aadcc6240c1bc69ea2e2a753d769</t>
        </is>
      </c>
      <c r="B264" t="inlineStr">
        <is>
          <t>Visma Enterprise (BOOM)</t>
        </is>
      </c>
      <c r="C264" t="n">
        <v>6</v>
      </c>
      <c r="D264" t="n">
        <v>5</v>
      </c>
      <c r="E264" t="n">
        <v>8</v>
      </c>
      <c r="F264" t="n">
        <v>20241101</v>
      </c>
      <c r="G264" t="n">
        <v>0</v>
      </c>
      <c r="H264" t="n">
        <v>0</v>
      </c>
      <c r="I264" t="n">
        <v>0</v>
      </c>
      <c r="J264" t="n">
        <v>0</v>
      </c>
    </row>
    <row r="265">
      <c r="A265" t="inlineStr">
        <is>
          <t>3503bf90c4c105472bdc83b66e4b9f905c87ec438dc8d84a9ee05a4d5cfb964f</t>
        </is>
      </c>
      <c r="B265" t="inlineStr">
        <is>
          <t>Visma Enterprise (BOOM)</t>
        </is>
      </c>
      <c r="C265" t="n">
        <v>6</v>
      </c>
      <c r="D265" t="n">
        <v>5</v>
      </c>
      <c r="E265" t="n">
        <v>8</v>
      </c>
      <c r="F265" t="n">
        <v>20241201</v>
      </c>
      <c r="G265" t="n">
        <v>0</v>
      </c>
      <c r="H265" t="n">
        <v>0</v>
      </c>
      <c r="I265" t="n">
        <v>0</v>
      </c>
      <c r="J265" t="n">
        <v>0</v>
      </c>
    </row>
    <row r="266">
      <c r="A266" t="inlineStr">
        <is>
          <t>25caf34355cdef4c53e146768e7bf3a650a36e4a9dd28ce7a4493d1471e9041a</t>
        </is>
      </c>
      <c r="B266" t="inlineStr">
        <is>
          <t>Visma Enterprise (BOOM)</t>
        </is>
      </c>
      <c r="C266" t="n">
        <v>6</v>
      </c>
      <c r="D266" t="n">
        <v>5</v>
      </c>
      <c r="E266" t="n">
        <v>8</v>
      </c>
      <c r="F266" t="n">
        <v>20240101</v>
      </c>
      <c r="G266" t="n">
        <v>0</v>
      </c>
      <c r="H266" t="n">
        <v>0</v>
      </c>
      <c r="I266" t="n">
        <v>0</v>
      </c>
      <c r="J266" t="n">
        <v>0</v>
      </c>
    </row>
    <row r="267">
      <c r="A267" t="inlineStr">
        <is>
          <t>19362f0b2f0dddf37b2d36779f5e2621c5055975720a7bddf100e3edbe384597</t>
        </is>
      </c>
      <c r="B267" t="inlineStr">
        <is>
          <t>Visma Enterprise (BOOM)</t>
        </is>
      </c>
      <c r="C267" t="n">
        <v>6</v>
      </c>
      <c r="D267" t="n">
        <v>5</v>
      </c>
      <c r="E267" t="n">
        <v>8</v>
      </c>
      <c r="F267" t="n">
        <v>20240201</v>
      </c>
      <c r="G267" t="n">
        <v>0</v>
      </c>
      <c r="H267" t="n">
        <v>0</v>
      </c>
      <c r="I267" t="n">
        <v>0</v>
      </c>
      <c r="J267" t="n">
        <v>0</v>
      </c>
    </row>
    <row r="268">
      <c r="A268" t="inlineStr">
        <is>
          <t>6849ec81a168f43e5cef2c363cd71dd87e3804754ed785b6fb9443186f0b2576</t>
        </is>
      </c>
      <c r="B268" t="inlineStr">
        <is>
          <t>Visma Enterprise (BOOM)</t>
        </is>
      </c>
      <c r="C268" t="n">
        <v>6</v>
      </c>
      <c r="D268" t="n">
        <v>5</v>
      </c>
      <c r="E268" t="n">
        <v>8</v>
      </c>
      <c r="F268" t="n">
        <v>20240301</v>
      </c>
      <c r="G268" t="n">
        <v>0</v>
      </c>
      <c r="H268" t="n">
        <v>0</v>
      </c>
      <c r="I268" t="n">
        <v>0</v>
      </c>
      <c r="J268" t="n">
        <v>0</v>
      </c>
    </row>
    <row r="269">
      <c r="A269" t="inlineStr">
        <is>
          <t>903b14881c18e1b889d401239103bd7b29bba69e8859305af604ab8ff5c71b3a</t>
        </is>
      </c>
      <c r="B269" t="inlineStr">
        <is>
          <t>Visma Enterprise (BOOM)</t>
        </is>
      </c>
      <c r="C269" t="n">
        <v>6</v>
      </c>
      <c r="D269" t="n">
        <v>5</v>
      </c>
      <c r="E269" t="n">
        <v>8</v>
      </c>
      <c r="F269" t="n">
        <v>20240401</v>
      </c>
      <c r="G269" t="n">
        <v>0</v>
      </c>
      <c r="H269" t="n">
        <v>0</v>
      </c>
      <c r="I269" t="n">
        <v>0</v>
      </c>
      <c r="J269" t="n">
        <v>0</v>
      </c>
    </row>
    <row r="270">
      <c r="A270" t="inlineStr">
        <is>
          <t>b4e80871faff81ca6605b057bd4995587fc966565e35b64540d15fd0d87f521c</t>
        </is>
      </c>
      <c r="B270" t="inlineStr">
        <is>
          <t>Visma Enterprise (BOOM)</t>
        </is>
      </c>
      <c r="C270" t="n">
        <v>6</v>
      </c>
      <c r="D270" t="n">
        <v>5</v>
      </c>
      <c r="E270" t="n">
        <v>8</v>
      </c>
      <c r="F270" t="n">
        <v>20240501</v>
      </c>
      <c r="G270" t="n">
        <v>0</v>
      </c>
      <c r="H270" t="n">
        <v>0</v>
      </c>
      <c r="I270" t="n">
        <v>0</v>
      </c>
      <c r="J270" t="n">
        <v>0</v>
      </c>
    </row>
    <row r="271">
      <c r="A271" t="inlineStr">
        <is>
          <t>691dd2eae3755fdb8a805e4111c1bcba5b784189e923c597baa4011123fc8eb3</t>
        </is>
      </c>
      <c r="B271" t="inlineStr">
        <is>
          <t>Visma Enterprise (BOOM)</t>
        </is>
      </c>
      <c r="C271" t="n">
        <v>6</v>
      </c>
      <c r="D271" t="n">
        <v>5</v>
      </c>
      <c r="E271" t="n">
        <v>8</v>
      </c>
      <c r="F271" t="n">
        <v>20240601</v>
      </c>
      <c r="G271" t="n">
        <v>0</v>
      </c>
      <c r="H271" t="n">
        <v>0</v>
      </c>
      <c r="I271" t="n">
        <v>0</v>
      </c>
      <c r="J271" t="n">
        <v>0</v>
      </c>
    </row>
    <row r="272">
      <c r="A272" t="inlineStr">
        <is>
          <t>bc598c8e9434c4737f236a34e132a376002b4f8e63d8e4aa34d9f4796470827a</t>
        </is>
      </c>
      <c r="B272" t="inlineStr">
        <is>
          <t>Visma Enterprise (BOOM)</t>
        </is>
      </c>
      <c r="C272" t="n">
        <v>6</v>
      </c>
      <c r="D272" t="n">
        <v>5</v>
      </c>
      <c r="E272" t="n">
        <v>8</v>
      </c>
      <c r="F272" t="n">
        <v>20240701</v>
      </c>
      <c r="G272" t="n">
        <v>0</v>
      </c>
      <c r="H272" t="n">
        <v>0</v>
      </c>
      <c r="I272" t="n">
        <v>0</v>
      </c>
      <c r="J272" t="n">
        <v>0</v>
      </c>
    </row>
    <row r="273">
      <c r="A273" t="inlineStr">
        <is>
          <t>3e919c4ea5b5c1d6701f5dd5f4e1e26e232f7144d5cc58acb2f63da56a63e8c0</t>
        </is>
      </c>
      <c r="B273" t="inlineStr">
        <is>
          <t>Visma Enterprise (BOOM)</t>
        </is>
      </c>
      <c r="C273" t="n">
        <v>6</v>
      </c>
      <c r="D273" t="n">
        <v>5</v>
      </c>
      <c r="E273" t="n">
        <v>8</v>
      </c>
      <c r="F273" t="n">
        <v>20240801</v>
      </c>
      <c r="G273" t="n">
        <v>0</v>
      </c>
      <c r="H273" t="n">
        <v>0</v>
      </c>
      <c r="I273" t="n">
        <v>0</v>
      </c>
      <c r="J273" t="n">
        <v>0</v>
      </c>
    </row>
    <row r="274">
      <c r="A274" t="inlineStr">
        <is>
          <t>33b535ac7bd3afecb31bdff7510c00ba8845c0a96569dcc8a6d7bed7fc35cdae</t>
        </is>
      </c>
      <c r="B274" t="inlineStr">
        <is>
          <t>Visma Enterprise (BOOM)</t>
        </is>
      </c>
      <c r="C274" t="n">
        <v>6</v>
      </c>
      <c r="D274" t="n">
        <v>5</v>
      </c>
      <c r="E274" t="n">
        <v>8</v>
      </c>
      <c r="F274" t="n">
        <v>20240901</v>
      </c>
      <c r="G274" t="n">
        <v>0</v>
      </c>
      <c r="H274" t="n">
        <v>0</v>
      </c>
      <c r="I274" t="n">
        <v>0</v>
      </c>
      <c r="J274" t="n">
        <v>0</v>
      </c>
    </row>
    <row r="275">
      <c r="A275" t="inlineStr">
        <is>
          <t>9cacaec41f20688b71891db5020bff698bb8ebe4b0f1858e54ba0c505eec3d0f</t>
        </is>
      </c>
      <c r="B275" t="inlineStr">
        <is>
          <t>Visma Enterprise (BOOM)</t>
        </is>
      </c>
      <c r="C275" t="n">
        <v>6</v>
      </c>
      <c r="D275" t="n">
        <v>5</v>
      </c>
      <c r="E275" t="n">
        <v>8</v>
      </c>
      <c r="F275" t="n">
        <v>20241001</v>
      </c>
      <c r="G275" t="n">
        <v>0</v>
      </c>
      <c r="H275" t="n">
        <v>0</v>
      </c>
      <c r="I275" t="n">
        <v>0</v>
      </c>
      <c r="J275" t="n">
        <v>0</v>
      </c>
    </row>
    <row r="276">
      <c r="A276" t="inlineStr">
        <is>
          <t>289303b8808f6c71bdcd37fbd8d2c10708daf4153e951ee6ffed3a79551883ac</t>
        </is>
      </c>
      <c r="B276" t="inlineStr">
        <is>
          <t>Visma Enterprise (BOOM)</t>
        </is>
      </c>
      <c r="C276" t="n">
        <v>6</v>
      </c>
      <c r="D276" t="n">
        <v>5</v>
      </c>
      <c r="E276" t="n">
        <v>8</v>
      </c>
      <c r="F276" t="n">
        <v>20241101</v>
      </c>
      <c r="G276" t="n">
        <v>0</v>
      </c>
      <c r="H276" t="n">
        <v>0</v>
      </c>
      <c r="I276" t="n">
        <v>0</v>
      </c>
      <c r="J276" t="n">
        <v>0</v>
      </c>
    </row>
    <row r="277">
      <c r="A277" t="inlineStr">
        <is>
          <t>3503321e27b607732ea5bc74ae98e8adaf28409efc4369dbbf092a3d0a21c8b6</t>
        </is>
      </c>
      <c r="B277" t="inlineStr">
        <is>
          <t>Visma Enterprise (BOOM)</t>
        </is>
      </c>
      <c r="C277" t="n">
        <v>6</v>
      </c>
      <c r="D277" t="n">
        <v>5</v>
      </c>
      <c r="E277" t="n">
        <v>8</v>
      </c>
      <c r="F277" t="n">
        <v>20241201</v>
      </c>
      <c r="G277" t="n">
        <v>0</v>
      </c>
      <c r="H277" t="n">
        <v>0</v>
      </c>
      <c r="I277" t="n">
        <v>0</v>
      </c>
      <c r="J277" t="n">
        <v>0</v>
      </c>
    </row>
    <row r="278">
      <c r="A278" t="inlineStr">
        <is>
          <t>063562538da8bb4c0ec67c8a2c73cc9c018340eba55991e843c05f434acda5f7</t>
        </is>
      </c>
      <c r="B278" t="inlineStr">
        <is>
          <t>Visma Enterprise (BOOM)</t>
        </is>
      </c>
      <c r="C278" t="n">
        <v>6</v>
      </c>
      <c r="D278" t="n">
        <v>5</v>
      </c>
      <c r="E278" t="n">
        <v>8</v>
      </c>
      <c r="F278" t="n">
        <v>20240101</v>
      </c>
      <c r="G278" t="n">
        <v>0</v>
      </c>
      <c r="H278" t="n">
        <v>0</v>
      </c>
      <c r="I278" t="n">
        <v>0</v>
      </c>
      <c r="J278" t="n">
        <v>0</v>
      </c>
    </row>
    <row r="279">
      <c r="A279" t="inlineStr">
        <is>
          <t>5ffe644d1ad9d95caa723bb5fd5b268ca8d351466f135f4003bb297844d96c2f</t>
        </is>
      </c>
      <c r="B279" t="inlineStr">
        <is>
          <t>Visma Enterprise (BOOM)</t>
        </is>
      </c>
      <c r="C279" t="n">
        <v>6</v>
      </c>
      <c r="D279" t="n">
        <v>5</v>
      </c>
      <c r="E279" t="n">
        <v>8</v>
      </c>
      <c r="F279" t="n">
        <v>20240201</v>
      </c>
      <c r="G279" t="n">
        <v>0</v>
      </c>
      <c r="H279" t="n">
        <v>0</v>
      </c>
      <c r="I279" t="n">
        <v>0</v>
      </c>
      <c r="J279" t="n">
        <v>0</v>
      </c>
    </row>
    <row r="280">
      <c r="A280" t="inlineStr">
        <is>
          <t>2bdc1bf8a0e9f4dbdd342c7a67a420d9d01305deb19138c26a34395f5916c6ef</t>
        </is>
      </c>
      <c r="B280" t="inlineStr">
        <is>
          <t>Visma Enterprise (BOOM)</t>
        </is>
      </c>
      <c r="C280" t="n">
        <v>6</v>
      </c>
      <c r="D280" t="n">
        <v>5</v>
      </c>
      <c r="E280" t="n">
        <v>8</v>
      </c>
      <c r="F280" t="n">
        <v>20240301</v>
      </c>
      <c r="G280" t="n">
        <v>12191.9</v>
      </c>
      <c r="H280" t="n">
        <v>12191.9</v>
      </c>
      <c r="I280" t="n">
        <v>0</v>
      </c>
      <c r="J280" t="n">
        <v>12191.9</v>
      </c>
    </row>
    <row r="281">
      <c r="A281" t="inlineStr">
        <is>
          <t>daed096b03dae20c84b0014763b7ea4b399918137fedafef457d809834383ed4</t>
        </is>
      </c>
      <c r="B281" t="inlineStr">
        <is>
          <t>Visma Enterprise (BOOM)</t>
        </is>
      </c>
      <c r="C281" t="n">
        <v>6</v>
      </c>
      <c r="D281" t="n">
        <v>5</v>
      </c>
      <c r="E281" t="n">
        <v>8</v>
      </c>
      <c r="F281" t="n">
        <v>20240401</v>
      </c>
      <c r="G281" t="n">
        <v>0</v>
      </c>
      <c r="H281" t="n">
        <v>0</v>
      </c>
      <c r="I281" t="n">
        <v>0</v>
      </c>
      <c r="J281" t="n">
        <v>0</v>
      </c>
    </row>
    <row r="282">
      <c r="A282" t="inlineStr">
        <is>
          <t>3aa1f5153371260de9467bdad13efbe5e1606f144fad15503ac35ec796aca45d</t>
        </is>
      </c>
      <c r="B282" t="inlineStr">
        <is>
          <t>Visma Enterprise (BOOM)</t>
        </is>
      </c>
      <c r="C282" t="n">
        <v>6</v>
      </c>
      <c r="D282" t="n">
        <v>5</v>
      </c>
      <c r="E282" t="n">
        <v>8</v>
      </c>
      <c r="F282" t="n">
        <v>20240501</v>
      </c>
      <c r="G282" t="n">
        <v>1075.2</v>
      </c>
      <c r="H282" t="n">
        <v>1075.2</v>
      </c>
      <c r="I282" t="n">
        <v>0</v>
      </c>
      <c r="J282" t="n">
        <v>1075.2</v>
      </c>
    </row>
    <row r="283">
      <c r="A283" t="inlineStr">
        <is>
          <t>f330654cdf7bdd881437cf98ff5d0a10688e59ed75403c8b31815de7c1a8727a</t>
        </is>
      </c>
      <c r="B283" t="inlineStr">
        <is>
          <t>Visma Enterprise (BOOM)</t>
        </is>
      </c>
      <c r="C283" t="n">
        <v>6</v>
      </c>
      <c r="D283" t="n">
        <v>5</v>
      </c>
      <c r="E283" t="n">
        <v>8</v>
      </c>
      <c r="F283" t="n">
        <v>20240601</v>
      </c>
      <c r="G283" t="n">
        <v>0</v>
      </c>
      <c r="H283" t="n">
        <v>0</v>
      </c>
      <c r="I283" t="n">
        <v>0</v>
      </c>
      <c r="J283" t="n">
        <v>0</v>
      </c>
    </row>
    <row r="284">
      <c r="A284" t="inlineStr">
        <is>
          <t>64ffa6c301609bbb7f27d56374fabdfa8ee8f25546a47f0a488a40f912bfa935</t>
        </is>
      </c>
      <c r="B284" t="inlineStr">
        <is>
          <t>Visma Enterprise (BOOM)</t>
        </is>
      </c>
      <c r="C284" t="n">
        <v>6</v>
      </c>
      <c r="D284" t="n">
        <v>5</v>
      </c>
      <c r="E284" t="n">
        <v>8</v>
      </c>
      <c r="F284" t="n">
        <v>20240701</v>
      </c>
      <c r="G284" t="n">
        <v>0</v>
      </c>
      <c r="H284" t="n">
        <v>0</v>
      </c>
      <c r="I284" t="n">
        <v>0</v>
      </c>
      <c r="J284" t="n">
        <v>0</v>
      </c>
    </row>
    <row r="285">
      <c r="A285" t="inlineStr">
        <is>
          <t>23b0e9e873ba373b743725f4d6e1f8688224c66dba526373c106d6cb958a71b1</t>
        </is>
      </c>
      <c r="B285" t="inlineStr">
        <is>
          <t>Visma Enterprise (BOOM)</t>
        </is>
      </c>
      <c r="C285" t="n">
        <v>6</v>
      </c>
      <c r="D285" t="n">
        <v>5</v>
      </c>
      <c r="E285" t="n">
        <v>8</v>
      </c>
      <c r="F285" t="n">
        <v>20240801</v>
      </c>
      <c r="G285" t="n">
        <v>12519.36</v>
      </c>
      <c r="H285" t="n">
        <v>12519.36</v>
      </c>
      <c r="I285" t="n">
        <v>0</v>
      </c>
      <c r="J285" t="n">
        <v>12519.36</v>
      </c>
    </row>
    <row r="286">
      <c r="A286" t="inlineStr">
        <is>
          <t>763730b9d3cb914b74c3b51aa7481d48d9d101d4d094d8e93f4186fc87dc712b</t>
        </is>
      </c>
      <c r="B286" t="inlineStr">
        <is>
          <t>Visma Enterprise (BOOM)</t>
        </is>
      </c>
      <c r="C286" t="n">
        <v>6</v>
      </c>
      <c r="D286" t="n">
        <v>5</v>
      </c>
      <c r="E286" t="n">
        <v>8</v>
      </c>
      <c r="F286" t="n">
        <v>20240901</v>
      </c>
      <c r="G286" t="n">
        <v>0</v>
      </c>
      <c r="H286" t="n">
        <v>0</v>
      </c>
      <c r="I286" t="n">
        <v>0</v>
      </c>
      <c r="J286" t="n">
        <v>0</v>
      </c>
    </row>
    <row r="287">
      <c r="A287" t="inlineStr">
        <is>
          <t>e6fd722124c88609a569b5ca371fc5d35cd9262a8e8d973642649df772107325</t>
        </is>
      </c>
      <c r="B287" t="inlineStr">
        <is>
          <t>Visma Enterprise (BOOM)</t>
        </is>
      </c>
      <c r="C287" t="n">
        <v>6</v>
      </c>
      <c r="D287" t="n">
        <v>5</v>
      </c>
      <c r="E287" t="n">
        <v>8</v>
      </c>
      <c r="F287" t="n">
        <v>20241001</v>
      </c>
      <c r="G287" t="n">
        <v>0</v>
      </c>
      <c r="H287" t="n">
        <v>0</v>
      </c>
      <c r="I287" t="n">
        <v>0</v>
      </c>
      <c r="J287" t="n">
        <v>0</v>
      </c>
    </row>
    <row r="288">
      <c r="A288" t="inlineStr">
        <is>
          <t>67c59aa903e40abffca75a3b8c47e451ae007b2a3b90ed5e39b9281672be4fe2</t>
        </is>
      </c>
      <c r="B288" t="inlineStr">
        <is>
          <t>Visma Enterprise (BOOM)</t>
        </is>
      </c>
      <c r="C288" t="n">
        <v>6</v>
      </c>
      <c r="D288" t="n">
        <v>5</v>
      </c>
      <c r="E288" t="n">
        <v>8</v>
      </c>
      <c r="F288" t="n">
        <v>20241101</v>
      </c>
      <c r="G288" t="n">
        <v>0</v>
      </c>
      <c r="H288" t="n">
        <v>0</v>
      </c>
      <c r="I288" t="n">
        <v>0</v>
      </c>
      <c r="J288" t="n">
        <v>0</v>
      </c>
    </row>
    <row r="289">
      <c r="A289" t="inlineStr">
        <is>
          <t>0eefd8c146cd893d626309f351154fccfcc56e82435bf2e88c195a5c5737e5e3</t>
        </is>
      </c>
      <c r="B289" t="inlineStr">
        <is>
          <t>Visma Enterprise (BOOM)</t>
        </is>
      </c>
      <c r="C289" t="n">
        <v>6</v>
      </c>
      <c r="D289" t="n">
        <v>5</v>
      </c>
      <c r="E289" t="n">
        <v>8</v>
      </c>
      <c r="F289" t="n">
        <v>20241201</v>
      </c>
      <c r="G289" t="n">
        <v>0</v>
      </c>
      <c r="H289" t="n">
        <v>0</v>
      </c>
      <c r="I289" t="n">
        <v>0</v>
      </c>
      <c r="J289" t="n">
        <v>0</v>
      </c>
    </row>
    <row r="290">
      <c r="A290" t="inlineStr">
        <is>
          <t>86ff0c51609e03eaca9b90d4a9a308a5e69a2808c3987b3c534fbb6fb879a3b6</t>
        </is>
      </c>
      <c r="B290" t="inlineStr">
        <is>
          <t>Visma Enterprise (BOOM)</t>
        </is>
      </c>
      <c r="C290" t="n">
        <v>6</v>
      </c>
      <c r="D290" t="n">
        <v>5</v>
      </c>
      <c r="E290" t="n">
        <v>8</v>
      </c>
      <c r="F290" t="n">
        <v>20240101</v>
      </c>
      <c r="G290" t="n">
        <v>0</v>
      </c>
      <c r="H290" t="n">
        <v>0</v>
      </c>
      <c r="I290" t="n">
        <v>0</v>
      </c>
      <c r="J290" t="n">
        <v>0</v>
      </c>
    </row>
    <row r="291">
      <c r="A291" t="inlineStr">
        <is>
          <t>6a69fd2948d6a896489cdf8ab1d9b2b2a523507dfaeea8a26d1d46a5c96d49f9</t>
        </is>
      </c>
      <c r="B291" t="inlineStr">
        <is>
          <t>Visma Enterprise (BOOM)</t>
        </is>
      </c>
      <c r="C291" t="n">
        <v>6</v>
      </c>
      <c r="D291" t="n">
        <v>5</v>
      </c>
      <c r="E291" t="n">
        <v>8</v>
      </c>
      <c r="F291" t="n">
        <v>20240201</v>
      </c>
      <c r="G291" t="n">
        <v>6334.29</v>
      </c>
      <c r="H291" t="n">
        <v>6334.29</v>
      </c>
      <c r="I291" t="n">
        <v>0</v>
      </c>
      <c r="J291" t="n">
        <v>6334.29</v>
      </c>
    </row>
    <row r="292">
      <c r="A292" t="inlineStr">
        <is>
          <t>2a3730607be620b41444f1ea29332991d5df7cdfb6b7e8fb198810cc779b0827</t>
        </is>
      </c>
      <c r="B292" t="inlineStr">
        <is>
          <t>Visma Enterprise (BOOM)</t>
        </is>
      </c>
      <c r="C292" t="n">
        <v>6</v>
      </c>
      <c r="D292" t="n">
        <v>5</v>
      </c>
      <c r="E292" t="n">
        <v>8</v>
      </c>
      <c r="F292" t="n">
        <v>20240301</v>
      </c>
      <c r="G292" t="n">
        <v>3689.04</v>
      </c>
      <c r="H292" t="n">
        <v>3689.04</v>
      </c>
      <c r="I292" t="n">
        <v>0</v>
      </c>
      <c r="J292" t="n">
        <v>3689.04</v>
      </c>
    </row>
    <row r="293">
      <c r="A293" t="inlineStr">
        <is>
          <t>9b5cb426950ed397a17113f6402a5f0f364958b6f7782b376adb510ee5aa7cda</t>
        </is>
      </c>
      <c r="B293" t="inlineStr">
        <is>
          <t>Visma Enterprise (BOOM)</t>
        </is>
      </c>
      <c r="C293" t="n">
        <v>6</v>
      </c>
      <c r="D293" t="n">
        <v>5</v>
      </c>
      <c r="E293" t="n">
        <v>8</v>
      </c>
      <c r="F293" t="n">
        <v>20240401</v>
      </c>
      <c r="G293" t="n">
        <v>3891.32</v>
      </c>
      <c r="H293" t="n">
        <v>3891.32</v>
      </c>
      <c r="I293" t="n">
        <v>0</v>
      </c>
      <c r="J293" t="n">
        <v>3891.32</v>
      </c>
    </row>
    <row r="294">
      <c r="A294" t="inlineStr">
        <is>
          <t>116a1d7ed65c7724786f5e1ab529c40fe9ea456a328fedc06a3db8faa8a28ffe</t>
        </is>
      </c>
      <c r="B294" t="inlineStr">
        <is>
          <t>Visma Enterprise (BOOM)</t>
        </is>
      </c>
      <c r="C294" t="n">
        <v>6</v>
      </c>
      <c r="D294" t="n">
        <v>5</v>
      </c>
      <c r="E294" t="n">
        <v>8</v>
      </c>
      <c r="F294" t="n">
        <v>20240501</v>
      </c>
      <c r="G294" t="n">
        <v>72.26000000000001</v>
      </c>
      <c r="H294" t="n">
        <v>72.26000000000001</v>
      </c>
      <c r="I294" t="n">
        <v>0</v>
      </c>
      <c r="J294" t="n">
        <v>72.26000000000001</v>
      </c>
    </row>
    <row r="295">
      <c r="A295" t="inlineStr">
        <is>
          <t>0b0908996fb70c0e7e5a14bd060aa6daad2a6759287c5629c6ba4a65603118d9</t>
        </is>
      </c>
      <c r="B295" t="inlineStr">
        <is>
          <t>Visma Enterprise (BOOM)</t>
        </is>
      </c>
      <c r="C295" t="n">
        <v>6</v>
      </c>
      <c r="D295" t="n">
        <v>5</v>
      </c>
      <c r="E295" t="n">
        <v>8</v>
      </c>
      <c r="F295" t="n">
        <v>20240601</v>
      </c>
      <c r="G295" t="n">
        <v>990.72</v>
      </c>
      <c r="H295" t="n">
        <v>990.72</v>
      </c>
      <c r="I295" t="n">
        <v>0</v>
      </c>
      <c r="J295" t="n">
        <v>990.72</v>
      </c>
    </row>
    <row r="296">
      <c r="A296" t="inlineStr">
        <is>
          <t>28364f2a5cc53cf2746f9e28fe694e91ddb49e0d6268a252688b70001150f6b1</t>
        </is>
      </c>
      <c r="B296" t="inlineStr">
        <is>
          <t>Visma Enterprise (BOOM)</t>
        </is>
      </c>
      <c r="C296" t="n">
        <v>6</v>
      </c>
      <c r="D296" t="n">
        <v>5</v>
      </c>
      <c r="E296" t="n">
        <v>8</v>
      </c>
      <c r="F296" t="n">
        <v>20240701</v>
      </c>
      <c r="G296" t="n">
        <v>1940.37</v>
      </c>
      <c r="H296" t="n">
        <v>1940.37</v>
      </c>
      <c r="I296" t="n">
        <v>0</v>
      </c>
      <c r="J296" t="n">
        <v>1940.37</v>
      </c>
    </row>
    <row r="297">
      <c r="A297" t="inlineStr">
        <is>
          <t>e0e9224b83cebe002a2d9760c5da9d4cafdba5fd38afe020f710d6bccb9ea16f</t>
        </is>
      </c>
      <c r="B297" t="inlineStr">
        <is>
          <t>Visma Enterprise (BOOM)</t>
        </is>
      </c>
      <c r="C297" t="n">
        <v>6</v>
      </c>
      <c r="D297" t="n">
        <v>5</v>
      </c>
      <c r="E297" t="n">
        <v>8</v>
      </c>
      <c r="F297" t="n">
        <v>20240801</v>
      </c>
      <c r="G297" t="n">
        <v>3424.71</v>
      </c>
      <c r="H297" t="n">
        <v>3424.71</v>
      </c>
      <c r="I297" t="n">
        <v>0</v>
      </c>
      <c r="J297" t="n">
        <v>3424.71</v>
      </c>
    </row>
    <row r="298">
      <c r="A298" t="inlineStr">
        <is>
          <t>49827be2c377c724ec3d8cf07d0908d4e198efd299b3f90cd06bddc4e89659ee</t>
        </is>
      </c>
      <c r="B298" t="inlineStr">
        <is>
          <t>Visma Enterprise (BOOM)</t>
        </is>
      </c>
      <c r="C298" t="n">
        <v>6</v>
      </c>
      <c r="D298" t="n">
        <v>5</v>
      </c>
      <c r="E298" t="n">
        <v>8</v>
      </c>
      <c r="F298" t="n">
        <v>20240901</v>
      </c>
      <c r="G298" t="n">
        <v>0</v>
      </c>
      <c r="H298" t="n">
        <v>0</v>
      </c>
      <c r="I298" t="n">
        <v>0</v>
      </c>
      <c r="J298" t="n">
        <v>0</v>
      </c>
    </row>
    <row r="299">
      <c r="A299" t="inlineStr">
        <is>
          <t>7801d1ff0125de769fe36858a00619d8085dcfe2f3eaa96cc843f1ea3b4a8534</t>
        </is>
      </c>
      <c r="B299" t="inlineStr">
        <is>
          <t>Visma Enterprise (BOOM)</t>
        </is>
      </c>
      <c r="C299" t="n">
        <v>6</v>
      </c>
      <c r="D299" t="n">
        <v>5</v>
      </c>
      <c r="E299" t="n">
        <v>8</v>
      </c>
      <c r="F299" t="n">
        <v>20241001</v>
      </c>
      <c r="G299" t="n">
        <v>0</v>
      </c>
      <c r="H299" t="n">
        <v>0</v>
      </c>
      <c r="I299" t="n">
        <v>0</v>
      </c>
      <c r="J299" t="n">
        <v>0</v>
      </c>
    </row>
    <row r="300">
      <c r="A300" t="inlineStr">
        <is>
          <t>95398707bbb648ce3ce5ff7efc6ed5260b32fe92bb270582c6c235b9e7ec1889</t>
        </is>
      </c>
      <c r="B300" t="inlineStr">
        <is>
          <t>Visma Enterprise (BOOM)</t>
        </is>
      </c>
      <c r="C300" t="n">
        <v>6</v>
      </c>
      <c r="D300" t="n">
        <v>5</v>
      </c>
      <c r="E300" t="n">
        <v>8</v>
      </c>
      <c r="F300" t="n">
        <v>20241101</v>
      </c>
      <c r="G300" t="n">
        <v>0</v>
      </c>
      <c r="H300" t="n">
        <v>0</v>
      </c>
      <c r="I300" t="n">
        <v>0</v>
      </c>
      <c r="J300" t="n">
        <v>0</v>
      </c>
    </row>
    <row r="301">
      <c r="A301" t="inlineStr">
        <is>
          <t>ee32289662cd76ffa7e18d805424cffaf85ca5c6b677b346c47da86b2d094d08</t>
        </is>
      </c>
      <c r="B301" t="inlineStr">
        <is>
          <t>Visma Enterprise (BOOM)</t>
        </is>
      </c>
      <c r="C301" t="n">
        <v>6</v>
      </c>
      <c r="D301" t="n">
        <v>5</v>
      </c>
      <c r="E301" t="n">
        <v>8</v>
      </c>
      <c r="F301" t="n">
        <v>20241201</v>
      </c>
      <c r="G301" t="n">
        <v>0</v>
      </c>
      <c r="H301" t="n">
        <v>0</v>
      </c>
      <c r="I301" t="n">
        <v>0</v>
      </c>
      <c r="J301" t="n">
        <v>0</v>
      </c>
    </row>
    <row r="302">
      <c r="A302" t="inlineStr">
        <is>
          <t>ec931dee5886a51620b3319ebc08fc715cf4cb0725ab4779446f6a8fa8629fc9</t>
        </is>
      </c>
      <c r="B302" t="inlineStr">
        <is>
          <t>Visma Enterprise (BOOM)</t>
        </is>
      </c>
      <c r="C302" t="n">
        <v>6</v>
      </c>
      <c r="D302" t="n">
        <v>5</v>
      </c>
      <c r="E302" t="n">
        <v>8</v>
      </c>
      <c r="F302" t="n">
        <v>20240101</v>
      </c>
      <c r="G302" t="n">
        <v>0</v>
      </c>
      <c r="H302" t="n">
        <v>0</v>
      </c>
      <c r="I302" t="n">
        <v>333</v>
      </c>
      <c r="J302" t="n">
        <v>-333</v>
      </c>
    </row>
    <row r="303">
      <c r="A303" t="inlineStr">
        <is>
          <t>616894fcb192acfcd3e875098f3d7a3ae80bf552838c3c332c69286c0ded0c75</t>
        </is>
      </c>
      <c r="B303" t="inlineStr">
        <is>
          <t>Visma Enterprise (BOOM)</t>
        </is>
      </c>
      <c r="C303" t="n">
        <v>6</v>
      </c>
      <c r="D303" t="n">
        <v>5</v>
      </c>
      <c r="E303" t="n">
        <v>8</v>
      </c>
      <c r="F303" t="n">
        <v>20240201</v>
      </c>
      <c r="G303" t="n">
        <v>0</v>
      </c>
      <c r="H303" t="n">
        <v>0</v>
      </c>
      <c r="I303" t="n">
        <v>333</v>
      </c>
      <c r="J303" t="n">
        <v>-333</v>
      </c>
    </row>
    <row r="304">
      <c r="A304" t="inlineStr">
        <is>
          <t>c20f1341ad959e866dc17b2ffb3d46ed3a99c4ff6f039d2cde4025220bffcbab</t>
        </is>
      </c>
      <c r="B304" t="inlineStr">
        <is>
          <t>Visma Enterprise (BOOM)</t>
        </is>
      </c>
      <c r="C304" t="n">
        <v>6</v>
      </c>
      <c r="D304" t="n">
        <v>5</v>
      </c>
      <c r="E304" t="n">
        <v>8</v>
      </c>
      <c r="F304" t="n">
        <v>20240301</v>
      </c>
      <c r="G304" t="n">
        <v>0</v>
      </c>
      <c r="H304" t="n">
        <v>0</v>
      </c>
      <c r="I304" t="n">
        <v>333</v>
      </c>
      <c r="J304" t="n">
        <v>-333</v>
      </c>
    </row>
    <row r="305">
      <c r="A305" t="inlineStr">
        <is>
          <t>0f03dc9de0f87806892a566abfd18841a6ea3348e3bf57f88b8383e09fefccef</t>
        </is>
      </c>
      <c r="B305" t="inlineStr">
        <is>
          <t>Visma Enterprise (BOOM)</t>
        </is>
      </c>
      <c r="C305" t="n">
        <v>6</v>
      </c>
      <c r="D305" t="n">
        <v>5</v>
      </c>
      <c r="E305" t="n">
        <v>8</v>
      </c>
      <c r="F305" t="n">
        <v>20240401</v>
      </c>
      <c r="G305" t="n">
        <v>0</v>
      </c>
      <c r="H305" t="n">
        <v>0</v>
      </c>
      <c r="I305" t="n">
        <v>333</v>
      </c>
      <c r="J305" t="n">
        <v>-333</v>
      </c>
    </row>
    <row r="306">
      <c r="A306" t="inlineStr">
        <is>
          <t>bf3c46c8ad72cfe1dcb4471cabf7cd68d4ad8215db155c20a535bd277f38a5a5</t>
        </is>
      </c>
      <c r="B306" t="inlineStr">
        <is>
          <t>Visma Enterprise (BOOM)</t>
        </is>
      </c>
      <c r="C306" t="n">
        <v>6</v>
      </c>
      <c r="D306" t="n">
        <v>5</v>
      </c>
      <c r="E306" t="n">
        <v>8</v>
      </c>
      <c r="F306" t="n">
        <v>20240501</v>
      </c>
      <c r="G306" t="n">
        <v>0</v>
      </c>
      <c r="H306" t="n">
        <v>0</v>
      </c>
      <c r="I306" t="n">
        <v>333</v>
      </c>
      <c r="J306" t="n">
        <v>-333</v>
      </c>
    </row>
    <row r="307">
      <c r="A307" t="inlineStr">
        <is>
          <t>d5f1457a27432085e98eb63c5b3f5d9bf057e56bf07e05ddd0ac46f5ddb5045b</t>
        </is>
      </c>
      <c r="B307" t="inlineStr">
        <is>
          <t>Visma Enterprise (BOOM)</t>
        </is>
      </c>
      <c r="C307" t="n">
        <v>6</v>
      </c>
      <c r="D307" t="n">
        <v>5</v>
      </c>
      <c r="E307" t="n">
        <v>8</v>
      </c>
      <c r="F307" t="n">
        <v>20240601</v>
      </c>
      <c r="G307" t="n">
        <v>0</v>
      </c>
      <c r="H307" t="n">
        <v>0</v>
      </c>
      <c r="I307" t="n">
        <v>333</v>
      </c>
      <c r="J307" t="n">
        <v>-333</v>
      </c>
    </row>
    <row r="308">
      <c r="A308" t="inlineStr">
        <is>
          <t>4899fe4101d368c2698c7650a10acbe383f434317587098c2f847af5be9ec5c6</t>
        </is>
      </c>
      <c r="B308" t="inlineStr">
        <is>
          <t>Visma Enterprise (BOOM)</t>
        </is>
      </c>
      <c r="C308" t="n">
        <v>6</v>
      </c>
      <c r="D308" t="n">
        <v>5</v>
      </c>
      <c r="E308" t="n">
        <v>8</v>
      </c>
      <c r="F308" t="n">
        <v>20240701</v>
      </c>
      <c r="G308" t="n">
        <v>0</v>
      </c>
      <c r="H308" t="n">
        <v>0</v>
      </c>
      <c r="I308" t="n">
        <v>333</v>
      </c>
      <c r="J308" t="n">
        <v>-333</v>
      </c>
    </row>
    <row r="309">
      <c r="A309" t="inlineStr">
        <is>
          <t>ce4c9e0e0aa785b8cdb22c4a3f3d5c684be2db1dd95da4ee9b03e565b25f564d</t>
        </is>
      </c>
      <c r="B309" t="inlineStr">
        <is>
          <t>Visma Enterprise (BOOM)</t>
        </is>
      </c>
      <c r="C309" t="n">
        <v>6</v>
      </c>
      <c r="D309" t="n">
        <v>5</v>
      </c>
      <c r="E309" t="n">
        <v>8</v>
      </c>
      <c r="F309" t="n">
        <v>20240801</v>
      </c>
      <c r="G309" t="n">
        <v>0</v>
      </c>
      <c r="H309" t="n">
        <v>0</v>
      </c>
      <c r="I309" t="n">
        <v>333</v>
      </c>
      <c r="J309" t="n">
        <v>-333</v>
      </c>
    </row>
    <row r="310">
      <c r="A310" t="inlineStr">
        <is>
          <t>749d451432c96412406728024284a8d15ebba83ee0d8cfddc3f85647b58216e8</t>
        </is>
      </c>
      <c r="B310" t="inlineStr">
        <is>
          <t>Visma Enterprise (BOOM)</t>
        </is>
      </c>
      <c r="C310" t="n">
        <v>6</v>
      </c>
      <c r="D310" t="n">
        <v>5</v>
      </c>
      <c r="E310" t="n">
        <v>8</v>
      </c>
      <c r="F310" t="n">
        <v>20240901</v>
      </c>
      <c r="G310" t="n">
        <v>0</v>
      </c>
      <c r="H310" t="n">
        <v>0</v>
      </c>
      <c r="I310" t="n">
        <v>333</v>
      </c>
      <c r="J310" t="n">
        <v>-333</v>
      </c>
    </row>
    <row r="311">
      <c r="A311" t="inlineStr">
        <is>
          <t>1a5e6fe3e8905195a6ba755043ac2046af035122cb26826b0985d34d4dae4361</t>
        </is>
      </c>
      <c r="B311" t="inlineStr">
        <is>
          <t>Visma Enterprise (BOOM)</t>
        </is>
      </c>
      <c r="C311" t="n">
        <v>6</v>
      </c>
      <c r="D311" t="n">
        <v>5</v>
      </c>
      <c r="E311" t="n">
        <v>8</v>
      </c>
      <c r="F311" t="n">
        <v>20241001</v>
      </c>
      <c r="G311" t="n">
        <v>0</v>
      </c>
      <c r="H311" t="n">
        <v>0</v>
      </c>
      <c r="I311" t="n">
        <v>333</v>
      </c>
      <c r="J311" t="n">
        <v>-333</v>
      </c>
    </row>
    <row r="312">
      <c r="A312" t="inlineStr">
        <is>
          <t>bb5f23294030eb492198f6ee117a0d27d73d7ac9874eb300553dfafb9e68345d</t>
        </is>
      </c>
      <c r="B312" t="inlineStr">
        <is>
          <t>Visma Enterprise (BOOM)</t>
        </is>
      </c>
      <c r="C312" t="n">
        <v>6</v>
      </c>
      <c r="D312" t="n">
        <v>5</v>
      </c>
      <c r="E312" t="n">
        <v>8</v>
      </c>
      <c r="F312" t="n">
        <v>20241101</v>
      </c>
      <c r="G312" t="n">
        <v>0</v>
      </c>
      <c r="H312" t="n">
        <v>0</v>
      </c>
      <c r="I312" t="n">
        <v>333</v>
      </c>
      <c r="J312" t="n">
        <v>-333</v>
      </c>
    </row>
    <row r="313">
      <c r="A313" t="inlineStr">
        <is>
          <t>3860eb07ad29347fb6de956baf3fac2e0c21cf8764a8fa7a302c35bedee145d5</t>
        </is>
      </c>
      <c r="B313" t="inlineStr">
        <is>
          <t>Visma Enterprise (BOOM)</t>
        </is>
      </c>
      <c r="C313" t="n">
        <v>6</v>
      </c>
      <c r="D313" t="n">
        <v>5</v>
      </c>
      <c r="E313" t="n">
        <v>8</v>
      </c>
      <c r="F313" t="n">
        <v>20241201</v>
      </c>
      <c r="G313" t="n">
        <v>0</v>
      </c>
      <c r="H313" t="n">
        <v>0</v>
      </c>
      <c r="I313" t="n">
        <v>337</v>
      </c>
      <c r="J313" t="n">
        <v>-337</v>
      </c>
    </row>
    <row r="314">
      <c r="A314" t="inlineStr">
        <is>
          <t>fd4f867183290891942f9ef9e2a8e10a77190702677fad59d4626ca5f16c5fc0</t>
        </is>
      </c>
      <c r="B314" t="inlineStr">
        <is>
          <t>Visma Enterprise (BOOM)</t>
        </is>
      </c>
      <c r="C314" t="n">
        <v>6</v>
      </c>
      <c r="D314" t="n">
        <v>5</v>
      </c>
      <c r="E314" t="n">
        <v>8</v>
      </c>
      <c r="F314" t="n">
        <v>20240101</v>
      </c>
      <c r="G314" t="n">
        <v>1127.32</v>
      </c>
      <c r="H314" t="n">
        <v>1127.32</v>
      </c>
      <c r="I314" t="n">
        <v>1416</v>
      </c>
      <c r="J314" t="n">
        <v>-288.6800000000001</v>
      </c>
    </row>
    <row r="315">
      <c r="A315" t="inlineStr">
        <is>
          <t>8eec382d3dec0cf334490d247ead7e708fafe4c44ab4173d25efad0492ca7956</t>
        </is>
      </c>
      <c r="B315" t="inlineStr">
        <is>
          <t>Visma Enterprise (BOOM)</t>
        </is>
      </c>
      <c r="C315" t="n">
        <v>6</v>
      </c>
      <c r="D315" t="n">
        <v>5</v>
      </c>
      <c r="E315" t="n">
        <v>8</v>
      </c>
      <c r="F315" t="n">
        <v>20240201</v>
      </c>
      <c r="G315" t="n">
        <v>1295</v>
      </c>
      <c r="H315" t="n">
        <v>1295</v>
      </c>
      <c r="I315" t="n">
        <v>1416</v>
      </c>
      <c r="J315" t="n">
        <v>-121</v>
      </c>
    </row>
    <row r="316">
      <c r="A316" t="inlineStr">
        <is>
          <t>7d1605cf91e05f9d1d039fa8e1a00cb81d5a23984961143fe25dad3b289a7160</t>
        </is>
      </c>
      <c r="B316" t="inlineStr">
        <is>
          <t>Visma Enterprise (BOOM)</t>
        </is>
      </c>
      <c r="C316" t="n">
        <v>6</v>
      </c>
      <c r="D316" t="n">
        <v>5</v>
      </c>
      <c r="E316" t="n">
        <v>8</v>
      </c>
      <c r="F316" t="n">
        <v>20240301</v>
      </c>
      <c r="G316" t="n">
        <v>1180.87</v>
      </c>
      <c r="H316" t="n">
        <v>1180.87</v>
      </c>
      <c r="I316" t="n">
        <v>1416</v>
      </c>
      <c r="J316" t="n">
        <v>-235.1300000000001</v>
      </c>
    </row>
    <row r="317">
      <c r="A317" t="inlineStr">
        <is>
          <t>6bdc47bae1ada3155d767102cbe6c9d4d3dc88527a480fee5df29910965b74f7</t>
        </is>
      </c>
      <c r="B317" t="inlineStr">
        <is>
          <t>Visma Enterprise (BOOM)</t>
        </is>
      </c>
      <c r="C317" t="n">
        <v>6</v>
      </c>
      <c r="D317" t="n">
        <v>5</v>
      </c>
      <c r="E317" t="n">
        <v>8</v>
      </c>
      <c r="F317" t="n">
        <v>20240401</v>
      </c>
      <c r="G317" t="n">
        <v>1070.2</v>
      </c>
      <c r="H317" t="n">
        <v>1070.2</v>
      </c>
      <c r="I317" t="n">
        <v>1416</v>
      </c>
      <c r="J317" t="n">
        <v>-345.8</v>
      </c>
    </row>
    <row r="318">
      <c r="A318" t="inlineStr">
        <is>
          <t>8012e298adad452811fef5250fc76c3769f214f9726837f0196e9ca0d204f591</t>
        </is>
      </c>
      <c r="B318" t="inlineStr">
        <is>
          <t>Visma Enterprise (BOOM)</t>
        </is>
      </c>
      <c r="C318" t="n">
        <v>6</v>
      </c>
      <c r="D318" t="n">
        <v>5</v>
      </c>
      <c r="E318" t="n">
        <v>8</v>
      </c>
      <c r="F318" t="n">
        <v>20240501</v>
      </c>
      <c r="G318" t="n">
        <v>1107.86</v>
      </c>
      <c r="H318" t="n">
        <v>1107.86</v>
      </c>
      <c r="I318" t="n">
        <v>1416</v>
      </c>
      <c r="J318" t="n">
        <v>-308.1400000000001</v>
      </c>
    </row>
    <row r="319">
      <c r="A319" t="inlineStr">
        <is>
          <t>d87152836a80a0b23c5e36e292ec7e9c1cb324f18c82fadf2c15ce5642f8ad85</t>
        </is>
      </c>
      <c r="B319" t="inlineStr">
        <is>
          <t>Visma Enterprise (BOOM)</t>
        </is>
      </c>
      <c r="C319" t="n">
        <v>6</v>
      </c>
      <c r="D319" t="n">
        <v>5</v>
      </c>
      <c r="E319" t="n">
        <v>8</v>
      </c>
      <c r="F319" t="n">
        <v>20240601</v>
      </c>
      <c r="G319" t="n">
        <v>1016.81</v>
      </c>
      <c r="H319" t="n">
        <v>1016.81</v>
      </c>
      <c r="I319" t="n">
        <v>1416</v>
      </c>
      <c r="J319" t="n">
        <v>-399.1900000000001</v>
      </c>
    </row>
    <row r="320">
      <c r="A320" t="inlineStr">
        <is>
          <t>5c53ff58cac94c83b7dc54dff735c9e3b0e153258cbff9b2472527154fb275ca</t>
        </is>
      </c>
      <c r="B320" t="inlineStr">
        <is>
          <t>Visma Enterprise (BOOM)</t>
        </is>
      </c>
      <c r="C320" t="n">
        <v>6</v>
      </c>
      <c r="D320" t="n">
        <v>5</v>
      </c>
      <c r="E320" t="n">
        <v>8</v>
      </c>
      <c r="F320" t="n">
        <v>20240701</v>
      </c>
      <c r="G320" t="n">
        <v>974.22</v>
      </c>
      <c r="H320" t="n">
        <v>974.22</v>
      </c>
      <c r="I320" t="n">
        <v>1416</v>
      </c>
      <c r="J320" t="n">
        <v>-441.78</v>
      </c>
    </row>
    <row r="321">
      <c r="A321" t="inlineStr">
        <is>
          <t>6be5814017f4dfb12583e61d08c45e861759a557954d8408447079c5929d3626</t>
        </is>
      </c>
      <c r="B321" t="inlineStr">
        <is>
          <t>Visma Enterprise (BOOM)</t>
        </is>
      </c>
      <c r="C321" t="n">
        <v>6</v>
      </c>
      <c r="D321" t="n">
        <v>5</v>
      </c>
      <c r="E321" t="n">
        <v>8</v>
      </c>
      <c r="F321" t="n">
        <v>20240801</v>
      </c>
      <c r="G321" t="n">
        <v>974.22</v>
      </c>
      <c r="H321" t="n">
        <v>974.22</v>
      </c>
      <c r="I321" t="n">
        <v>1416</v>
      </c>
      <c r="J321" t="n">
        <v>-441.78</v>
      </c>
    </row>
    <row r="322">
      <c r="A322" t="inlineStr">
        <is>
          <t>0179d75135696201bee4801d5b1db1b68c0b6b175e8ef846b251504eb22003f5</t>
        </is>
      </c>
      <c r="B322" t="inlineStr">
        <is>
          <t>Visma Enterprise (BOOM)</t>
        </is>
      </c>
      <c r="C322" t="n">
        <v>6</v>
      </c>
      <c r="D322" t="n">
        <v>5</v>
      </c>
      <c r="E322" t="n">
        <v>8</v>
      </c>
      <c r="F322" t="n">
        <v>20240901</v>
      </c>
      <c r="G322" t="n">
        <v>0</v>
      </c>
      <c r="H322" t="n">
        <v>0</v>
      </c>
      <c r="I322" t="n">
        <v>1416</v>
      </c>
      <c r="J322" t="n">
        <v>-1416</v>
      </c>
    </row>
    <row r="323">
      <c r="A323" t="inlineStr">
        <is>
          <t>564989c48ac835b654c1dadbc3daa2d65a4666e72babb71c12f2ba349c2d2e64</t>
        </is>
      </c>
      <c r="B323" t="inlineStr">
        <is>
          <t>Visma Enterprise (BOOM)</t>
        </is>
      </c>
      <c r="C323" t="n">
        <v>6</v>
      </c>
      <c r="D323" t="n">
        <v>5</v>
      </c>
      <c r="E323" t="n">
        <v>8</v>
      </c>
      <c r="F323" t="n">
        <v>20241001</v>
      </c>
      <c r="G323" t="n">
        <v>0</v>
      </c>
      <c r="H323" t="n">
        <v>0</v>
      </c>
      <c r="I323" t="n">
        <v>1416</v>
      </c>
      <c r="J323" t="n">
        <v>-1416</v>
      </c>
    </row>
    <row r="324">
      <c r="A324" t="inlineStr">
        <is>
          <t>462898781ddf851b6f8aaf26c54e5dbd4838384eb48467224e3e704ae5797858</t>
        </is>
      </c>
      <c r="B324" t="inlineStr">
        <is>
          <t>Visma Enterprise (BOOM)</t>
        </is>
      </c>
      <c r="C324" t="n">
        <v>6</v>
      </c>
      <c r="D324" t="n">
        <v>5</v>
      </c>
      <c r="E324" t="n">
        <v>8</v>
      </c>
      <c r="F324" t="n">
        <v>20241101</v>
      </c>
      <c r="G324" t="n">
        <v>0</v>
      </c>
      <c r="H324" t="n">
        <v>0</v>
      </c>
      <c r="I324" t="n">
        <v>1416</v>
      </c>
      <c r="J324" t="n">
        <v>-1416</v>
      </c>
    </row>
    <row r="325">
      <c r="A325" t="inlineStr">
        <is>
          <t>e55f7f647fca89a144893e3446737a3228e1968faf826e95cfab2f49ac33e69b</t>
        </is>
      </c>
      <c r="B325" t="inlineStr">
        <is>
          <t>Visma Enterprise (BOOM)</t>
        </is>
      </c>
      <c r="C325" t="n">
        <v>6</v>
      </c>
      <c r="D325" t="n">
        <v>5</v>
      </c>
      <c r="E325" t="n">
        <v>8</v>
      </c>
      <c r="F325" t="n">
        <v>20241201</v>
      </c>
      <c r="G325" t="n">
        <v>0</v>
      </c>
      <c r="H325" t="n">
        <v>0</v>
      </c>
      <c r="I325" t="n">
        <v>1424</v>
      </c>
      <c r="J325" t="n">
        <v>-1424</v>
      </c>
    </row>
    <row r="326">
      <c r="A326" t="inlineStr">
        <is>
          <t>351206f867accb3029d42435837f343361c08fe372c4476e32c3138916c59de2</t>
        </is>
      </c>
      <c r="B326" t="inlineStr">
        <is>
          <t>Visma Enterprise (BOOM)</t>
        </is>
      </c>
      <c r="C326" t="n">
        <v>6</v>
      </c>
      <c r="D326" t="n">
        <v>5</v>
      </c>
      <c r="E326" t="n">
        <v>8</v>
      </c>
      <c r="F326" t="n">
        <v>20240101</v>
      </c>
      <c r="G326" t="n">
        <v>0</v>
      </c>
      <c r="H326" t="n">
        <v>0</v>
      </c>
      <c r="I326" t="n">
        <v>0</v>
      </c>
      <c r="J326" t="n">
        <v>0</v>
      </c>
    </row>
    <row r="327">
      <c r="A327" t="inlineStr">
        <is>
          <t>1cd4c1eb606866fa47b4fefb39125fa66e8eb61655039635c897c5bc0ee1116e</t>
        </is>
      </c>
      <c r="B327" t="inlineStr">
        <is>
          <t>Visma Enterprise (BOOM)</t>
        </is>
      </c>
      <c r="C327" t="n">
        <v>6</v>
      </c>
      <c r="D327" t="n">
        <v>5</v>
      </c>
      <c r="E327" t="n">
        <v>8</v>
      </c>
      <c r="F327" t="n">
        <v>20240201</v>
      </c>
      <c r="G327" t="n">
        <v>0</v>
      </c>
      <c r="H327" t="n">
        <v>0</v>
      </c>
      <c r="I327" t="n">
        <v>0</v>
      </c>
      <c r="J327" t="n">
        <v>0</v>
      </c>
    </row>
    <row r="328">
      <c r="A328" t="inlineStr">
        <is>
          <t>c43c12d39b5f89ad5e5798b9b5ec9ff9de110c24de97ad629ff393a85971bb05</t>
        </is>
      </c>
      <c r="B328" t="inlineStr">
        <is>
          <t>Visma Enterprise (BOOM)</t>
        </is>
      </c>
      <c r="C328" t="n">
        <v>6</v>
      </c>
      <c r="D328" t="n">
        <v>5</v>
      </c>
      <c r="E328" t="n">
        <v>8</v>
      </c>
      <c r="F328" t="n">
        <v>20240301</v>
      </c>
      <c r="G328" t="n">
        <v>0</v>
      </c>
      <c r="H328" t="n">
        <v>0</v>
      </c>
      <c r="I328" t="n">
        <v>0</v>
      </c>
      <c r="J328" t="n">
        <v>0</v>
      </c>
    </row>
    <row r="329">
      <c r="A329" t="inlineStr">
        <is>
          <t>8f1683ec2728126420c1095b770f3b8234531d0d1cd71d5ac07355b19af17550</t>
        </is>
      </c>
      <c r="B329" t="inlineStr">
        <is>
          <t>Visma Enterprise (BOOM)</t>
        </is>
      </c>
      <c r="C329" t="n">
        <v>6</v>
      </c>
      <c r="D329" t="n">
        <v>5</v>
      </c>
      <c r="E329" t="n">
        <v>8</v>
      </c>
      <c r="F329" t="n">
        <v>20240401</v>
      </c>
      <c r="G329" t="n">
        <v>0</v>
      </c>
      <c r="H329" t="n">
        <v>0</v>
      </c>
      <c r="I329" t="n">
        <v>0</v>
      </c>
      <c r="J329" t="n">
        <v>0</v>
      </c>
    </row>
    <row r="330">
      <c r="A330" t="inlineStr">
        <is>
          <t>bf402be9d3377893767fe1c5baefc6e32c25e248c0c6fa203c79dd267d3f368b</t>
        </is>
      </c>
      <c r="B330" t="inlineStr">
        <is>
          <t>Visma Enterprise (BOOM)</t>
        </is>
      </c>
      <c r="C330" t="n">
        <v>6</v>
      </c>
      <c r="D330" t="n">
        <v>5</v>
      </c>
      <c r="E330" t="n">
        <v>8</v>
      </c>
      <c r="F330" t="n">
        <v>20240501</v>
      </c>
      <c r="G330" t="n">
        <v>0</v>
      </c>
      <c r="H330" t="n">
        <v>0</v>
      </c>
      <c r="I330" t="n">
        <v>0</v>
      </c>
      <c r="J330" t="n">
        <v>0</v>
      </c>
    </row>
    <row r="331">
      <c r="A331" t="inlineStr">
        <is>
          <t>adf5a30769873c12425b5c72a782a330c18beea7141f5929dfc029bdef6a3525</t>
        </is>
      </c>
      <c r="B331" t="inlineStr">
        <is>
          <t>Visma Enterprise (BOOM)</t>
        </is>
      </c>
      <c r="C331" t="n">
        <v>6</v>
      </c>
      <c r="D331" t="n">
        <v>5</v>
      </c>
      <c r="E331" t="n">
        <v>8</v>
      </c>
      <c r="F331" t="n">
        <v>20240601</v>
      </c>
      <c r="G331" t="n">
        <v>81.14</v>
      </c>
      <c r="H331" t="n">
        <v>81.14</v>
      </c>
      <c r="I331" t="n">
        <v>0</v>
      </c>
      <c r="J331" t="n">
        <v>81.14</v>
      </c>
    </row>
    <row r="332">
      <c r="A332" t="inlineStr">
        <is>
          <t>7de8e5badcabf7b927c1cd9758b0d284bd5a3ccfc19ec162ee930226ff681274</t>
        </is>
      </c>
      <c r="B332" t="inlineStr">
        <is>
          <t>Visma Enterprise (BOOM)</t>
        </is>
      </c>
      <c r="C332" t="n">
        <v>6</v>
      </c>
      <c r="D332" t="n">
        <v>5</v>
      </c>
      <c r="E332" t="n">
        <v>8</v>
      </c>
      <c r="F332" t="n">
        <v>20240701</v>
      </c>
      <c r="G332" t="n">
        <v>411.89</v>
      </c>
      <c r="H332" t="n">
        <v>411.89</v>
      </c>
      <c r="I332" t="n">
        <v>0</v>
      </c>
      <c r="J332" t="n">
        <v>411.89</v>
      </c>
    </row>
    <row r="333">
      <c r="A333" t="inlineStr">
        <is>
          <t>c6675ff951ac00d9e7db76618c2bbeb131bbca909bdaa7703d591f7187043597</t>
        </is>
      </c>
      <c r="B333" t="inlineStr">
        <is>
          <t>Visma Enterprise (BOOM)</t>
        </is>
      </c>
      <c r="C333" t="n">
        <v>6</v>
      </c>
      <c r="D333" t="n">
        <v>5</v>
      </c>
      <c r="E333" t="n">
        <v>8</v>
      </c>
      <c r="F333" t="n">
        <v>20240801</v>
      </c>
      <c r="G333" t="n">
        <v>0</v>
      </c>
      <c r="H333" t="n">
        <v>0</v>
      </c>
      <c r="I333" t="n">
        <v>0</v>
      </c>
      <c r="J333" t="n">
        <v>0</v>
      </c>
    </row>
    <row r="334">
      <c r="A334" t="inlineStr">
        <is>
          <t>7b83a3d22ed4d7969b7f0cb4432da36e0faee8ecc2802c649406acb894ff1380</t>
        </is>
      </c>
      <c r="B334" t="inlineStr">
        <is>
          <t>Visma Enterprise (BOOM)</t>
        </is>
      </c>
      <c r="C334" t="n">
        <v>6</v>
      </c>
      <c r="D334" t="n">
        <v>5</v>
      </c>
      <c r="E334" t="n">
        <v>8</v>
      </c>
      <c r="F334" t="n">
        <v>20240901</v>
      </c>
      <c r="G334" t="n">
        <v>0</v>
      </c>
      <c r="H334" t="n">
        <v>0</v>
      </c>
      <c r="I334" t="n">
        <v>0</v>
      </c>
      <c r="J334" t="n">
        <v>0</v>
      </c>
    </row>
    <row r="335">
      <c r="A335" t="inlineStr">
        <is>
          <t>99297cd285ca2897a19638641220b9b89f47fa57850a9691e7f9af2e99434efe</t>
        </is>
      </c>
      <c r="B335" t="inlineStr">
        <is>
          <t>Visma Enterprise (BOOM)</t>
        </is>
      </c>
      <c r="C335" t="n">
        <v>6</v>
      </c>
      <c r="D335" t="n">
        <v>5</v>
      </c>
      <c r="E335" t="n">
        <v>8</v>
      </c>
      <c r="F335" t="n">
        <v>20241001</v>
      </c>
      <c r="G335" t="n">
        <v>0</v>
      </c>
      <c r="H335" t="n">
        <v>0</v>
      </c>
      <c r="I335" t="n">
        <v>0</v>
      </c>
      <c r="J335" t="n">
        <v>0</v>
      </c>
    </row>
    <row r="336">
      <c r="A336" t="inlineStr">
        <is>
          <t>646105580094eda0db5f96c10190726d045872e952240aa7f747797c0ced1797</t>
        </is>
      </c>
      <c r="B336" t="inlineStr">
        <is>
          <t>Visma Enterprise (BOOM)</t>
        </is>
      </c>
      <c r="C336" t="n">
        <v>6</v>
      </c>
      <c r="D336" t="n">
        <v>5</v>
      </c>
      <c r="E336" t="n">
        <v>8</v>
      </c>
      <c r="F336" t="n">
        <v>20241101</v>
      </c>
      <c r="G336" t="n">
        <v>0</v>
      </c>
      <c r="H336" t="n">
        <v>0</v>
      </c>
      <c r="I336" t="n">
        <v>0</v>
      </c>
      <c r="J336" t="n">
        <v>0</v>
      </c>
    </row>
    <row r="337">
      <c r="A337" t="inlineStr">
        <is>
          <t>6993b062d75eae6bbc899a8a128a324ea191ee0decdfc53fb300bc9c44810d07</t>
        </is>
      </c>
      <c r="B337" t="inlineStr">
        <is>
          <t>Visma Enterprise (BOOM)</t>
        </is>
      </c>
      <c r="C337" t="n">
        <v>6</v>
      </c>
      <c r="D337" t="n">
        <v>5</v>
      </c>
      <c r="E337" t="n">
        <v>8</v>
      </c>
      <c r="F337" t="n">
        <v>20241201</v>
      </c>
      <c r="G337" t="n">
        <v>0</v>
      </c>
      <c r="H337" t="n">
        <v>0</v>
      </c>
      <c r="I337" t="n">
        <v>0</v>
      </c>
      <c r="J337" t="n">
        <v>0</v>
      </c>
    </row>
    <row r="338">
      <c r="A338" t="inlineStr">
        <is>
          <t>887686417f91b40506b280f26644fb348309bd53ef33f939af09fa0c482f6c70</t>
        </is>
      </c>
      <c r="B338" t="inlineStr">
        <is>
          <t>Visma Enterprise (BOOM)</t>
        </is>
      </c>
      <c r="C338" t="n">
        <v>6</v>
      </c>
      <c r="D338" t="n">
        <v>6</v>
      </c>
      <c r="E338" t="n">
        <v>8</v>
      </c>
      <c r="F338" t="n">
        <v>20240101</v>
      </c>
      <c r="G338" t="n">
        <v>111774.79</v>
      </c>
      <c r="H338" t="n">
        <v>111774.79</v>
      </c>
      <c r="I338" t="n">
        <v>171251</v>
      </c>
      <c r="J338" t="n">
        <v>-59476.21000000001</v>
      </c>
    </row>
    <row r="339">
      <c r="A339" t="inlineStr">
        <is>
          <t>94c791300671a70e65e4e24c8dac22ab6a5f8e9f26ed7a78372715a34154f81f</t>
        </is>
      </c>
      <c r="B339" t="inlineStr">
        <is>
          <t>Visma Enterprise (BOOM)</t>
        </is>
      </c>
      <c r="C339" t="n">
        <v>6</v>
      </c>
      <c r="D339" t="n">
        <v>6</v>
      </c>
      <c r="E339" t="n">
        <v>8</v>
      </c>
      <c r="F339" t="n">
        <v>20240201</v>
      </c>
      <c r="G339" t="n">
        <v>201470.68</v>
      </c>
      <c r="H339" t="n">
        <v>201470.68</v>
      </c>
      <c r="I339" t="n">
        <v>171250</v>
      </c>
      <c r="J339" t="n">
        <v>30220.67999999999</v>
      </c>
    </row>
    <row r="340">
      <c r="A340" t="inlineStr">
        <is>
          <t>a7c6c7618d628bee05e3e1c4360e39f7b1243631da3d979b48d40263a24ce7c3</t>
        </is>
      </c>
      <c r="B340" t="inlineStr">
        <is>
          <t>Visma Enterprise (BOOM)</t>
        </is>
      </c>
      <c r="C340" t="n">
        <v>6</v>
      </c>
      <c r="D340" t="n">
        <v>6</v>
      </c>
      <c r="E340" t="n">
        <v>8</v>
      </c>
      <c r="F340" t="n">
        <v>20240301</v>
      </c>
      <c r="G340" t="n">
        <v>168932.97</v>
      </c>
      <c r="H340" t="n">
        <v>168932.97</v>
      </c>
      <c r="I340" t="n">
        <v>171248</v>
      </c>
      <c r="J340" t="n">
        <v>-2315.029999999999</v>
      </c>
    </row>
    <row r="341">
      <c r="A341" t="inlineStr">
        <is>
          <t>e00dbb26787c92002da5e6a1f7665c59c995e5f296cf8b60b967b816e494efb1</t>
        </is>
      </c>
      <c r="B341" t="inlineStr">
        <is>
          <t>Visma Enterprise (BOOM)</t>
        </is>
      </c>
      <c r="C341" t="n">
        <v>6</v>
      </c>
      <c r="D341" t="n">
        <v>6</v>
      </c>
      <c r="E341" t="n">
        <v>8</v>
      </c>
      <c r="F341" t="n">
        <v>20240401</v>
      </c>
      <c r="G341" t="n">
        <v>1034142.89</v>
      </c>
      <c r="H341" t="n">
        <v>1034142.89</v>
      </c>
      <c r="I341" t="n">
        <v>1055848</v>
      </c>
      <c r="J341" t="n">
        <v>-21705.10999999999</v>
      </c>
    </row>
    <row r="342">
      <c r="A342" t="inlineStr">
        <is>
          <t>7fa26ac82e32828ed7caa3f2e903b870d9d9a2b9a14e12dad1253a8927089bd9</t>
        </is>
      </c>
      <c r="B342" t="inlineStr">
        <is>
          <t>Visma Enterprise (BOOM)</t>
        </is>
      </c>
      <c r="C342" t="n">
        <v>6</v>
      </c>
      <c r="D342" t="n">
        <v>6</v>
      </c>
      <c r="E342" t="n">
        <v>8</v>
      </c>
      <c r="F342" t="n">
        <v>20240501</v>
      </c>
      <c r="G342" t="n">
        <v>165027.58</v>
      </c>
      <c r="H342" t="n">
        <v>165027.58</v>
      </c>
      <c r="I342" t="n">
        <v>177108</v>
      </c>
      <c r="J342" t="n">
        <v>-12080.42000000001</v>
      </c>
    </row>
    <row r="343">
      <c r="A343" t="inlineStr">
        <is>
          <t>ad07f468e49f5a117bb2015f8b3f799601f818f9343508bb92131f453dc00870</t>
        </is>
      </c>
      <c r="B343" t="inlineStr">
        <is>
          <t>Visma Enterprise (BOOM)</t>
        </is>
      </c>
      <c r="C343" t="n">
        <v>6</v>
      </c>
      <c r="D343" t="n">
        <v>6</v>
      </c>
      <c r="E343" t="n">
        <v>8</v>
      </c>
      <c r="F343" t="n">
        <v>20240601</v>
      </c>
      <c r="G343" t="n">
        <v>174781.14</v>
      </c>
      <c r="H343" t="n">
        <v>174781.14</v>
      </c>
      <c r="I343" t="n">
        <v>115925</v>
      </c>
      <c r="J343" t="n">
        <v>58856.14000000001</v>
      </c>
    </row>
    <row r="344">
      <c r="A344" t="inlineStr">
        <is>
          <t>fc40402876d738c36a1f40be32b6613c313135dc5f2359f2f93764859ac0008a</t>
        </is>
      </c>
      <c r="B344" t="inlineStr">
        <is>
          <t>Visma Enterprise (BOOM)</t>
        </is>
      </c>
      <c r="C344" t="n">
        <v>6</v>
      </c>
      <c r="D344" t="n">
        <v>6</v>
      </c>
      <c r="E344" t="n">
        <v>8</v>
      </c>
      <c r="F344" t="n">
        <v>20240701</v>
      </c>
      <c r="G344" t="n">
        <v>174748.32</v>
      </c>
      <c r="H344" t="n">
        <v>174748.32</v>
      </c>
      <c r="I344" t="n">
        <v>176359</v>
      </c>
      <c r="J344" t="n">
        <v>-1610.679999999993</v>
      </c>
    </row>
    <row r="345">
      <c r="A345" t="inlineStr">
        <is>
          <t>a7a520767b941a15f1933b235db79168aad10c1dcd654e0cb74bb29d43538978</t>
        </is>
      </c>
      <c r="B345" t="inlineStr">
        <is>
          <t>Visma Enterprise (BOOM)</t>
        </is>
      </c>
      <c r="C345" t="n">
        <v>6</v>
      </c>
      <c r="D345" t="n">
        <v>6</v>
      </c>
      <c r="E345" t="n">
        <v>8</v>
      </c>
      <c r="F345" t="n">
        <v>20240801</v>
      </c>
      <c r="G345" t="n">
        <v>180009.25</v>
      </c>
      <c r="H345" t="n">
        <v>180009.25</v>
      </c>
      <c r="I345" t="n">
        <v>177110</v>
      </c>
      <c r="J345" t="n">
        <v>2899.25</v>
      </c>
    </row>
    <row r="346">
      <c r="A346" t="inlineStr">
        <is>
          <t>823de3e19c7edb96df88ec42178aff12b7fe2afa897226acfec6f2025052718f</t>
        </is>
      </c>
      <c r="B346" t="inlineStr">
        <is>
          <t>Visma Enterprise (BOOM)</t>
        </is>
      </c>
      <c r="C346" t="n">
        <v>6</v>
      </c>
      <c r="D346" t="n">
        <v>6</v>
      </c>
      <c r="E346" t="n">
        <v>8</v>
      </c>
      <c r="F346" t="n">
        <v>20240901</v>
      </c>
      <c r="G346" t="n">
        <v>0</v>
      </c>
      <c r="H346" t="n">
        <v>0</v>
      </c>
      <c r="I346" t="n">
        <v>177108</v>
      </c>
      <c r="J346" t="n">
        <v>-177108</v>
      </c>
    </row>
    <row r="347">
      <c r="A347" t="inlineStr">
        <is>
          <t>85a5d6ca1b8f7fbb7aa4112232076fd1bf49d52973a711631fd49f4c177c9fd7</t>
        </is>
      </c>
      <c r="B347" t="inlineStr">
        <is>
          <t>Visma Enterprise (BOOM)</t>
        </is>
      </c>
      <c r="C347" t="n">
        <v>6</v>
      </c>
      <c r="D347" t="n">
        <v>6</v>
      </c>
      <c r="E347" t="n">
        <v>8</v>
      </c>
      <c r="F347" t="n">
        <v>20241001</v>
      </c>
      <c r="G347" t="n">
        <v>0</v>
      </c>
      <c r="H347" t="n">
        <v>0</v>
      </c>
      <c r="I347" t="n">
        <v>177107</v>
      </c>
      <c r="J347" t="n">
        <v>-177107</v>
      </c>
    </row>
    <row r="348">
      <c r="A348" t="inlineStr">
        <is>
          <t>36d81e5d993978309e282bf56876984d4a3deac006aba10dafed5e360d305063</t>
        </is>
      </c>
      <c r="B348" t="inlineStr">
        <is>
          <t>Visma Enterprise (BOOM)</t>
        </is>
      </c>
      <c r="C348" t="n">
        <v>6</v>
      </c>
      <c r="D348" t="n">
        <v>6</v>
      </c>
      <c r="E348" t="n">
        <v>8</v>
      </c>
      <c r="F348" t="n">
        <v>20241101</v>
      </c>
      <c r="G348" t="n">
        <v>0</v>
      </c>
      <c r="H348" t="n">
        <v>0</v>
      </c>
      <c r="I348" t="n">
        <v>177103</v>
      </c>
      <c r="J348" t="n">
        <v>-177103</v>
      </c>
    </row>
    <row r="349">
      <c r="A349" t="inlineStr">
        <is>
          <t>c7eb99ef7aec61385b6e71839b799ec02d5dcc1e5485959c0ecb86366a7e1b55</t>
        </is>
      </c>
      <c r="B349" t="inlineStr">
        <is>
          <t>Visma Enterprise (BOOM)</t>
        </is>
      </c>
      <c r="C349" t="n">
        <v>6</v>
      </c>
      <c r="D349" t="n">
        <v>6</v>
      </c>
      <c r="E349" t="n">
        <v>8</v>
      </c>
      <c r="F349" t="n">
        <v>20241201</v>
      </c>
      <c r="G349" t="n">
        <v>0</v>
      </c>
      <c r="H349" t="n">
        <v>0</v>
      </c>
      <c r="I349" t="n">
        <v>297706</v>
      </c>
      <c r="J349" t="n">
        <v>-297706</v>
      </c>
    </row>
    <row r="350">
      <c r="A350" t="inlineStr">
        <is>
          <t>a4c2271a97b219634d7e2c048f3c5f0a9873622aee156417b98565e11cbe1ea2</t>
        </is>
      </c>
      <c r="B350" t="inlineStr">
        <is>
          <t>Visma Enterprise (BOOM)</t>
        </is>
      </c>
      <c r="C350" t="n">
        <v>6</v>
      </c>
      <c r="D350" t="n">
        <v>7</v>
      </c>
      <c r="E350" t="n">
        <v>8</v>
      </c>
      <c r="F350" t="n">
        <v>20240101</v>
      </c>
      <c r="G350" t="n">
        <v>123019.51</v>
      </c>
      <c r="H350" t="n">
        <v>123019.51</v>
      </c>
      <c r="I350" t="n">
        <v>184285</v>
      </c>
      <c r="J350" t="n">
        <v>-61265.49000000001</v>
      </c>
    </row>
    <row r="351">
      <c r="A351" t="inlineStr">
        <is>
          <t>800c8fbcb4de86e892235d814e1549ac47dd8a5f9009223eab34600e816efa0c</t>
        </is>
      </c>
      <c r="B351" t="inlineStr">
        <is>
          <t>Visma Enterprise (BOOM)</t>
        </is>
      </c>
      <c r="C351" t="n">
        <v>6</v>
      </c>
      <c r="D351" t="n">
        <v>7</v>
      </c>
      <c r="E351" t="n">
        <v>8</v>
      </c>
      <c r="F351" t="n">
        <v>20240201</v>
      </c>
      <c r="G351" t="n">
        <v>263333.66</v>
      </c>
      <c r="H351" t="n">
        <v>263333.66</v>
      </c>
      <c r="I351" t="n">
        <v>184284</v>
      </c>
      <c r="J351" t="n">
        <v>79049.65999999997</v>
      </c>
    </row>
    <row r="352">
      <c r="A352" t="inlineStr">
        <is>
          <t>3f0d15aa5182668870e867cef0e60fd9c8eae04934d9694fe4cb6aac32f5bfa4</t>
        </is>
      </c>
      <c r="B352" t="inlineStr">
        <is>
          <t>Visma Enterprise (BOOM)</t>
        </is>
      </c>
      <c r="C352" t="n">
        <v>6</v>
      </c>
      <c r="D352" t="n">
        <v>7</v>
      </c>
      <c r="E352" t="n">
        <v>8</v>
      </c>
      <c r="F352" t="n">
        <v>20240301</v>
      </c>
      <c r="G352" t="n">
        <v>199701.82</v>
      </c>
      <c r="H352" t="n">
        <v>199701.82</v>
      </c>
      <c r="I352" t="n">
        <v>184283</v>
      </c>
      <c r="J352" t="n">
        <v>15418.82000000001</v>
      </c>
    </row>
    <row r="353">
      <c r="A353" t="inlineStr">
        <is>
          <t>df15aa003d81415b1a00f1e8d14bb0a2fc9a3745b2716ec867ff5eee3c2f43b7</t>
        </is>
      </c>
      <c r="B353" t="inlineStr">
        <is>
          <t>Visma Enterprise (BOOM)</t>
        </is>
      </c>
      <c r="C353" t="n">
        <v>6</v>
      </c>
      <c r="D353" t="n">
        <v>7</v>
      </c>
      <c r="E353" t="n">
        <v>8</v>
      </c>
      <c r="F353" t="n">
        <v>20240401</v>
      </c>
      <c r="G353" t="n">
        <v>286457.1</v>
      </c>
      <c r="H353" t="n">
        <v>286457.1</v>
      </c>
      <c r="I353" t="n">
        <v>308983</v>
      </c>
      <c r="J353" t="n">
        <v>-22525.90000000002</v>
      </c>
    </row>
    <row r="354">
      <c r="A354" t="inlineStr">
        <is>
          <t>ae6e21c91cb0e458c28d577ecfec10dfb3a74fffc524136a55f6889387d4b7d9</t>
        </is>
      </c>
      <c r="B354" t="inlineStr">
        <is>
          <t>Visma Enterprise (BOOM)</t>
        </is>
      </c>
      <c r="C354" t="n">
        <v>6</v>
      </c>
      <c r="D354" t="n">
        <v>7</v>
      </c>
      <c r="E354" t="n">
        <v>8</v>
      </c>
      <c r="F354" t="n">
        <v>20240501</v>
      </c>
      <c r="G354" t="n">
        <v>190833.22</v>
      </c>
      <c r="H354" t="n">
        <v>190833.22</v>
      </c>
      <c r="I354" t="n">
        <v>190108</v>
      </c>
      <c r="J354" t="n">
        <v>725.2200000000012</v>
      </c>
    </row>
    <row r="355">
      <c r="A355" t="inlineStr">
        <is>
          <t>46bf8af9cc3034731297e7c5aa43427225340fca7677b7a401f97af968a8f7b0</t>
        </is>
      </c>
      <c r="B355" t="inlineStr">
        <is>
          <t>Visma Enterprise (BOOM)</t>
        </is>
      </c>
      <c r="C355" t="n">
        <v>6</v>
      </c>
      <c r="D355" t="n">
        <v>7</v>
      </c>
      <c r="E355" t="n">
        <v>8</v>
      </c>
      <c r="F355" t="n">
        <v>20240601</v>
      </c>
      <c r="G355" t="n">
        <v>70719.10000000001</v>
      </c>
      <c r="H355" t="n">
        <v>70719.10000000001</v>
      </c>
      <c r="I355" t="n">
        <v>-5583</v>
      </c>
      <c r="J355" t="n">
        <v>76302.10000000001</v>
      </c>
    </row>
    <row r="356">
      <c r="A356" t="inlineStr">
        <is>
          <t>05bf6e6f7aa3822c1e02635da342677941eca406b652055d10ead66c39ca5d9b</t>
        </is>
      </c>
      <c r="B356" t="inlineStr">
        <is>
          <t>Visma Enterprise (BOOM)</t>
        </is>
      </c>
      <c r="C356" t="n">
        <v>6</v>
      </c>
      <c r="D356" t="n">
        <v>7</v>
      </c>
      <c r="E356" t="n">
        <v>8</v>
      </c>
      <c r="F356" t="n">
        <v>20240701</v>
      </c>
      <c r="G356" t="n">
        <v>210674.84</v>
      </c>
      <c r="H356" t="n">
        <v>210674.84</v>
      </c>
      <c r="I356" t="n">
        <v>189347</v>
      </c>
      <c r="J356" t="n">
        <v>21327.84</v>
      </c>
    </row>
    <row r="357">
      <c r="A357" t="inlineStr">
        <is>
          <t>c7cac58a988f1c3a2a84768357593df0a8c11703c04f29328fa713fc81add947</t>
        </is>
      </c>
      <c r="B357" t="inlineStr">
        <is>
          <t>Visma Enterprise (BOOM)</t>
        </is>
      </c>
      <c r="C357" t="n">
        <v>6</v>
      </c>
      <c r="D357" t="n">
        <v>7</v>
      </c>
      <c r="E357" t="n">
        <v>8</v>
      </c>
      <c r="F357" t="n">
        <v>20240801</v>
      </c>
      <c r="G357" t="n">
        <v>182691.88</v>
      </c>
      <c r="H357" t="n">
        <v>182691.88</v>
      </c>
      <c r="I357" t="n">
        <v>190110</v>
      </c>
      <c r="J357" t="n">
        <v>-7418.119999999995</v>
      </c>
    </row>
    <row r="358">
      <c r="A358" t="inlineStr">
        <is>
          <t>b2b09be1bff5cf69bf3a854e70b053d4f8c4860743566a1687e5c3fa5ad5359d</t>
        </is>
      </c>
      <c r="B358" t="inlineStr">
        <is>
          <t>Visma Enterprise (BOOM)</t>
        </is>
      </c>
      <c r="C358" t="n">
        <v>6</v>
      </c>
      <c r="D358" t="n">
        <v>7</v>
      </c>
      <c r="E358" t="n">
        <v>8</v>
      </c>
      <c r="F358" t="n">
        <v>20240901</v>
      </c>
      <c r="G358" t="n">
        <v>0</v>
      </c>
      <c r="H358" t="n">
        <v>0</v>
      </c>
      <c r="I358" t="n">
        <v>190113</v>
      </c>
      <c r="J358" t="n">
        <v>-190113</v>
      </c>
    </row>
    <row r="359">
      <c r="A359" t="inlineStr">
        <is>
          <t>d27a44bbef6cefaeebde3e78e7a3290511f1f8eaae4acf80040e30429602b68b</t>
        </is>
      </c>
      <c r="B359" t="inlineStr">
        <is>
          <t>Visma Enterprise (BOOM)</t>
        </is>
      </c>
      <c r="C359" t="n">
        <v>6</v>
      </c>
      <c r="D359" t="n">
        <v>7</v>
      </c>
      <c r="E359" t="n">
        <v>8</v>
      </c>
      <c r="F359" t="n">
        <v>20241001</v>
      </c>
      <c r="G359" t="n">
        <v>0</v>
      </c>
      <c r="H359" t="n">
        <v>0</v>
      </c>
      <c r="I359" t="n">
        <v>190115</v>
      </c>
      <c r="J359" t="n">
        <v>-190115</v>
      </c>
    </row>
    <row r="360">
      <c r="A360" t="inlineStr">
        <is>
          <t>0b9fe5969fa299feb2ee1f4728ffa9709c683becf8cba60f86630744580a5454</t>
        </is>
      </c>
      <c r="B360" t="inlineStr">
        <is>
          <t>Visma Enterprise (BOOM)</t>
        </is>
      </c>
      <c r="C360" t="n">
        <v>6</v>
      </c>
      <c r="D360" t="n">
        <v>7</v>
      </c>
      <c r="E360" t="n">
        <v>8</v>
      </c>
      <c r="F360" t="n">
        <v>20241101</v>
      </c>
      <c r="G360" t="n">
        <v>0</v>
      </c>
      <c r="H360" t="n">
        <v>0</v>
      </c>
      <c r="I360" t="n">
        <v>190111</v>
      </c>
      <c r="J360" t="n">
        <v>-190111</v>
      </c>
    </row>
    <row r="361">
      <c r="A361" t="inlineStr">
        <is>
          <t>536827212a6809a048d8e4df5c5199c120b2664b0c9a82394f8b306ce0c78727</t>
        </is>
      </c>
      <c r="B361" t="inlineStr">
        <is>
          <t>Visma Enterprise (BOOM)</t>
        </is>
      </c>
      <c r="C361" t="n">
        <v>6</v>
      </c>
      <c r="D361" t="n">
        <v>7</v>
      </c>
      <c r="E361" t="n">
        <v>8</v>
      </c>
      <c r="F361" t="n">
        <v>20241201</v>
      </c>
      <c r="G361" t="n">
        <v>0</v>
      </c>
      <c r="H361" t="n">
        <v>0</v>
      </c>
      <c r="I361" t="n">
        <v>207011</v>
      </c>
      <c r="J361" t="n">
        <v>-207011</v>
      </c>
    </row>
    <row r="362">
      <c r="A362" t="inlineStr">
        <is>
          <t>2a3796d3eef45f1773c56a1de955d0768f7f2affed6d94a06246b860247282d4</t>
        </is>
      </c>
      <c r="B362" t="inlineStr">
        <is>
          <t>Visma Enterprise (BOOM)</t>
        </is>
      </c>
      <c r="C362" t="n">
        <v>6</v>
      </c>
      <c r="D362" t="n">
        <v>8</v>
      </c>
      <c r="E362" t="n">
        <v>8</v>
      </c>
      <c r="F362" t="n">
        <v>20240101</v>
      </c>
      <c r="G362" t="n">
        <v>-5370</v>
      </c>
      <c r="H362" t="n">
        <v>5370</v>
      </c>
      <c r="I362" t="n">
        <v>-45399</v>
      </c>
      <c r="J362" t="n">
        <v>50769</v>
      </c>
    </row>
    <row r="363">
      <c r="A363" t="inlineStr">
        <is>
          <t>51c16e3fca2eaa0f81ff45663e85fbc8ecbcf84c8a02e7cd89c8460bf18ae5d8</t>
        </is>
      </c>
      <c r="B363" t="inlineStr">
        <is>
          <t>Visma Enterprise (BOOM)</t>
        </is>
      </c>
      <c r="C363" t="n">
        <v>6</v>
      </c>
      <c r="D363" t="n">
        <v>8</v>
      </c>
      <c r="E363" t="n">
        <v>8</v>
      </c>
      <c r="F363" t="n">
        <v>20240201</v>
      </c>
      <c r="G363" t="n">
        <v>-80559</v>
      </c>
      <c r="H363" t="n">
        <v>80559</v>
      </c>
      <c r="I363" t="n">
        <v>-45399</v>
      </c>
      <c r="J363" t="n">
        <v>125958</v>
      </c>
    </row>
    <row r="364">
      <c r="A364" t="inlineStr">
        <is>
          <t>97deb0b0f7dfa4cfe55f0d1df8d1967af1f8fbc7cffe4cd2a6c35dc0315b1994</t>
        </is>
      </c>
      <c r="B364" t="inlineStr">
        <is>
          <t>Visma Enterprise (BOOM)</t>
        </is>
      </c>
      <c r="C364" t="n">
        <v>6</v>
      </c>
      <c r="D364" t="n">
        <v>8</v>
      </c>
      <c r="E364" t="n">
        <v>8</v>
      </c>
      <c r="F364" t="n">
        <v>20240301</v>
      </c>
      <c r="G364" t="n">
        <v>-45142</v>
      </c>
      <c r="H364" t="n">
        <v>45142</v>
      </c>
      <c r="I364" t="n">
        <v>-45399</v>
      </c>
      <c r="J364" t="n">
        <v>90541</v>
      </c>
    </row>
    <row r="365">
      <c r="A365" t="inlineStr">
        <is>
          <t>d611a29e19a27e638ba58417b7a3222fd50abf4f1c770f1cc1448c6877609fbe</t>
        </is>
      </c>
      <c r="B365" t="inlineStr">
        <is>
          <t>Visma Enterprise (BOOM)</t>
        </is>
      </c>
      <c r="C365" t="n">
        <v>6</v>
      </c>
      <c r="D365" t="n">
        <v>8</v>
      </c>
      <c r="E365" t="n">
        <v>8</v>
      </c>
      <c r="F365" t="n">
        <v>20240401</v>
      </c>
      <c r="G365" t="n">
        <v>-73049</v>
      </c>
      <c r="H365" t="n">
        <v>73049</v>
      </c>
      <c r="I365" t="n">
        <v>-45399</v>
      </c>
      <c r="J365" t="n">
        <v>118448</v>
      </c>
    </row>
    <row r="366">
      <c r="A366" t="inlineStr">
        <is>
          <t>694a1916be9ee5b9f0a850625c56f130b829da223e13d68918396dbd2deb34c4</t>
        </is>
      </c>
      <c r="B366" t="inlineStr">
        <is>
          <t>Visma Enterprise (BOOM)</t>
        </is>
      </c>
      <c r="C366" t="n">
        <v>6</v>
      </c>
      <c r="D366" t="n">
        <v>8</v>
      </c>
      <c r="E366" t="n">
        <v>8</v>
      </c>
      <c r="F366" t="n">
        <v>20240501</v>
      </c>
      <c r="G366" t="n">
        <v>-1975</v>
      </c>
      <c r="H366" t="n">
        <v>1975</v>
      </c>
      <c r="I366" t="n">
        <v>-45399</v>
      </c>
      <c r="J366" t="n">
        <v>47374</v>
      </c>
    </row>
    <row r="367">
      <c r="A367" t="inlineStr">
        <is>
          <t>3a00214b677e3cf2c3e5c9dce8b2c1b188f9471d6fff46875cf98f285780ae7f</t>
        </is>
      </c>
      <c r="B367" t="inlineStr">
        <is>
          <t>Visma Enterprise (BOOM)</t>
        </is>
      </c>
      <c r="C367" t="n">
        <v>6</v>
      </c>
      <c r="D367" t="n">
        <v>8</v>
      </c>
      <c r="E367" t="n">
        <v>8</v>
      </c>
      <c r="F367" t="n">
        <v>20240601</v>
      </c>
      <c r="G367" t="n">
        <v>-62611</v>
      </c>
      <c r="H367" t="n">
        <v>62611</v>
      </c>
      <c r="I367" t="n">
        <v>-45399</v>
      </c>
      <c r="J367" t="n">
        <v>108010</v>
      </c>
    </row>
    <row r="368">
      <c r="A368" t="inlineStr">
        <is>
          <t>44850a3ab6ed910679fc5cd49b12b113ad032f56a21299d910f77e14a555bd08</t>
        </is>
      </c>
      <c r="B368" t="inlineStr">
        <is>
          <t>Visma Enterprise (BOOM)</t>
        </is>
      </c>
      <c r="C368" t="n">
        <v>6</v>
      </c>
      <c r="D368" t="n">
        <v>8</v>
      </c>
      <c r="E368" t="n">
        <v>8</v>
      </c>
      <c r="F368" t="n">
        <v>20240701</v>
      </c>
      <c r="G368" t="n">
        <v>-66066</v>
      </c>
      <c r="H368" t="n">
        <v>66066</v>
      </c>
      <c r="I368" t="n">
        <v>-45399</v>
      </c>
      <c r="J368" t="n">
        <v>111465</v>
      </c>
    </row>
    <row r="369">
      <c r="A369" t="inlineStr">
        <is>
          <t>237261a81d5c4d285ea3b7c12028d8ee8044cdc00d4122100920b09483d4f259</t>
        </is>
      </c>
      <c r="B369" t="inlineStr">
        <is>
          <t>Visma Enterprise (BOOM)</t>
        </is>
      </c>
      <c r="C369" t="n">
        <v>6</v>
      </c>
      <c r="D369" t="n">
        <v>8</v>
      </c>
      <c r="E369" t="n">
        <v>8</v>
      </c>
      <c r="F369" t="n">
        <v>20240801</v>
      </c>
      <c r="G369" t="n">
        <v>-36621</v>
      </c>
      <c r="H369" t="n">
        <v>36621</v>
      </c>
      <c r="I369" t="n">
        <v>-45399</v>
      </c>
      <c r="J369" t="n">
        <v>82020</v>
      </c>
    </row>
    <row r="370">
      <c r="A370" t="inlineStr">
        <is>
          <t>c8d1282b84b5fcc94df1c6b91a783e214ae58ad2f72655b379471c3cd55d22d5</t>
        </is>
      </c>
      <c r="B370" t="inlineStr">
        <is>
          <t>Visma Enterprise (BOOM)</t>
        </is>
      </c>
      <c r="C370" t="n">
        <v>6</v>
      </c>
      <c r="D370" t="n">
        <v>8</v>
      </c>
      <c r="E370" t="n">
        <v>8</v>
      </c>
      <c r="F370" t="n">
        <v>20240901</v>
      </c>
      <c r="G370" t="n">
        <v>0</v>
      </c>
      <c r="H370" t="n">
        <v>0</v>
      </c>
      <c r="I370" t="n">
        <v>-45399</v>
      </c>
      <c r="J370" t="n">
        <v>45399</v>
      </c>
    </row>
    <row r="371">
      <c r="A371" t="inlineStr">
        <is>
          <t>2afcf4112a48eb9c57259792c78c392e261b7af9a355a911a18a40e27d950326</t>
        </is>
      </c>
      <c r="B371" t="inlineStr">
        <is>
          <t>Visma Enterprise (BOOM)</t>
        </is>
      </c>
      <c r="C371" t="n">
        <v>6</v>
      </c>
      <c r="D371" t="n">
        <v>8</v>
      </c>
      <c r="E371" t="n">
        <v>8</v>
      </c>
      <c r="F371" t="n">
        <v>20241001</v>
      </c>
      <c r="G371" t="n">
        <v>0</v>
      </c>
      <c r="H371" t="n">
        <v>0</v>
      </c>
      <c r="I371" t="n">
        <v>-45399</v>
      </c>
      <c r="J371" t="n">
        <v>45399</v>
      </c>
    </row>
    <row r="372">
      <c r="A372" t="inlineStr">
        <is>
          <t>62befd163f7550373a9503706e6cfebced0c59ac2526c0aeb9e522d49afaa343</t>
        </is>
      </c>
      <c r="B372" t="inlineStr">
        <is>
          <t>Visma Enterprise (BOOM)</t>
        </is>
      </c>
      <c r="C372" t="n">
        <v>6</v>
      </c>
      <c r="D372" t="n">
        <v>8</v>
      </c>
      <c r="E372" t="n">
        <v>8</v>
      </c>
      <c r="F372" t="n">
        <v>20241101</v>
      </c>
      <c r="G372" t="n">
        <v>0</v>
      </c>
      <c r="H372" t="n">
        <v>0</v>
      </c>
      <c r="I372" t="n">
        <v>-45399</v>
      </c>
      <c r="J372" t="n">
        <v>45399</v>
      </c>
    </row>
    <row r="373">
      <c r="A373" t="inlineStr">
        <is>
          <t>2237cdd34c552e8cf16d5e81801c7caaada1a7d5b14ed988b13a195aae95b06c</t>
        </is>
      </c>
      <c r="B373" t="inlineStr">
        <is>
          <t>Visma Enterprise (BOOM)</t>
        </is>
      </c>
      <c r="C373" t="n">
        <v>6</v>
      </c>
      <c r="D373" t="n">
        <v>8</v>
      </c>
      <c r="E373" t="n">
        <v>8</v>
      </c>
      <c r="F373" t="n">
        <v>20241201</v>
      </c>
      <c r="G373" t="n">
        <v>0</v>
      </c>
      <c r="H373" t="n">
        <v>0</v>
      </c>
      <c r="I373" t="n">
        <v>-45611</v>
      </c>
      <c r="J373" t="n">
        <v>45611</v>
      </c>
    </row>
    <row r="374">
      <c r="A374" t="inlineStr">
        <is>
          <t>00e0e5cd0b3316064f66b27cd558ea6d133e4e19fa67f37345ed50c1bfb3d061</t>
        </is>
      </c>
      <c r="B374" t="inlineStr">
        <is>
          <t>Visma Enterprise (BOOM)</t>
        </is>
      </c>
      <c r="C374" t="n">
        <v>6</v>
      </c>
      <c r="D374" t="n">
        <v>8</v>
      </c>
      <c r="E374" t="n">
        <v>8</v>
      </c>
      <c r="F374" t="n">
        <v>20240101</v>
      </c>
      <c r="G374" t="n">
        <v>0</v>
      </c>
      <c r="H374" t="n">
        <v>0</v>
      </c>
      <c r="I374" t="n">
        <v>-44149</v>
      </c>
      <c r="J374" t="n">
        <v>44149</v>
      </c>
    </row>
    <row r="375">
      <c r="A375" t="inlineStr">
        <is>
          <t>07b7ff2a748229461e2c7886bdcd91dc1f3ceede8ebcf0414b3ed69fce87828e</t>
        </is>
      </c>
      <c r="B375" t="inlineStr">
        <is>
          <t>Visma Enterprise (BOOM)</t>
        </is>
      </c>
      <c r="C375" t="n">
        <v>6</v>
      </c>
      <c r="D375" t="n">
        <v>8</v>
      </c>
      <c r="E375" t="n">
        <v>8</v>
      </c>
      <c r="F375" t="n">
        <v>20240201</v>
      </c>
      <c r="G375" t="n">
        <v>-3928</v>
      </c>
      <c r="H375" t="n">
        <v>3928</v>
      </c>
      <c r="I375" t="n">
        <v>-44149</v>
      </c>
      <c r="J375" t="n">
        <v>48077</v>
      </c>
    </row>
    <row r="376">
      <c r="A376" t="inlineStr">
        <is>
          <t>02d36a819af3f587a42b3cec9da5bfac5fcaaf15acc4ef3645827015d4c33daf</t>
        </is>
      </c>
      <c r="B376" t="inlineStr">
        <is>
          <t>Visma Enterprise (BOOM)</t>
        </is>
      </c>
      <c r="C376" t="n">
        <v>6</v>
      </c>
      <c r="D376" t="n">
        <v>8</v>
      </c>
      <c r="E376" t="n">
        <v>8</v>
      </c>
      <c r="F376" t="n">
        <v>20240301</v>
      </c>
      <c r="G376" t="n">
        <v>-72352</v>
      </c>
      <c r="H376" t="n">
        <v>72352</v>
      </c>
      <c r="I376" t="n">
        <v>-44149</v>
      </c>
      <c r="J376" t="n">
        <v>116501</v>
      </c>
    </row>
    <row r="377">
      <c r="A377" t="inlineStr">
        <is>
          <t>2c8aa4fb6663867f9553ee663095b811a14c2dbeb636883d1a8fd1b1cf3d85f2</t>
        </is>
      </c>
      <c r="B377" t="inlineStr">
        <is>
          <t>Visma Enterprise (BOOM)</t>
        </is>
      </c>
      <c r="C377" t="n">
        <v>6</v>
      </c>
      <c r="D377" t="n">
        <v>8</v>
      </c>
      <c r="E377" t="n">
        <v>8</v>
      </c>
      <c r="F377" t="n">
        <v>20240401</v>
      </c>
      <c r="G377" t="n">
        <v>-34750</v>
      </c>
      <c r="H377" t="n">
        <v>34750</v>
      </c>
      <c r="I377" t="n">
        <v>-44149</v>
      </c>
      <c r="J377" t="n">
        <v>78899</v>
      </c>
    </row>
    <row r="378">
      <c r="A378" t="inlineStr">
        <is>
          <t>fde3c85181131aa2ff6762dad9bda682133ccb7eeb005c6a03539a753af39a9c</t>
        </is>
      </c>
      <c r="B378" t="inlineStr">
        <is>
          <t>Visma Enterprise (BOOM)</t>
        </is>
      </c>
      <c r="C378" t="n">
        <v>6</v>
      </c>
      <c r="D378" t="n">
        <v>8</v>
      </c>
      <c r="E378" t="n">
        <v>8</v>
      </c>
      <c r="F378" t="n">
        <v>20240501</v>
      </c>
      <c r="G378" t="n">
        <v>-91375</v>
      </c>
      <c r="H378" t="n">
        <v>91375</v>
      </c>
      <c r="I378" t="n">
        <v>-44149</v>
      </c>
      <c r="J378" t="n">
        <v>135524</v>
      </c>
    </row>
    <row r="379">
      <c r="A379" t="inlineStr">
        <is>
          <t>100c9a8937fc3d8fbe76cc9fad9fa26892067bc86aa1a3f008f0d71419ed9391</t>
        </is>
      </c>
      <c r="B379" t="inlineStr">
        <is>
          <t>Visma Enterprise (BOOM)</t>
        </is>
      </c>
      <c r="C379" t="n">
        <v>6</v>
      </c>
      <c r="D379" t="n">
        <v>8</v>
      </c>
      <c r="E379" t="n">
        <v>8</v>
      </c>
      <c r="F379" t="n">
        <v>20240601</v>
      </c>
      <c r="G379" t="n">
        <v>-49830</v>
      </c>
      <c r="H379" t="n">
        <v>49830</v>
      </c>
      <c r="I379" t="n">
        <v>-44150</v>
      </c>
      <c r="J379" t="n">
        <v>93980</v>
      </c>
    </row>
    <row r="380">
      <c r="A380" t="inlineStr">
        <is>
          <t>b72491d8d03326080ccc5632155abe6676f5193c7eb55dc25a1888aad2649ee9</t>
        </is>
      </c>
      <c r="B380" t="inlineStr">
        <is>
          <t>Visma Enterprise (BOOM)</t>
        </is>
      </c>
      <c r="C380" t="n">
        <v>6</v>
      </c>
      <c r="D380" t="n">
        <v>8</v>
      </c>
      <c r="E380" t="n">
        <v>8</v>
      </c>
      <c r="F380" t="n">
        <v>20240701</v>
      </c>
      <c r="G380" t="n">
        <v>-49529</v>
      </c>
      <c r="H380" t="n">
        <v>49529</v>
      </c>
      <c r="I380" t="n">
        <v>-44149</v>
      </c>
      <c r="J380" t="n">
        <v>93678</v>
      </c>
    </row>
    <row r="381">
      <c r="A381" t="inlineStr">
        <is>
          <t>2e0ef043069e01426d010f61f3f78c8ebc5c281926ec6ae3e43915671ad9c1c2</t>
        </is>
      </c>
      <c r="B381" t="inlineStr">
        <is>
          <t>Visma Enterprise (BOOM)</t>
        </is>
      </c>
      <c r="C381" t="n">
        <v>6</v>
      </c>
      <c r="D381" t="n">
        <v>8</v>
      </c>
      <c r="E381" t="n">
        <v>8</v>
      </c>
      <c r="F381" t="n">
        <v>20240801</v>
      </c>
      <c r="G381" t="n">
        <v>-59548</v>
      </c>
      <c r="H381" t="n">
        <v>59548</v>
      </c>
      <c r="I381" t="n">
        <v>-44149</v>
      </c>
      <c r="J381" t="n">
        <v>103697</v>
      </c>
    </row>
    <row r="382">
      <c r="A382" t="inlineStr">
        <is>
          <t>1812538c1d0cbd56c2a23b38e15277e97777daf61d6ec0da6de40dab8cbc9535</t>
        </is>
      </c>
      <c r="B382" t="inlineStr">
        <is>
          <t>Visma Enterprise (BOOM)</t>
        </is>
      </c>
      <c r="C382" t="n">
        <v>6</v>
      </c>
      <c r="D382" t="n">
        <v>8</v>
      </c>
      <c r="E382" t="n">
        <v>8</v>
      </c>
      <c r="F382" t="n">
        <v>20240901</v>
      </c>
      <c r="G382" t="n">
        <v>0</v>
      </c>
      <c r="H382" t="n">
        <v>0</v>
      </c>
      <c r="I382" t="n">
        <v>-44149</v>
      </c>
      <c r="J382" t="n">
        <v>44149</v>
      </c>
    </row>
    <row r="383">
      <c r="A383" t="inlineStr">
        <is>
          <t>e45bd9d5a5364880b3aea95a68f297269ad18a88d8de302945bd0214679e3f54</t>
        </is>
      </c>
      <c r="B383" t="inlineStr">
        <is>
          <t>Visma Enterprise (BOOM)</t>
        </is>
      </c>
      <c r="C383" t="n">
        <v>6</v>
      </c>
      <c r="D383" t="n">
        <v>8</v>
      </c>
      <c r="E383" t="n">
        <v>8</v>
      </c>
      <c r="F383" t="n">
        <v>20241001</v>
      </c>
      <c r="G383" t="n">
        <v>0</v>
      </c>
      <c r="H383" t="n">
        <v>0</v>
      </c>
      <c r="I383" t="n">
        <v>-44149</v>
      </c>
      <c r="J383" t="n">
        <v>44149</v>
      </c>
    </row>
    <row r="384">
      <c r="A384" t="inlineStr">
        <is>
          <t>47e60f6a37fdae911a8e01a524118c31118484855146e1c759c894249247eac8</t>
        </is>
      </c>
      <c r="B384" t="inlineStr">
        <is>
          <t>Visma Enterprise (BOOM)</t>
        </is>
      </c>
      <c r="C384" t="n">
        <v>6</v>
      </c>
      <c r="D384" t="n">
        <v>8</v>
      </c>
      <c r="E384" t="n">
        <v>8</v>
      </c>
      <c r="F384" t="n">
        <v>20241101</v>
      </c>
      <c r="G384" t="n">
        <v>0</v>
      </c>
      <c r="H384" t="n">
        <v>0</v>
      </c>
      <c r="I384" t="n">
        <v>-44149</v>
      </c>
      <c r="J384" t="n">
        <v>44149</v>
      </c>
    </row>
    <row r="385">
      <c r="A385" t="inlineStr">
        <is>
          <t>67b1992042a5ea28a54985437de2e5bc3093129fc6eb98c68e8a2c6f717a9937</t>
        </is>
      </c>
      <c r="B385" t="inlineStr">
        <is>
          <t>Visma Enterprise (BOOM)</t>
        </is>
      </c>
      <c r="C385" t="n">
        <v>6</v>
      </c>
      <c r="D385" t="n">
        <v>8</v>
      </c>
      <c r="E385" t="n">
        <v>8</v>
      </c>
      <c r="F385" t="n">
        <v>20241201</v>
      </c>
      <c r="G385" t="n">
        <v>0</v>
      </c>
      <c r="H385" t="n">
        <v>0</v>
      </c>
      <c r="I385" t="n">
        <v>-44360</v>
      </c>
      <c r="J385" t="n">
        <v>44360</v>
      </c>
    </row>
    <row r="386">
      <c r="A386" t="inlineStr">
        <is>
          <t>ece2a65f3b86d22f15d75107577a0127289d86b782c94703647fae5b2d2b703a</t>
        </is>
      </c>
      <c r="B386" t="inlineStr">
        <is>
          <t>Visma Enterprise (BOOM)</t>
        </is>
      </c>
      <c r="C386" t="n">
        <v>6</v>
      </c>
      <c r="D386" t="n">
        <v>9</v>
      </c>
      <c r="E386" t="n">
        <v>8</v>
      </c>
      <c r="F386" t="n">
        <v>20240101</v>
      </c>
      <c r="G386" t="n">
        <v>412.8</v>
      </c>
      <c r="H386" t="n">
        <v>-412.8</v>
      </c>
      <c r="I386" t="n">
        <v>1000</v>
      </c>
      <c r="J386" t="n">
        <v>-1412.8</v>
      </c>
    </row>
    <row r="387">
      <c r="A387" t="inlineStr">
        <is>
          <t>875fca540fd0ded0bafdc0f8c5660df95238e8464e8def15dee7956bb762f8d9</t>
        </is>
      </c>
      <c r="B387" t="inlineStr">
        <is>
          <t>Visma Enterprise (BOOM)</t>
        </is>
      </c>
      <c r="C387" t="n">
        <v>6</v>
      </c>
      <c r="D387" t="n">
        <v>9</v>
      </c>
      <c r="E387" t="n">
        <v>8</v>
      </c>
      <c r="F387" t="n">
        <v>20240201</v>
      </c>
      <c r="G387" t="n">
        <v>609.3099999999999</v>
      </c>
      <c r="H387" t="n">
        <v>-609.3099999999999</v>
      </c>
      <c r="I387" t="n">
        <v>1000</v>
      </c>
      <c r="J387" t="n">
        <v>-1609.31</v>
      </c>
    </row>
    <row r="388">
      <c r="A388" t="inlineStr">
        <is>
          <t>de516f620df287d3ecd01980dfbe3cb97be8473243cb33e913ecbc018ff5bf3a</t>
        </is>
      </c>
      <c r="B388" t="inlineStr">
        <is>
          <t>Visma Enterprise (BOOM)</t>
        </is>
      </c>
      <c r="C388" t="n">
        <v>6</v>
      </c>
      <c r="D388" t="n">
        <v>9</v>
      </c>
      <c r="E388" t="n">
        <v>8</v>
      </c>
      <c r="F388" t="n">
        <v>20240301</v>
      </c>
      <c r="G388" t="n">
        <v>1262.18</v>
      </c>
      <c r="H388" t="n">
        <v>-1262.18</v>
      </c>
      <c r="I388" t="n">
        <v>1000</v>
      </c>
      <c r="J388" t="n">
        <v>-2262.18</v>
      </c>
    </row>
    <row r="389">
      <c r="A389" t="inlineStr">
        <is>
          <t>4e96caf837a94404f10a782cabbef87bb02d1c33d8f97b86904c2af378776239</t>
        </is>
      </c>
      <c r="B389" t="inlineStr">
        <is>
          <t>Visma Enterprise (BOOM)</t>
        </is>
      </c>
      <c r="C389" t="n">
        <v>6</v>
      </c>
      <c r="D389" t="n">
        <v>9</v>
      </c>
      <c r="E389" t="n">
        <v>8</v>
      </c>
      <c r="F389" t="n">
        <v>20240401</v>
      </c>
      <c r="G389" t="n">
        <v>564.9</v>
      </c>
      <c r="H389" t="n">
        <v>-564.9</v>
      </c>
      <c r="I389" t="n">
        <v>1000</v>
      </c>
      <c r="J389" t="n">
        <v>-1564.9</v>
      </c>
    </row>
    <row r="390">
      <c r="A390" t="inlineStr">
        <is>
          <t>7750d4d5e7c5c8dc6856aa72086ee7b692b09fc7918a0ae9f298e145a0a50ac8</t>
        </is>
      </c>
      <c r="B390" t="inlineStr">
        <is>
          <t>Visma Enterprise (BOOM)</t>
        </is>
      </c>
      <c r="C390" t="n">
        <v>6</v>
      </c>
      <c r="D390" t="n">
        <v>9</v>
      </c>
      <c r="E390" t="n">
        <v>8</v>
      </c>
      <c r="F390" t="n">
        <v>20240501</v>
      </c>
      <c r="G390" t="n">
        <v>0</v>
      </c>
      <c r="H390" t="n">
        <v>0</v>
      </c>
      <c r="I390" t="n">
        <v>1000</v>
      </c>
      <c r="J390" t="n">
        <v>-1000</v>
      </c>
    </row>
    <row r="391">
      <c r="A391" t="inlineStr">
        <is>
          <t>3e40f3512dc820c13ab5710b54e0e7711631afdf9e41f8083ab8866c6bc9bc6c</t>
        </is>
      </c>
      <c r="B391" t="inlineStr">
        <is>
          <t>Visma Enterprise (BOOM)</t>
        </is>
      </c>
      <c r="C391" t="n">
        <v>6</v>
      </c>
      <c r="D391" t="n">
        <v>9</v>
      </c>
      <c r="E391" t="n">
        <v>8</v>
      </c>
      <c r="F391" t="n">
        <v>20240601</v>
      </c>
      <c r="G391" t="n">
        <v>813.95</v>
      </c>
      <c r="H391" t="n">
        <v>-813.95</v>
      </c>
      <c r="I391" t="n">
        <v>1000</v>
      </c>
      <c r="J391" t="n">
        <v>-1813.95</v>
      </c>
    </row>
    <row r="392">
      <c r="A392" t="inlineStr">
        <is>
          <t>662fbadd93e258a9d7baa03b1a680bd9e59b24cd3e245955cdab365a10924fe4</t>
        </is>
      </c>
      <c r="B392" t="inlineStr">
        <is>
          <t>Visma Enterprise (BOOM)</t>
        </is>
      </c>
      <c r="C392" t="n">
        <v>6</v>
      </c>
      <c r="D392" t="n">
        <v>9</v>
      </c>
      <c r="E392" t="n">
        <v>8</v>
      </c>
      <c r="F392" t="n">
        <v>20240701</v>
      </c>
      <c r="G392" t="n">
        <v>0</v>
      </c>
      <c r="H392" t="n">
        <v>0</v>
      </c>
      <c r="I392" t="n">
        <v>1000</v>
      </c>
      <c r="J392" t="n">
        <v>-1000</v>
      </c>
    </row>
    <row r="393">
      <c r="A393" t="inlineStr">
        <is>
          <t>954936f8dcb18cda03fe6f72391ba3172930c0b7f1ebf013f630d3c57f3e85f8</t>
        </is>
      </c>
      <c r="B393" t="inlineStr">
        <is>
          <t>Visma Enterprise (BOOM)</t>
        </is>
      </c>
      <c r="C393" t="n">
        <v>6</v>
      </c>
      <c r="D393" t="n">
        <v>9</v>
      </c>
      <c r="E393" t="n">
        <v>8</v>
      </c>
      <c r="F393" t="n">
        <v>20240801</v>
      </c>
      <c r="G393" t="n">
        <v>295.07</v>
      </c>
      <c r="H393" t="n">
        <v>-295.07</v>
      </c>
      <c r="I393" t="n">
        <v>1000</v>
      </c>
      <c r="J393" t="n">
        <v>-1295.07</v>
      </c>
    </row>
    <row r="394">
      <c r="A394" t="inlineStr">
        <is>
          <t>815f51faf336631213a03cfb8b96656042aed03fc096c65fb1047418833f2760</t>
        </is>
      </c>
      <c r="B394" t="inlineStr">
        <is>
          <t>Visma Enterprise (BOOM)</t>
        </is>
      </c>
      <c r="C394" t="n">
        <v>6</v>
      </c>
      <c r="D394" t="n">
        <v>9</v>
      </c>
      <c r="E394" t="n">
        <v>8</v>
      </c>
      <c r="F394" t="n">
        <v>20240901</v>
      </c>
      <c r="G394" t="n">
        <v>0</v>
      </c>
      <c r="H394" t="n">
        <v>0</v>
      </c>
      <c r="I394" t="n">
        <v>1000</v>
      </c>
      <c r="J394" t="n">
        <v>-1000</v>
      </c>
    </row>
    <row r="395">
      <c r="A395" t="inlineStr">
        <is>
          <t>444627a896fd127a618890b9ff925189feade9befce527091275b1ae3619bfef</t>
        </is>
      </c>
      <c r="B395" t="inlineStr">
        <is>
          <t>Visma Enterprise (BOOM)</t>
        </is>
      </c>
      <c r="C395" t="n">
        <v>6</v>
      </c>
      <c r="D395" t="n">
        <v>9</v>
      </c>
      <c r="E395" t="n">
        <v>8</v>
      </c>
      <c r="F395" t="n">
        <v>20241001</v>
      </c>
      <c r="G395" t="n">
        <v>0</v>
      </c>
      <c r="H395" t="n">
        <v>0</v>
      </c>
      <c r="I395" t="n">
        <v>1000</v>
      </c>
      <c r="J395" t="n">
        <v>-1000</v>
      </c>
    </row>
    <row r="396">
      <c r="A396" t="inlineStr">
        <is>
          <t>f0d6c8e9173e58c5797e2f3e6fdd621d944c22ddf6e33b2ff54dd719e4e0d3a2</t>
        </is>
      </c>
      <c r="B396" t="inlineStr">
        <is>
          <t>Visma Enterprise (BOOM)</t>
        </is>
      </c>
      <c r="C396" t="n">
        <v>6</v>
      </c>
      <c r="D396" t="n">
        <v>9</v>
      </c>
      <c r="E396" t="n">
        <v>8</v>
      </c>
      <c r="F396" t="n">
        <v>20241101</v>
      </c>
      <c r="G396" t="n">
        <v>0</v>
      </c>
      <c r="H396" t="n">
        <v>0</v>
      </c>
      <c r="I396" t="n">
        <v>1000</v>
      </c>
      <c r="J396" t="n">
        <v>-1000</v>
      </c>
    </row>
    <row r="397">
      <c r="A397" t="inlineStr">
        <is>
          <t>def4faba7a06f33133d532915b8c1110276918a791bfb79a0c148459bb2a7367</t>
        </is>
      </c>
      <c r="B397" t="inlineStr">
        <is>
          <t>Visma Enterprise (BOOM)</t>
        </is>
      </c>
      <c r="C397" t="n">
        <v>6</v>
      </c>
      <c r="D397" t="n">
        <v>9</v>
      </c>
      <c r="E397" t="n">
        <v>8</v>
      </c>
      <c r="F397" t="n">
        <v>20241201</v>
      </c>
      <c r="G397" t="n">
        <v>0</v>
      </c>
      <c r="H397" t="n">
        <v>0</v>
      </c>
      <c r="I397" t="n">
        <v>1000</v>
      </c>
      <c r="J397" t="n">
        <v>-1000</v>
      </c>
    </row>
    <row r="398">
      <c r="A398" t="inlineStr">
        <is>
          <t>17350ae0bbc9834796dccb4f7eea6db18789ef603fb30e156c318a3ccd9d3eaf</t>
        </is>
      </c>
      <c r="B398" t="inlineStr">
        <is>
          <t>Visma Enterprise (BOOM)</t>
        </is>
      </c>
      <c r="C398" t="n">
        <v>6</v>
      </c>
      <c r="D398" t="n">
        <v>9</v>
      </c>
      <c r="E398" t="n">
        <v>8</v>
      </c>
      <c r="F398" t="n">
        <v>20240101</v>
      </c>
      <c r="G398" t="n">
        <v>0</v>
      </c>
      <c r="H398" t="n">
        <v>0</v>
      </c>
      <c r="I398" t="n">
        <v>270</v>
      </c>
      <c r="J398" t="n">
        <v>-270</v>
      </c>
    </row>
    <row r="399">
      <c r="A399" t="inlineStr">
        <is>
          <t>bf0a7e183cf30f08cff85aa99cbc1f585d27caaa7497c141385ebe60ea6e6ac0</t>
        </is>
      </c>
      <c r="B399" t="inlineStr">
        <is>
          <t>Visma Enterprise (BOOM)</t>
        </is>
      </c>
      <c r="C399" t="n">
        <v>6</v>
      </c>
      <c r="D399" t="n">
        <v>9</v>
      </c>
      <c r="E399" t="n">
        <v>8</v>
      </c>
      <c r="F399" t="n">
        <v>20240201</v>
      </c>
      <c r="G399" t="n">
        <v>0</v>
      </c>
      <c r="H399" t="n">
        <v>0</v>
      </c>
      <c r="I399" t="n">
        <v>270</v>
      </c>
      <c r="J399" t="n">
        <v>-270</v>
      </c>
    </row>
    <row r="400">
      <c r="A400" t="inlineStr">
        <is>
          <t>44ede8b2e589f99ebfc49495ec771242366e3dbd193cecfd6112234738047614</t>
        </is>
      </c>
      <c r="B400" t="inlineStr">
        <is>
          <t>Visma Enterprise (BOOM)</t>
        </is>
      </c>
      <c r="C400" t="n">
        <v>6</v>
      </c>
      <c r="D400" t="n">
        <v>9</v>
      </c>
      <c r="E400" t="n">
        <v>8</v>
      </c>
      <c r="F400" t="n">
        <v>20240301</v>
      </c>
      <c r="G400" t="n">
        <v>0</v>
      </c>
      <c r="H400" t="n">
        <v>0</v>
      </c>
      <c r="I400" t="n">
        <v>270</v>
      </c>
      <c r="J400" t="n">
        <v>-270</v>
      </c>
    </row>
    <row r="401">
      <c r="A401" t="inlineStr">
        <is>
          <t>8e2b9e507a6e6fc2f5498b3d657d61181f25112f21f390808a7dc6cb0255d3ec</t>
        </is>
      </c>
      <c r="B401" t="inlineStr">
        <is>
          <t>Visma Enterprise (BOOM)</t>
        </is>
      </c>
      <c r="C401" t="n">
        <v>6</v>
      </c>
      <c r="D401" t="n">
        <v>9</v>
      </c>
      <c r="E401" t="n">
        <v>8</v>
      </c>
      <c r="F401" t="n">
        <v>20240401</v>
      </c>
      <c r="G401" t="n">
        <v>0</v>
      </c>
      <c r="H401" t="n">
        <v>0</v>
      </c>
      <c r="I401" t="n">
        <v>270</v>
      </c>
      <c r="J401" t="n">
        <v>-270</v>
      </c>
    </row>
    <row r="402">
      <c r="A402" t="inlineStr">
        <is>
          <t>efe93ddd3810f73cd4b8354be98b828983b04763eafb9ce693dcf4628e43df32</t>
        </is>
      </c>
      <c r="B402" t="inlineStr">
        <is>
          <t>Visma Enterprise (BOOM)</t>
        </is>
      </c>
      <c r="C402" t="n">
        <v>6</v>
      </c>
      <c r="D402" t="n">
        <v>9</v>
      </c>
      <c r="E402" t="n">
        <v>8</v>
      </c>
      <c r="F402" t="n">
        <v>20240501</v>
      </c>
      <c r="G402" t="n">
        <v>0</v>
      </c>
      <c r="H402" t="n">
        <v>0</v>
      </c>
      <c r="I402" t="n">
        <v>270</v>
      </c>
      <c r="J402" t="n">
        <v>-270</v>
      </c>
    </row>
    <row r="403">
      <c r="A403" t="inlineStr">
        <is>
          <t>3753cf423afa9b054a2c66f9d9586668fa7113019696d1657423568bd88d7f47</t>
        </is>
      </c>
      <c r="B403" t="inlineStr">
        <is>
          <t>Visma Enterprise (BOOM)</t>
        </is>
      </c>
      <c r="C403" t="n">
        <v>6</v>
      </c>
      <c r="D403" t="n">
        <v>9</v>
      </c>
      <c r="E403" t="n">
        <v>8</v>
      </c>
      <c r="F403" t="n">
        <v>20240601</v>
      </c>
      <c r="G403" t="n">
        <v>0</v>
      </c>
      <c r="H403" t="n">
        <v>0</v>
      </c>
      <c r="I403" t="n">
        <v>270</v>
      </c>
      <c r="J403" t="n">
        <v>-270</v>
      </c>
    </row>
    <row r="404">
      <c r="A404" t="inlineStr">
        <is>
          <t>1fd3e7611c53af9a6dcdade61ce13f51390efc95c925a63aa6758f7fa66e64ab</t>
        </is>
      </c>
      <c r="B404" t="inlineStr">
        <is>
          <t>Visma Enterprise (BOOM)</t>
        </is>
      </c>
      <c r="C404" t="n">
        <v>6</v>
      </c>
      <c r="D404" t="n">
        <v>9</v>
      </c>
      <c r="E404" t="n">
        <v>8</v>
      </c>
      <c r="F404" t="n">
        <v>20240701</v>
      </c>
      <c r="G404" t="n">
        <v>0</v>
      </c>
      <c r="H404" t="n">
        <v>0</v>
      </c>
      <c r="I404" t="n">
        <v>270</v>
      </c>
      <c r="J404" t="n">
        <v>-270</v>
      </c>
    </row>
    <row r="405">
      <c r="A405" t="inlineStr">
        <is>
          <t>e0591e590f676aef6e96dcd65b5a550ad25648f1370e81e12ee5aa0a5375a103</t>
        </is>
      </c>
      <c r="B405" t="inlineStr">
        <is>
          <t>Visma Enterprise (BOOM)</t>
        </is>
      </c>
      <c r="C405" t="n">
        <v>6</v>
      </c>
      <c r="D405" t="n">
        <v>9</v>
      </c>
      <c r="E405" t="n">
        <v>8</v>
      </c>
      <c r="F405" t="n">
        <v>20240801</v>
      </c>
      <c r="G405" t="n">
        <v>0</v>
      </c>
      <c r="H405" t="n">
        <v>0</v>
      </c>
      <c r="I405" t="n">
        <v>270</v>
      </c>
      <c r="J405" t="n">
        <v>-270</v>
      </c>
    </row>
    <row r="406">
      <c r="A406" t="inlineStr">
        <is>
          <t>b849f4942252ca2b5ca3735f01a60dbe979e75d9876a8bea5a01a524053479f0</t>
        </is>
      </c>
      <c r="B406" t="inlineStr">
        <is>
          <t>Visma Enterprise (BOOM)</t>
        </is>
      </c>
      <c r="C406" t="n">
        <v>6</v>
      </c>
      <c r="D406" t="n">
        <v>9</v>
      </c>
      <c r="E406" t="n">
        <v>8</v>
      </c>
      <c r="F406" t="n">
        <v>20240901</v>
      </c>
      <c r="G406" t="n">
        <v>0</v>
      </c>
      <c r="H406" t="n">
        <v>0</v>
      </c>
      <c r="I406" t="n">
        <v>270</v>
      </c>
      <c r="J406" t="n">
        <v>-270</v>
      </c>
    </row>
    <row r="407">
      <c r="A407" t="inlineStr">
        <is>
          <t>4fcbc30f2c280542e25fd2f3ab0fbf1ed40a1f48ad9e4b4bb4c0b8c4e6c2575b</t>
        </is>
      </c>
      <c r="B407" t="inlineStr">
        <is>
          <t>Visma Enterprise (BOOM)</t>
        </is>
      </c>
      <c r="C407" t="n">
        <v>6</v>
      </c>
      <c r="D407" t="n">
        <v>9</v>
      </c>
      <c r="E407" t="n">
        <v>8</v>
      </c>
      <c r="F407" t="n">
        <v>20241001</v>
      </c>
      <c r="G407" t="n">
        <v>0</v>
      </c>
      <c r="H407" t="n">
        <v>0</v>
      </c>
      <c r="I407" t="n">
        <v>270</v>
      </c>
      <c r="J407" t="n">
        <v>-270</v>
      </c>
    </row>
    <row r="408">
      <c r="A408" t="inlineStr">
        <is>
          <t>a30ef8f83778bcac301b1ecd9421b6fa7d0e36dea85f564157a2562f7b93d4d0</t>
        </is>
      </c>
      <c r="B408" t="inlineStr">
        <is>
          <t>Visma Enterprise (BOOM)</t>
        </is>
      </c>
      <c r="C408" t="n">
        <v>6</v>
      </c>
      <c r="D408" t="n">
        <v>9</v>
      </c>
      <c r="E408" t="n">
        <v>8</v>
      </c>
      <c r="F408" t="n">
        <v>20241101</v>
      </c>
      <c r="G408" t="n">
        <v>0</v>
      </c>
      <c r="H408" t="n">
        <v>0</v>
      </c>
      <c r="I408" t="n">
        <v>270</v>
      </c>
      <c r="J408" t="n">
        <v>-270</v>
      </c>
    </row>
    <row r="409">
      <c r="A409" t="inlineStr">
        <is>
          <t>8e23314e8193a730df61c5483d476f943acfc8c8465216cadf80bd0dd0e6632e</t>
        </is>
      </c>
      <c r="B409" t="inlineStr">
        <is>
          <t>Visma Enterprise (BOOM)</t>
        </is>
      </c>
      <c r="C409" t="n">
        <v>6</v>
      </c>
      <c r="D409" t="n">
        <v>9</v>
      </c>
      <c r="E409" t="n">
        <v>8</v>
      </c>
      <c r="F409" t="n">
        <v>20241201</v>
      </c>
      <c r="G409" t="n">
        <v>0</v>
      </c>
      <c r="H409" t="n">
        <v>0</v>
      </c>
      <c r="I409" t="n">
        <v>30</v>
      </c>
      <c r="J409" t="n">
        <v>-30</v>
      </c>
    </row>
    <row r="410">
      <c r="A410" t="inlineStr">
        <is>
          <t>d0aef571ea884a85d0b6b19478a6fe5cebca174bac0a0c95b943b63748acc794</t>
        </is>
      </c>
      <c r="B410" t="inlineStr">
        <is>
          <t>Visma Enterprise (BOOM)</t>
        </is>
      </c>
      <c r="C410" t="n">
        <v>6</v>
      </c>
      <c r="D410" t="n">
        <v>10</v>
      </c>
      <c r="E410" t="n">
        <v>8</v>
      </c>
      <c r="F410" t="n">
        <v>20240101</v>
      </c>
      <c r="G410" t="n">
        <v>2238.74</v>
      </c>
      <c r="H410" t="n">
        <v>-2238.74</v>
      </c>
      <c r="I410" t="n">
        <v>2210</v>
      </c>
      <c r="J410" t="n">
        <v>-4448.74</v>
      </c>
    </row>
    <row r="411">
      <c r="A411" t="inlineStr">
        <is>
          <t>acf66d67252982803fe6529900f5b87b2f37083a75e663989baf128e9b05ffe7</t>
        </is>
      </c>
      <c r="B411" t="inlineStr">
        <is>
          <t>Visma Enterprise (BOOM)</t>
        </is>
      </c>
      <c r="C411" t="n">
        <v>6</v>
      </c>
      <c r="D411" t="n">
        <v>10</v>
      </c>
      <c r="E411" t="n">
        <v>8</v>
      </c>
      <c r="F411" t="n">
        <v>20240201</v>
      </c>
      <c r="G411" t="n">
        <v>3843.9</v>
      </c>
      <c r="H411" t="n">
        <v>-3843.9</v>
      </c>
      <c r="I411" t="n">
        <v>2210</v>
      </c>
      <c r="J411" t="n">
        <v>-6053.9</v>
      </c>
    </row>
    <row r="412">
      <c r="A412" t="inlineStr">
        <is>
          <t>b25d41a3d21bc3b187bde32ba3e5e95bf55e609069c9ce7f9a6710cb56f6cf68</t>
        </is>
      </c>
      <c r="B412" t="inlineStr">
        <is>
          <t>Visma Enterprise (BOOM)</t>
        </is>
      </c>
      <c r="C412" t="n">
        <v>6</v>
      </c>
      <c r="D412" t="n">
        <v>10</v>
      </c>
      <c r="E412" t="n">
        <v>8</v>
      </c>
      <c r="F412" t="n">
        <v>20240301</v>
      </c>
      <c r="G412" t="n">
        <v>0</v>
      </c>
      <c r="H412" t="n">
        <v>0</v>
      </c>
      <c r="I412" t="n">
        <v>2210</v>
      </c>
      <c r="J412" t="n">
        <v>-2210</v>
      </c>
    </row>
    <row r="413">
      <c r="A413" t="inlineStr">
        <is>
          <t>c116ffc428aeb381a488313e38e1afc703fc870978b74a3aeccd9ef548e00618</t>
        </is>
      </c>
      <c r="B413" t="inlineStr">
        <is>
          <t>Visma Enterprise (BOOM)</t>
        </is>
      </c>
      <c r="C413" t="n">
        <v>6</v>
      </c>
      <c r="D413" t="n">
        <v>10</v>
      </c>
      <c r="E413" t="n">
        <v>8</v>
      </c>
      <c r="F413" t="n">
        <v>20240401</v>
      </c>
      <c r="G413" t="n">
        <v>2060.1</v>
      </c>
      <c r="H413" t="n">
        <v>-2060.1</v>
      </c>
      <c r="I413" t="n">
        <v>2210</v>
      </c>
      <c r="J413" t="n">
        <v>-4270.1</v>
      </c>
    </row>
    <row r="414">
      <c r="A414" t="inlineStr">
        <is>
          <t>cb7897d17b35131f1093f3798f5d35f9ad189f9889495a013c7408ff62b70c69</t>
        </is>
      </c>
      <c r="B414" t="inlineStr">
        <is>
          <t>Visma Enterprise (BOOM)</t>
        </is>
      </c>
      <c r="C414" t="n">
        <v>6</v>
      </c>
      <c r="D414" t="n">
        <v>10</v>
      </c>
      <c r="E414" t="n">
        <v>8</v>
      </c>
      <c r="F414" t="n">
        <v>20240501</v>
      </c>
      <c r="G414" t="n">
        <v>553.2</v>
      </c>
      <c r="H414" t="n">
        <v>-553.2</v>
      </c>
      <c r="I414" t="n">
        <v>2210</v>
      </c>
      <c r="J414" t="n">
        <v>-2763.2</v>
      </c>
    </row>
    <row r="415">
      <c r="A415" t="inlineStr">
        <is>
          <t>9821af73c8016847d33755559951cfc0ff04bca20ff96307c02e7d086a6601bf</t>
        </is>
      </c>
      <c r="B415" t="inlineStr">
        <is>
          <t>Visma Enterprise (BOOM)</t>
        </is>
      </c>
      <c r="C415" t="n">
        <v>6</v>
      </c>
      <c r="D415" t="n">
        <v>10</v>
      </c>
      <c r="E415" t="n">
        <v>8</v>
      </c>
      <c r="F415" t="n">
        <v>20240601</v>
      </c>
      <c r="G415" t="n">
        <v>2296.35</v>
      </c>
      <c r="H415" t="n">
        <v>-2296.35</v>
      </c>
      <c r="I415" t="n">
        <v>2210</v>
      </c>
      <c r="J415" t="n">
        <v>-4506.35</v>
      </c>
    </row>
    <row r="416">
      <c r="A416" t="inlineStr">
        <is>
          <t>9e9cc6dbe442d9301f64e7c78adb86c7129780526372464e75556e1c81a59bc2</t>
        </is>
      </c>
      <c r="B416" t="inlineStr">
        <is>
          <t>Visma Enterprise (BOOM)</t>
        </is>
      </c>
      <c r="C416" t="n">
        <v>6</v>
      </c>
      <c r="D416" t="n">
        <v>10</v>
      </c>
      <c r="E416" t="n">
        <v>8</v>
      </c>
      <c r="F416" t="n">
        <v>20240701</v>
      </c>
      <c r="G416" t="n">
        <v>0</v>
      </c>
      <c r="H416" t="n">
        <v>0</v>
      </c>
      <c r="I416" t="n">
        <v>2210</v>
      </c>
      <c r="J416" t="n">
        <v>-2210</v>
      </c>
    </row>
    <row r="417">
      <c r="A417" t="inlineStr">
        <is>
          <t>f4685e3a53aa881735972a633c93a1afb55a58a5adec1a5dbc8e90714b3f4db3</t>
        </is>
      </c>
      <c r="B417" t="inlineStr">
        <is>
          <t>Visma Enterprise (BOOM)</t>
        </is>
      </c>
      <c r="C417" t="n">
        <v>6</v>
      </c>
      <c r="D417" t="n">
        <v>10</v>
      </c>
      <c r="E417" t="n">
        <v>8</v>
      </c>
      <c r="F417" t="n">
        <v>20240801</v>
      </c>
      <c r="G417" t="n">
        <v>881</v>
      </c>
      <c r="H417" t="n">
        <v>-881</v>
      </c>
      <c r="I417" t="n">
        <v>2210</v>
      </c>
      <c r="J417" t="n">
        <v>-3091</v>
      </c>
    </row>
    <row r="418">
      <c r="A418" t="inlineStr">
        <is>
          <t>847c756b5cb20cda10d7bf4d107899ea4f5f90a51420eda4cd6cc61dfca19e2d</t>
        </is>
      </c>
      <c r="B418" t="inlineStr">
        <is>
          <t>Visma Enterprise (BOOM)</t>
        </is>
      </c>
      <c r="C418" t="n">
        <v>6</v>
      </c>
      <c r="D418" t="n">
        <v>10</v>
      </c>
      <c r="E418" t="n">
        <v>8</v>
      </c>
      <c r="F418" t="n">
        <v>20240901</v>
      </c>
      <c r="G418" t="n">
        <v>0</v>
      </c>
      <c r="H418" t="n">
        <v>0</v>
      </c>
      <c r="I418" t="n">
        <v>2210</v>
      </c>
      <c r="J418" t="n">
        <v>-2210</v>
      </c>
    </row>
    <row r="419">
      <c r="A419" t="inlineStr">
        <is>
          <t>e0a1d78fe81bd42e5f998aa34aff0c43fb96bdf0b18fd87484d453a1da7d48c1</t>
        </is>
      </c>
      <c r="B419" t="inlineStr">
        <is>
          <t>Visma Enterprise (BOOM)</t>
        </is>
      </c>
      <c r="C419" t="n">
        <v>6</v>
      </c>
      <c r="D419" t="n">
        <v>10</v>
      </c>
      <c r="E419" t="n">
        <v>8</v>
      </c>
      <c r="F419" t="n">
        <v>20241001</v>
      </c>
      <c r="G419" t="n">
        <v>0</v>
      </c>
      <c r="H419" t="n">
        <v>0</v>
      </c>
      <c r="I419" t="n">
        <v>2210</v>
      </c>
      <c r="J419" t="n">
        <v>-2210</v>
      </c>
    </row>
    <row r="420">
      <c r="A420" t="inlineStr">
        <is>
          <t>0de527d322cb9a72bebc99cb226f4413074199cd26b6ffdc583c7468c34b72a5</t>
        </is>
      </c>
      <c r="B420" t="inlineStr">
        <is>
          <t>Visma Enterprise (BOOM)</t>
        </is>
      </c>
      <c r="C420" t="n">
        <v>6</v>
      </c>
      <c r="D420" t="n">
        <v>10</v>
      </c>
      <c r="E420" t="n">
        <v>8</v>
      </c>
      <c r="F420" t="n">
        <v>20241101</v>
      </c>
      <c r="G420" t="n">
        <v>0</v>
      </c>
      <c r="H420" t="n">
        <v>0</v>
      </c>
      <c r="I420" t="n">
        <v>2210</v>
      </c>
      <c r="J420" t="n">
        <v>-2210</v>
      </c>
    </row>
    <row r="421">
      <c r="A421" t="inlineStr">
        <is>
          <t>e4f3575be791d90786cd8b485de49ab16b646160d644087b3258e109c17636fb</t>
        </is>
      </c>
      <c r="B421" t="inlineStr">
        <is>
          <t>Visma Enterprise (BOOM)</t>
        </is>
      </c>
      <c r="C421" t="n">
        <v>6</v>
      </c>
      <c r="D421" t="n">
        <v>10</v>
      </c>
      <c r="E421" t="n">
        <v>8</v>
      </c>
      <c r="F421" t="n">
        <v>20241201</v>
      </c>
      <c r="G421" t="n">
        <v>0</v>
      </c>
      <c r="H421" t="n">
        <v>0</v>
      </c>
      <c r="I421" t="n">
        <v>2690</v>
      </c>
      <c r="J421" t="n">
        <v>-2690</v>
      </c>
    </row>
    <row r="422">
      <c r="A422" t="inlineStr">
        <is>
          <t>e4d2cbea63d28f65f6f67335b0dea0e601bbfacaaa16e7fa7934530eca750410</t>
        </is>
      </c>
      <c r="B422" t="inlineStr">
        <is>
          <t>Visma Enterprise (BOOM)</t>
        </is>
      </c>
      <c r="C422" t="n">
        <v>6</v>
      </c>
      <c r="D422" t="n">
        <v>11</v>
      </c>
      <c r="E422" t="n">
        <v>8</v>
      </c>
      <c r="F422" t="n">
        <v>20240101</v>
      </c>
      <c r="G422" t="n">
        <v>0</v>
      </c>
      <c r="H422" t="n">
        <v>0</v>
      </c>
      <c r="I422" t="n">
        <v>850</v>
      </c>
      <c r="J422" t="n">
        <v>-850</v>
      </c>
    </row>
    <row r="423">
      <c r="A423" t="inlineStr">
        <is>
          <t>7446ba3ad13ace1b0b9b8bfa8fb79f287ce7420f9250be612a4ecb708084f27c</t>
        </is>
      </c>
      <c r="B423" t="inlineStr">
        <is>
          <t>Visma Enterprise (BOOM)</t>
        </is>
      </c>
      <c r="C423" t="n">
        <v>6</v>
      </c>
      <c r="D423" t="n">
        <v>11</v>
      </c>
      <c r="E423" t="n">
        <v>8</v>
      </c>
      <c r="F423" t="n">
        <v>20240201</v>
      </c>
      <c r="G423" t="n">
        <v>0</v>
      </c>
      <c r="H423" t="n">
        <v>0</v>
      </c>
      <c r="I423" t="n">
        <v>850</v>
      </c>
      <c r="J423" t="n">
        <v>-850</v>
      </c>
    </row>
    <row r="424">
      <c r="A424" t="inlineStr">
        <is>
          <t>870da6054f148910e6a509ce9a730557679eacbeef4b7093567a15bbc7848521</t>
        </is>
      </c>
      <c r="B424" t="inlineStr">
        <is>
          <t>Visma Enterprise (BOOM)</t>
        </is>
      </c>
      <c r="C424" t="n">
        <v>6</v>
      </c>
      <c r="D424" t="n">
        <v>11</v>
      </c>
      <c r="E424" t="n">
        <v>8</v>
      </c>
      <c r="F424" t="n">
        <v>20240301</v>
      </c>
      <c r="G424" t="n">
        <v>0</v>
      </c>
      <c r="H424" t="n">
        <v>0</v>
      </c>
      <c r="I424" t="n">
        <v>850</v>
      </c>
      <c r="J424" t="n">
        <v>-850</v>
      </c>
    </row>
    <row r="425">
      <c r="A425" t="inlineStr">
        <is>
          <t>ed552d59c1525b932ab21b23894a5717204335d5600a05aaeb0ea8207058aecd</t>
        </is>
      </c>
      <c r="B425" t="inlineStr">
        <is>
          <t>Visma Enterprise (BOOM)</t>
        </is>
      </c>
      <c r="C425" t="n">
        <v>6</v>
      </c>
      <c r="D425" t="n">
        <v>11</v>
      </c>
      <c r="E425" t="n">
        <v>8</v>
      </c>
      <c r="F425" t="n">
        <v>20240401</v>
      </c>
      <c r="G425" t="n">
        <v>2562.05</v>
      </c>
      <c r="H425" t="n">
        <v>-2562.05</v>
      </c>
      <c r="I425" t="n">
        <v>850</v>
      </c>
      <c r="J425" t="n">
        <v>-3412.05</v>
      </c>
    </row>
    <row r="426">
      <c r="A426" t="inlineStr">
        <is>
          <t>e83c3a60e0c7277a68c853966532c007a30cbf9db91f0870ccc11f8f792611f8</t>
        </is>
      </c>
      <c r="B426" t="inlineStr">
        <is>
          <t>Visma Enterprise (BOOM)</t>
        </is>
      </c>
      <c r="C426" t="n">
        <v>6</v>
      </c>
      <c r="D426" t="n">
        <v>11</v>
      </c>
      <c r="E426" t="n">
        <v>8</v>
      </c>
      <c r="F426" t="n">
        <v>20240501</v>
      </c>
      <c r="G426" t="n">
        <v>0</v>
      </c>
      <c r="H426" t="n">
        <v>0</v>
      </c>
      <c r="I426" t="n">
        <v>850</v>
      </c>
      <c r="J426" t="n">
        <v>-850</v>
      </c>
    </row>
    <row r="427">
      <c r="A427" t="inlineStr">
        <is>
          <t>763351d264cbc1efac967dd1b7b90422bee61bd2e798d76f1aa9398abfea1b89</t>
        </is>
      </c>
      <c r="B427" t="inlineStr">
        <is>
          <t>Visma Enterprise (BOOM)</t>
        </is>
      </c>
      <c r="C427" t="n">
        <v>6</v>
      </c>
      <c r="D427" t="n">
        <v>11</v>
      </c>
      <c r="E427" t="n">
        <v>8</v>
      </c>
      <c r="F427" t="n">
        <v>20240601</v>
      </c>
      <c r="G427" t="n">
        <v>0</v>
      </c>
      <c r="H427" t="n">
        <v>0</v>
      </c>
      <c r="I427" t="n">
        <v>850</v>
      </c>
      <c r="J427" t="n">
        <v>-850</v>
      </c>
    </row>
    <row r="428">
      <c r="A428" t="inlineStr">
        <is>
          <t>b25b8f15fce9c132ecf78a4202cf4393389ca859bef044c6ef0955a334e6a36a</t>
        </is>
      </c>
      <c r="B428" t="inlineStr">
        <is>
          <t>Visma Enterprise (BOOM)</t>
        </is>
      </c>
      <c r="C428" t="n">
        <v>6</v>
      </c>
      <c r="D428" t="n">
        <v>11</v>
      </c>
      <c r="E428" t="n">
        <v>8</v>
      </c>
      <c r="F428" t="n">
        <v>20240701</v>
      </c>
      <c r="G428" t="n">
        <v>0</v>
      </c>
      <c r="H428" t="n">
        <v>0</v>
      </c>
      <c r="I428" t="n">
        <v>850</v>
      </c>
      <c r="J428" t="n">
        <v>-850</v>
      </c>
    </row>
    <row r="429">
      <c r="A429" t="inlineStr">
        <is>
          <t>8ae24e82ffb2f5b3852997d6f2d9ed7e493ea645eb823866108841eb3e78d416</t>
        </is>
      </c>
      <c r="B429" t="inlineStr">
        <is>
          <t>Visma Enterprise (BOOM)</t>
        </is>
      </c>
      <c r="C429" t="n">
        <v>6</v>
      </c>
      <c r="D429" t="n">
        <v>11</v>
      </c>
      <c r="E429" t="n">
        <v>8</v>
      </c>
      <c r="F429" t="n">
        <v>20240801</v>
      </c>
      <c r="G429" t="n">
        <v>0</v>
      </c>
      <c r="H429" t="n">
        <v>0</v>
      </c>
      <c r="I429" t="n">
        <v>850</v>
      </c>
      <c r="J429" t="n">
        <v>-850</v>
      </c>
    </row>
    <row r="430">
      <c r="A430" t="inlineStr">
        <is>
          <t>9aeef5ae639a5336e0ec6c13191350b3864599a5fa83413604c524527471003a</t>
        </is>
      </c>
      <c r="B430" t="inlineStr">
        <is>
          <t>Visma Enterprise (BOOM)</t>
        </is>
      </c>
      <c r="C430" t="n">
        <v>6</v>
      </c>
      <c r="D430" t="n">
        <v>11</v>
      </c>
      <c r="E430" t="n">
        <v>8</v>
      </c>
      <c r="F430" t="n">
        <v>20240901</v>
      </c>
      <c r="G430" t="n">
        <v>0</v>
      </c>
      <c r="H430" t="n">
        <v>0</v>
      </c>
      <c r="I430" t="n">
        <v>850</v>
      </c>
      <c r="J430" t="n">
        <v>-850</v>
      </c>
    </row>
    <row r="431">
      <c r="A431" t="inlineStr">
        <is>
          <t>3e6a6f61c98c9aa3352a9bc7bc89dcb99efd886f1be011a7c5c16092af25c741</t>
        </is>
      </c>
      <c r="B431" t="inlineStr">
        <is>
          <t>Visma Enterprise (BOOM)</t>
        </is>
      </c>
      <c r="C431" t="n">
        <v>6</v>
      </c>
      <c r="D431" t="n">
        <v>11</v>
      </c>
      <c r="E431" t="n">
        <v>8</v>
      </c>
      <c r="F431" t="n">
        <v>20241001</v>
      </c>
      <c r="G431" t="n">
        <v>0</v>
      </c>
      <c r="H431" t="n">
        <v>0</v>
      </c>
      <c r="I431" t="n">
        <v>850</v>
      </c>
      <c r="J431" t="n">
        <v>-850</v>
      </c>
    </row>
    <row r="432">
      <c r="A432" t="inlineStr">
        <is>
          <t>376ee12323dde7285cabafa496bd5346cb567a1994cbe8deac63e5dea5c948f9</t>
        </is>
      </c>
      <c r="B432" t="inlineStr">
        <is>
          <t>Visma Enterprise (BOOM)</t>
        </is>
      </c>
      <c r="C432" t="n">
        <v>6</v>
      </c>
      <c r="D432" t="n">
        <v>11</v>
      </c>
      <c r="E432" t="n">
        <v>8</v>
      </c>
      <c r="F432" t="n">
        <v>20241101</v>
      </c>
      <c r="G432" t="n">
        <v>0</v>
      </c>
      <c r="H432" t="n">
        <v>0</v>
      </c>
      <c r="I432" t="n">
        <v>850</v>
      </c>
      <c r="J432" t="n">
        <v>-850</v>
      </c>
    </row>
    <row r="433">
      <c r="A433" t="inlineStr">
        <is>
          <t>3ee06a22d128ef4aa061a68b0f358fecf86f624b0003cb918123f0039ba613ba</t>
        </is>
      </c>
      <c r="B433" t="inlineStr">
        <is>
          <t>Visma Enterprise (BOOM)</t>
        </is>
      </c>
      <c r="C433" t="n">
        <v>6</v>
      </c>
      <c r="D433" t="n">
        <v>11</v>
      </c>
      <c r="E433" t="n">
        <v>8</v>
      </c>
      <c r="F433" t="n">
        <v>20241201</v>
      </c>
      <c r="G433" t="n">
        <v>0</v>
      </c>
      <c r="H433" t="n">
        <v>0</v>
      </c>
      <c r="I433" t="n">
        <v>650</v>
      </c>
      <c r="J433" t="n">
        <v>-650</v>
      </c>
    </row>
    <row r="434">
      <c r="A434" t="inlineStr">
        <is>
          <t>a302604663ebebf527da1fdb8cd9f6a6166170bce692254b12ce9c4e55e9f2ca</t>
        </is>
      </c>
      <c r="B434" t="inlineStr">
        <is>
          <t>Visma Enterprise (BOOM)</t>
        </is>
      </c>
      <c r="C434" t="n">
        <v>6</v>
      </c>
      <c r="D434" t="n">
        <v>12</v>
      </c>
      <c r="E434" t="n">
        <v>8</v>
      </c>
      <c r="F434" t="n">
        <v>20240101</v>
      </c>
      <c r="G434" t="n">
        <v>222.23</v>
      </c>
      <c r="H434" t="n">
        <v>-222.23</v>
      </c>
      <c r="I434" t="n">
        <v>0</v>
      </c>
      <c r="J434" t="n">
        <v>-222.23</v>
      </c>
    </row>
    <row r="435">
      <c r="A435" t="inlineStr">
        <is>
          <t>39768f21fb3d9c304e475b4fa9bcc27f48e563c4432e288aeff8e549629afc4e</t>
        </is>
      </c>
      <c r="B435" t="inlineStr">
        <is>
          <t>Visma Enterprise (BOOM)</t>
        </is>
      </c>
      <c r="C435" t="n">
        <v>6</v>
      </c>
      <c r="D435" t="n">
        <v>12</v>
      </c>
      <c r="E435" t="n">
        <v>8</v>
      </c>
      <c r="F435" t="n">
        <v>20240201</v>
      </c>
      <c r="G435" t="n">
        <v>0</v>
      </c>
      <c r="H435" t="n">
        <v>0</v>
      </c>
      <c r="I435" t="n">
        <v>0</v>
      </c>
      <c r="J435" t="n">
        <v>0</v>
      </c>
    </row>
    <row r="436">
      <c r="A436" t="inlineStr">
        <is>
          <t>1c1c14c47e018319c847c927b11200029beba035b1b2c24ff514c6e451af609f</t>
        </is>
      </c>
      <c r="B436" t="inlineStr">
        <is>
          <t>Visma Enterprise (BOOM)</t>
        </is>
      </c>
      <c r="C436" t="n">
        <v>6</v>
      </c>
      <c r="D436" t="n">
        <v>12</v>
      </c>
      <c r="E436" t="n">
        <v>8</v>
      </c>
      <c r="F436" t="n">
        <v>20240301</v>
      </c>
      <c r="G436" t="n">
        <v>585.89</v>
      </c>
      <c r="H436" t="n">
        <v>-585.89</v>
      </c>
      <c r="I436" t="n">
        <v>0</v>
      </c>
      <c r="J436" t="n">
        <v>-585.89</v>
      </c>
    </row>
    <row r="437">
      <c r="A437" t="inlineStr">
        <is>
          <t>1148dfaa27efae6269049f149951266af035c27f06d72252da288ca46c76f93b</t>
        </is>
      </c>
      <c r="B437" t="inlineStr">
        <is>
          <t>Visma Enterprise (BOOM)</t>
        </is>
      </c>
      <c r="C437" t="n">
        <v>6</v>
      </c>
      <c r="D437" t="n">
        <v>12</v>
      </c>
      <c r="E437" t="n">
        <v>8</v>
      </c>
      <c r="F437" t="n">
        <v>20240401</v>
      </c>
      <c r="G437" t="n">
        <v>0</v>
      </c>
      <c r="H437" t="n">
        <v>0</v>
      </c>
      <c r="I437" t="n">
        <v>0</v>
      </c>
      <c r="J437" t="n">
        <v>0</v>
      </c>
    </row>
    <row r="438">
      <c r="A438" t="inlineStr">
        <is>
          <t>614e8cb88840e7c71cdc56a4b565b27f78374eb332e962f4dd6bdeace3113fdf</t>
        </is>
      </c>
      <c r="B438" t="inlineStr">
        <is>
          <t>Visma Enterprise (BOOM)</t>
        </is>
      </c>
      <c r="C438" t="n">
        <v>6</v>
      </c>
      <c r="D438" t="n">
        <v>12</v>
      </c>
      <c r="E438" t="n">
        <v>8</v>
      </c>
      <c r="F438" t="n">
        <v>20240501</v>
      </c>
      <c r="G438" t="n">
        <v>630.59</v>
      </c>
      <c r="H438" t="n">
        <v>-630.59</v>
      </c>
      <c r="I438" t="n">
        <v>0</v>
      </c>
      <c r="J438" t="n">
        <v>-630.59</v>
      </c>
    </row>
    <row r="439">
      <c r="A439" t="inlineStr">
        <is>
          <t>7d9b914dbef5bfa2082fffc97485b5a0012f00cdfc510b58fe52eacf48fa1639</t>
        </is>
      </c>
      <c r="B439" t="inlineStr">
        <is>
          <t>Visma Enterprise (BOOM)</t>
        </is>
      </c>
      <c r="C439" t="n">
        <v>6</v>
      </c>
      <c r="D439" t="n">
        <v>12</v>
      </c>
      <c r="E439" t="n">
        <v>8</v>
      </c>
      <c r="F439" t="n">
        <v>20240601</v>
      </c>
      <c r="G439" t="n">
        <v>716.97</v>
      </c>
      <c r="H439" t="n">
        <v>-716.97</v>
      </c>
      <c r="I439" t="n">
        <v>0</v>
      </c>
      <c r="J439" t="n">
        <v>-716.97</v>
      </c>
    </row>
    <row r="440">
      <c r="A440" t="inlineStr">
        <is>
          <t>f153f568893bbfc17fd7d26bc17e68ddd7f0eeb66c674ae5235ec7dc39ef4a0a</t>
        </is>
      </c>
      <c r="B440" t="inlineStr">
        <is>
          <t>Visma Enterprise (BOOM)</t>
        </is>
      </c>
      <c r="C440" t="n">
        <v>6</v>
      </c>
      <c r="D440" t="n">
        <v>12</v>
      </c>
      <c r="E440" t="n">
        <v>8</v>
      </c>
      <c r="F440" t="n">
        <v>20240701</v>
      </c>
      <c r="G440" t="n">
        <v>0</v>
      </c>
      <c r="H440" t="n">
        <v>0</v>
      </c>
      <c r="I440" t="n">
        <v>0</v>
      </c>
      <c r="J440" t="n">
        <v>0</v>
      </c>
    </row>
    <row r="441">
      <c r="A441" t="inlineStr">
        <is>
          <t>b21203a93da02f7c60a7d770cb32f403ec2e39e75cb3b77594a335426de572e5</t>
        </is>
      </c>
      <c r="B441" t="inlineStr">
        <is>
          <t>Visma Enterprise (BOOM)</t>
        </is>
      </c>
      <c r="C441" t="n">
        <v>6</v>
      </c>
      <c r="D441" t="n">
        <v>12</v>
      </c>
      <c r="E441" t="n">
        <v>8</v>
      </c>
      <c r="F441" t="n">
        <v>20240801</v>
      </c>
      <c r="G441" t="n">
        <v>130.44</v>
      </c>
      <c r="H441" t="n">
        <v>-130.44</v>
      </c>
      <c r="I441" t="n">
        <v>0</v>
      </c>
      <c r="J441" t="n">
        <v>-130.44</v>
      </c>
    </row>
    <row r="442">
      <c r="A442" t="inlineStr">
        <is>
          <t>9f70ac3bcfdb8a675f620ea87b41c5a0422ba47107fb85137dd45bbc4248ed9f</t>
        </is>
      </c>
      <c r="B442" t="inlineStr">
        <is>
          <t>Visma Enterprise (BOOM)</t>
        </is>
      </c>
      <c r="C442" t="n">
        <v>6</v>
      </c>
      <c r="D442" t="n">
        <v>12</v>
      </c>
      <c r="E442" t="n">
        <v>8</v>
      </c>
      <c r="F442" t="n">
        <v>20240901</v>
      </c>
      <c r="G442" t="n">
        <v>0</v>
      </c>
      <c r="H442" t="n">
        <v>0</v>
      </c>
      <c r="I442" t="n">
        <v>0</v>
      </c>
      <c r="J442" t="n">
        <v>0</v>
      </c>
    </row>
    <row r="443">
      <c r="A443" t="inlineStr">
        <is>
          <t>d974626776c350cf7a4d23204d16cfbb856cf0fcfa6eb7a4b403664a5a4fcb33</t>
        </is>
      </c>
      <c r="B443" t="inlineStr">
        <is>
          <t>Visma Enterprise (BOOM)</t>
        </is>
      </c>
      <c r="C443" t="n">
        <v>6</v>
      </c>
      <c r="D443" t="n">
        <v>12</v>
      </c>
      <c r="E443" t="n">
        <v>8</v>
      </c>
      <c r="F443" t="n">
        <v>20241001</v>
      </c>
      <c r="G443" t="n">
        <v>0</v>
      </c>
      <c r="H443" t="n">
        <v>0</v>
      </c>
      <c r="I443" t="n">
        <v>0</v>
      </c>
      <c r="J443" t="n">
        <v>0</v>
      </c>
    </row>
    <row r="444">
      <c r="A444" t="inlineStr">
        <is>
          <t>1e4049ba877c5450b1250f2a9187f050cdadcd5bf41739b1111475543dfd4191</t>
        </is>
      </c>
      <c r="B444" t="inlineStr">
        <is>
          <t>Visma Enterprise (BOOM)</t>
        </is>
      </c>
      <c r="C444" t="n">
        <v>6</v>
      </c>
      <c r="D444" t="n">
        <v>12</v>
      </c>
      <c r="E444" t="n">
        <v>8</v>
      </c>
      <c r="F444" t="n">
        <v>20241101</v>
      </c>
      <c r="G444" t="n">
        <v>0</v>
      </c>
      <c r="H444" t="n">
        <v>0</v>
      </c>
      <c r="I444" t="n">
        <v>0</v>
      </c>
      <c r="J444" t="n">
        <v>0</v>
      </c>
    </row>
    <row r="445">
      <c r="A445" t="inlineStr">
        <is>
          <t>a325eae92a1bb9cfa9511ecc0009a3a516b8bd958240e634cdec0479283cbdba</t>
        </is>
      </c>
      <c r="B445" t="inlineStr">
        <is>
          <t>Visma Enterprise (BOOM)</t>
        </is>
      </c>
      <c r="C445" t="n">
        <v>6</v>
      </c>
      <c r="D445" t="n">
        <v>12</v>
      </c>
      <c r="E445" t="n">
        <v>8</v>
      </c>
      <c r="F445" t="n">
        <v>20241201</v>
      </c>
      <c r="G445" t="n">
        <v>0</v>
      </c>
      <c r="H445" t="n">
        <v>0</v>
      </c>
      <c r="I445" t="n">
        <v>0</v>
      </c>
      <c r="J445" t="n">
        <v>0</v>
      </c>
    </row>
    <row r="446">
      <c r="A446" t="inlineStr">
        <is>
          <t>8f9024c2fea20df63528898b88455b28def9bf6ec56767820688086bc295040a</t>
        </is>
      </c>
      <c r="B446" t="inlineStr">
        <is>
          <t>Visma Enterprise (BOOM)</t>
        </is>
      </c>
      <c r="C446" t="n">
        <v>6</v>
      </c>
      <c r="D446" t="n">
        <v>12</v>
      </c>
      <c r="E446" t="n">
        <v>8</v>
      </c>
      <c r="F446" t="n">
        <v>20240101</v>
      </c>
      <c r="G446" t="n">
        <v>0</v>
      </c>
      <c r="H446" t="n">
        <v>0</v>
      </c>
      <c r="I446" t="n">
        <v>1868</v>
      </c>
      <c r="J446" t="n">
        <v>-1868</v>
      </c>
    </row>
    <row r="447">
      <c r="A447" t="inlineStr">
        <is>
          <t>f073f2080cf5db60ce881aab860a10c0b52c83ad676798b834c0f5837a1f77a5</t>
        </is>
      </c>
      <c r="B447" t="inlineStr">
        <is>
          <t>Visma Enterprise (BOOM)</t>
        </is>
      </c>
      <c r="C447" t="n">
        <v>6</v>
      </c>
      <c r="D447" t="n">
        <v>12</v>
      </c>
      <c r="E447" t="n">
        <v>8</v>
      </c>
      <c r="F447" t="n">
        <v>20240201</v>
      </c>
      <c r="G447" t="n">
        <v>294.5</v>
      </c>
      <c r="H447" t="n">
        <v>-294.5</v>
      </c>
      <c r="I447" t="n">
        <v>1868</v>
      </c>
      <c r="J447" t="n">
        <v>-2162.5</v>
      </c>
    </row>
    <row r="448">
      <c r="A448" t="inlineStr">
        <is>
          <t>2c17ee57eaf18b80d9180a255a2aab337ff3e026f570bbaa87661ae6b75d23d1</t>
        </is>
      </c>
      <c r="B448" t="inlineStr">
        <is>
          <t>Visma Enterprise (BOOM)</t>
        </is>
      </c>
      <c r="C448" t="n">
        <v>6</v>
      </c>
      <c r="D448" t="n">
        <v>12</v>
      </c>
      <c r="E448" t="n">
        <v>8</v>
      </c>
      <c r="F448" t="n">
        <v>20240301</v>
      </c>
      <c r="G448" t="n">
        <v>477.59</v>
      </c>
      <c r="H448" t="n">
        <v>-477.59</v>
      </c>
      <c r="I448" t="n">
        <v>1868</v>
      </c>
      <c r="J448" t="n">
        <v>-2345.59</v>
      </c>
    </row>
    <row r="449">
      <c r="A449" t="inlineStr">
        <is>
          <t>8b6976d31739e3a110192315db169100ccf334ad46e46347822b6a65b6963ec5</t>
        </is>
      </c>
      <c r="B449" t="inlineStr">
        <is>
          <t>Visma Enterprise (BOOM)</t>
        </is>
      </c>
      <c r="C449" t="n">
        <v>6</v>
      </c>
      <c r="D449" t="n">
        <v>12</v>
      </c>
      <c r="E449" t="n">
        <v>8</v>
      </c>
      <c r="F449" t="n">
        <v>20240401</v>
      </c>
      <c r="G449" t="n">
        <v>0</v>
      </c>
      <c r="H449" t="n">
        <v>0</v>
      </c>
      <c r="I449" t="n">
        <v>1868</v>
      </c>
      <c r="J449" t="n">
        <v>-1868</v>
      </c>
    </row>
    <row r="450">
      <c r="A450" t="inlineStr">
        <is>
          <t>e80f8ae571486c89ca7269e7cf3a2a722d4d90017dc48a43860879381883fe43</t>
        </is>
      </c>
      <c r="B450" t="inlineStr">
        <is>
          <t>Visma Enterprise (BOOM)</t>
        </is>
      </c>
      <c r="C450" t="n">
        <v>6</v>
      </c>
      <c r="D450" t="n">
        <v>12</v>
      </c>
      <c r="E450" t="n">
        <v>8</v>
      </c>
      <c r="F450" t="n">
        <v>20240501</v>
      </c>
      <c r="G450" t="n">
        <v>4957.78</v>
      </c>
      <c r="H450" t="n">
        <v>-4957.78</v>
      </c>
      <c r="I450" t="n">
        <v>1868</v>
      </c>
      <c r="J450" t="n">
        <v>-6825.78</v>
      </c>
    </row>
    <row r="451">
      <c r="A451" t="inlineStr">
        <is>
          <t>da6c7f0f9f7501285a4283ba4cfa42c507a13c2923fc40df2f38238d4e410aa6</t>
        </is>
      </c>
      <c r="B451" t="inlineStr">
        <is>
          <t>Visma Enterprise (BOOM)</t>
        </is>
      </c>
      <c r="C451" t="n">
        <v>6</v>
      </c>
      <c r="D451" t="n">
        <v>12</v>
      </c>
      <c r="E451" t="n">
        <v>8</v>
      </c>
      <c r="F451" t="n">
        <v>20240601</v>
      </c>
      <c r="G451" t="n">
        <v>0</v>
      </c>
      <c r="H451" t="n">
        <v>0</v>
      </c>
      <c r="I451" t="n">
        <v>1868</v>
      </c>
      <c r="J451" t="n">
        <v>-1868</v>
      </c>
    </row>
    <row r="452">
      <c r="A452" t="inlineStr">
        <is>
          <t>4ddae436ad1032d7aeb5e4939764a763fd5696efd349a1880c6bd31862a474fa</t>
        </is>
      </c>
      <c r="B452" t="inlineStr">
        <is>
          <t>Visma Enterprise (BOOM)</t>
        </is>
      </c>
      <c r="C452" t="n">
        <v>6</v>
      </c>
      <c r="D452" t="n">
        <v>12</v>
      </c>
      <c r="E452" t="n">
        <v>8</v>
      </c>
      <c r="F452" t="n">
        <v>20240701</v>
      </c>
      <c r="G452" t="n">
        <v>0</v>
      </c>
      <c r="H452" t="n">
        <v>0</v>
      </c>
      <c r="I452" t="n">
        <v>1868</v>
      </c>
      <c r="J452" t="n">
        <v>-1868</v>
      </c>
    </row>
    <row r="453">
      <c r="A453" t="inlineStr">
        <is>
          <t>985379e67c3d74d179f8e6669885d27c3a17422037eb43a74fe212db64ef337b</t>
        </is>
      </c>
      <c r="B453" t="inlineStr">
        <is>
          <t>Visma Enterprise (BOOM)</t>
        </is>
      </c>
      <c r="C453" t="n">
        <v>6</v>
      </c>
      <c r="D453" t="n">
        <v>12</v>
      </c>
      <c r="E453" t="n">
        <v>8</v>
      </c>
      <c r="F453" t="n">
        <v>20240801</v>
      </c>
      <c r="G453" t="n">
        <v>0</v>
      </c>
      <c r="H453" t="n">
        <v>0</v>
      </c>
      <c r="I453" t="n">
        <v>1868</v>
      </c>
      <c r="J453" t="n">
        <v>-1868</v>
      </c>
    </row>
    <row r="454">
      <c r="A454" t="inlineStr">
        <is>
          <t>19358c4cd96df99f29463b71ee5d37d5f29231b2e9e01bc090e039731276caf0</t>
        </is>
      </c>
      <c r="B454" t="inlineStr">
        <is>
          <t>Visma Enterprise (BOOM)</t>
        </is>
      </c>
      <c r="C454" t="n">
        <v>6</v>
      </c>
      <c r="D454" t="n">
        <v>12</v>
      </c>
      <c r="E454" t="n">
        <v>8</v>
      </c>
      <c r="F454" t="n">
        <v>20240901</v>
      </c>
      <c r="G454" t="n">
        <v>0</v>
      </c>
      <c r="H454" t="n">
        <v>0</v>
      </c>
      <c r="I454" t="n">
        <v>1868</v>
      </c>
      <c r="J454" t="n">
        <v>-1868</v>
      </c>
    </row>
    <row r="455">
      <c r="A455" t="inlineStr">
        <is>
          <t>01bf53b2ba9b9ef29397293b89a84c6a5e564ea37980f7f390d08dcc18cd4da6</t>
        </is>
      </c>
      <c r="B455" t="inlineStr">
        <is>
          <t>Visma Enterprise (BOOM)</t>
        </is>
      </c>
      <c r="C455" t="n">
        <v>6</v>
      </c>
      <c r="D455" t="n">
        <v>12</v>
      </c>
      <c r="E455" t="n">
        <v>8</v>
      </c>
      <c r="F455" t="n">
        <v>20241001</v>
      </c>
      <c r="G455" t="n">
        <v>0</v>
      </c>
      <c r="H455" t="n">
        <v>0</v>
      </c>
      <c r="I455" t="n">
        <v>1868</v>
      </c>
      <c r="J455" t="n">
        <v>-1868</v>
      </c>
    </row>
    <row r="456">
      <c r="A456" t="inlineStr">
        <is>
          <t>fb313ec39df1508db905d4609cb119bf41091593191b36faf6abddea86441e1a</t>
        </is>
      </c>
      <c r="B456" t="inlineStr">
        <is>
          <t>Visma Enterprise (BOOM)</t>
        </is>
      </c>
      <c r="C456" t="n">
        <v>6</v>
      </c>
      <c r="D456" t="n">
        <v>12</v>
      </c>
      <c r="E456" t="n">
        <v>8</v>
      </c>
      <c r="F456" t="n">
        <v>20241101</v>
      </c>
      <c r="G456" t="n">
        <v>0</v>
      </c>
      <c r="H456" t="n">
        <v>0</v>
      </c>
      <c r="I456" t="n">
        <v>1868</v>
      </c>
      <c r="J456" t="n">
        <v>-1868</v>
      </c>
    </row>
    <row r="457">
      <c r="A457" t="inlineStr">
        <is>
          <t>d5ad4eb5c5516d49d7088e59f26d25e6e339a7153ba36527d89654053df1a7d2</t>
        </is>
      </c>
      <c r="B457" t="inlineStr">
        <is>
          <t>Visma Enterprise (BOOM)</t>
        </is>
      </c>
      <c r="C457" t="n">
        <v>6</v>
      </c>
      <c r="D457" t="n">
        <v>12</v>
      </c>
      <c r="E457" t="n">
        <v>8</v>
      </c>
      <c r="F457" t="n">
        <v>20241201</v>
      </c>
      <c r="G457" t="n">
        <v>0</v>
      </c>
      <c r="H457" t="n">
        <v>0</v>
      </c>
      <c r="I457" t="n">
        <v>1452</v>
      </c>
      <c r="J457" t="n">
        <v>-1452</v>
      </c>
    </row>
    <row r="458">
      <c r="A458" t="inlineStr">
        <is>
          <t>ed3f06615ec89a4c384ba3c659a67dd70eb3b40caed4e34bc589a8a80110406a</t>
        </is>
      </c>
      <c r="B458" t="inlineStr">
        <is>
          <t>Visma Enterprise (BOOM)</t>
        </is>
      </c>
      <c r="C458" t="n">
        <v>6</v>
      </c>
      <c r="D458" t="n">
        <v>12</v>
      </c>
      <c r="E458" t="n">
        <v>8</v>
      </c>
      <c r="F458" t="n">
        <v>20240101</v>
      </c>
      <c r="G458" t="n">
        <v>0</v>
      </c>
      <c r="H458" t="n">
        <v>0</v>
      </c>
      <c r="I458" t="n">
        <v>0</v>
      </c>
      <c r="J458" t="n">
        <v>0</v>
      </c>
    </row>
    <row r="459">
      <c r="A459" t="inlineStr">
        <is>
          <t>ea5e81e32b840caf307bb53bf8d99d6c0e9356d15a4ff84c6eeba500ce04ea66</t>
        </is>
      </c>
      <c r="B459" t="inlineStr">
        <is>
          <t>Visma Enterprise (BOOM)</t>
        </is>
      </c>
      <c r="C459" t="n">
        <v>6</v>
      </c>
      <c r="D459" t="n">
        <v>12</v>
      </c>
      <c r="E459" t="n">
        <v>8</v>
      </c>
      <c r="F459" t="n">
        <v>20240201</v>
      </c>
      <c r="G459" t="n">
        <v>12</v>
      </c>
      <c r="H459" t="n">
        <v>-12</v>
      </c>
      <c r="I459" t="n">
        <v>0</v>
      </c>
      <c r="J459" t="n">
        <v>-12</v>
      </c>
    </row>
    <row r="460">
      <c r="A460" t="inlineStr">
        <is>
          <t>1647812a1e48c9969d514e16a949d510095eb7546a8253a2f34f8c355e4ee1a8</t>
        </is>
      </c>
      <c r="B460" t="inlineStr">
        <is>
          <t>Visma Enterprise (BOOM)</t>
        </is>
      </c>
      <c r="C460" t="n">
        <v>6</v>
      </c>
      <c r="D460" t="n">
        <v>12</v>
      </c>
      <c r="E460" t="n">
        <v>8</v>
      </c>
      <c r="F460" t="n">
        <v>20240301</v>
      </c>
      <c r="G460" t="n">
        <v>21</v>
      </c>
      <c r="H460" t="n">
        <v>-21</v>
      </c>
      <c r="I460" t="n">
        <v>0</v>
      </c>
      <c r="J460" t="n">
        <v>-21</v>
      </c>
    </row>
    <row r="461">
      <c r="A461" t="inlineStr">
        <is>
          <t>ce4e310f6d0efcf47779b5d3a3a23912357bba7b818ccdef8614a4886008774f</t>
        </is>
      </c>
      <c r="B461" t="inlineStr">
        <is>
          <t>Visma Enterprise (BOOM)</t>
        </is>
      </c>
      <c r="C461" t="n">
        <v>6</v>
      </c>
      <c r="D461" t="n">
        <v>12</v>
      </c>
      <c r="E461" t="n">
        <v>8</v>
      </c>
      <c r="F461" t="n">
        <v>20240401</v>
      </c>
      <c r="G461" t="n">
        <v>0</v>
      </c>
      <c r="H461" t="n">
        <v>0</v>
      </c>
      <c r="I461" t="n">
        <v>0</v>
      </c>
      <c r="J461" t="n">
        <v>0</v>
      </c>
    </row>
    <row r="462">
      <c r="A462" t="inlineStr">
        <is>
          <t>665781b17c0873389b1a124a09f959a0d458afa9e0e177004d2b8ce256c2a54a</t>
        </is>
      </c>
      <c r="B462" t="inlineStr">
        <is>
          <t>Visma Enterprise (BOOM)</t>
        </is>
      </c>
      <c r="C462" t="n">
        <v>6</v>
      </c>
      <c r="D462" t="n">
        <v>12</v>
      </c>
      <c r="E462" t="n">
        <v>8</v>
      </c>
      <c r="F462" t="n">
        <v>20240501</v>
      </c>
      <c r="G462" t="n">
        <v>24</v>
      </c>
      <c r="H462" t="n">
        <v>-24</v>
      </c>
      <c r="I462" t="n">
        <v>0</v>
      </c>
      <c r="J462" t="n">
        <v>-24</v>
      </c>
    </row>
    <row r="463">
      <c r="A463" t="inlineStr">
        <is>
          <t>6e47915ade409ada68460d7d527f9b7e1b3bad63f9fb193c14b20aed8341ca9f</t>
        </is>
      </c>
      <c r="B463" t="inlineStr">
        <is>
          <t>Visma Enterprise (BOOM)</t>
        </is>
      </c>
      <c r="C463" t="n">
        <v>6</v>
      </c>
      <c r="D463" t="n">
        <v>12</v>
      </c>
      <c r="E463" t="n">
        <v>8</v>
      </c>
      <c r="F463" t="n">
        <v>20240601</v>
      </c>
      <c r="G463" t="n">
        <v>0</v>
      </c>
      <c r="H463" t="n">
        <v>0</v>
      </c>
      <c r="I463" t="n">
        <v>0</v>
      </c>
      <c r="J463" t="n">
        <v>0</v>
      </c>
    </row>
    <row r="464">
      <c r="A464" t="inlineStr">
        <is>
          <t>6576bb171bfeeea7f06bc192e527222c3c77090ee98d0c2ca0689ed51a8539ef</t>
        </is>
      </c>
      <c r="B464" t="inlineStr">
        <is>
          <t>Visma Enterprise (BOOM)</t>
        </is>
      </c>
      <c r="C464" t="n">
        <v>6</v>
      </c>
      <c r="D464" t="n">
        <v>12</v>
      </c>
      <c r="E464" t="n">
        <v>8</v>
      </c>
      <c r="F464" t="n">
        <v>20240701</v>
      </c>
      <c r="G464" t="n">
        <v>0</v>
      </c>
      <c r="H464" t="n">
        <v>0</v>
      </c>
      <c r="I464" t="n">
        <v>0</v>
      </c>
      <c r="J464" t="n">
        <v>0</v>
      </c>
    </row>
    <row r="465">
      <c r="A465" t="inlineStr">
        <is>
          <t>779f79684e17de47be96534a38e8759f0340680c59805f45b11ef35f23903a4d</t>
        </is>
      </c>
      <c r="B465" t="inlineStr">
        <is>
          <t>Visma Enterprise (BOOM)</t>
        </is>
      </c>
      <c r="C465" t="n">
        <v>6</v>
      </c>
      <c r="D465" t="n">
        <v>12</v>
      </c>
      <c r="E465" t="n">
        <v>8</v>
      </c>
      <c r="F465" t="n">
        <v>20240801</v>
      </c>
      <c r="G465" t="n">
        <v>0</v>
      </c>
      <c r="H465" t="n">
        <v>0</v>
      </c>
      <c r="I465" t="n">
        <v>0</v>
      </c>
      <c r="J465" t="n">
        <v>0</v>
      </c>
    </row>
    <row r="466">
      <c r="A466" t="inlineStr">
        <is>
          <t>694b2ed39bacc3ab31015195f5038e6af2f55091f6e40a2117ad510f7c783292</t>
        </is>
      </c>
      <c r="B466" t="inlineStr">
        <is>
          <t>Visma Enterprise (BOOM)</t>
        </is>
      </c>
      <c r="C466" t="n">
        <v>6</v>
      </c>
      <c r="D466" t="n">
        <v>12</v>
      </c>
      <c r="E466" t="n">
        <v>8</v>
      </c>
      <c r="F466" t="n">
        <v>20240901</v>
      </c>
      <c r="G466" t="n">
        <v>0</v>
      </c>
      <c r="H466" t="n">
        <v>0</v>
      </c>
      <c r="I466" t="n">
        <v>0</v>
      </c>
      <c r="J466" t="n">
        <v>0</v>
      </c>
    </row>
    <row r="467">
      <c r="A467" t="inlineStr">
        <is>
          <t>61115d0af0ba90557944710435e81942601929aafd2a2302c55d8a06b0b12ef5</t>
        </is>
      </c>
      <c r="B467" t="inlineStr">
        <is>
          <t>Visma Enterprise (BOOM)</t>
        </is>
      </c>
      <c r="C467" t="n">
        <v>6</v>
      </c>
      <c r="D467" t="n">
        <v>12</v>
      </c>
      <c r="E467" t="n">
        <v>8</v>
      </c>
      <c r="F467" t="n">
        <v>20241001</v>
      </c>
      <c r="G467" t="n">
        <v>0</v>
      </c>
      <c r="H467" t="n">
        <v>0</v>
      </c>
      <c r="I467" t="n">
        <v>0</v>
      </c>
      <c r="J467" t="n">
        <v>0</v>
      </c>
    </row>
    <row r="468">
      <c r="A468" t="inlineStr">
        <is>
          <t>676ed367930e4b62d2d103c14088d59ed6da5e0da88b3a9ba2195119819ef0d5</t>
        </is>
      </c>
      <c r="B468" t="inlineStr">
        <is>
          <t>Visma Enterprise (BOOM)</t>
        </is>
      </c>
      <c r="C468" t="n">
        <v>6</v>
      </c>
      <c r="D468" t="n">
        <v>12</v>
      </c>
      <c r="E468" t="n">
        <v>8</v>
      </c>
      <c r="F468" t="n">
        <v>20241101</v>
      </c>
      <c r="G468" t="n">
        <v>0</v>
      </c>
      <c r="H468" t="n">
        <v>0</v>
      </c>
      <c r="I468" t="n">
        <v>0</v>
      </c>
      <c r="J468" t="n">
        <v>0</v>
      </c>
    </row>
    <row r="469">
      <c r="A469" t="inlineStr">
        <is>
          <t>39cb48a38fc9a6b52af759625ff42e88a651399c399d00104d6a296982925b0a</t>
        </is>
      </c>
      <c r="B469" t="inlineStr">
        <is>
          <t>Visma Enterprise (BOOM)</t>
        </is>
      </c>
      <c r="C469" t="n">
        <v>6</v>
      </c>
      <c r="D469" t="n">
        <v>12</v>
      </c>
      <c r="E469" t="n">
        <v>8</v>
      </c>
      <c r="F469" t="n">
        <v>20241201</v>
      </c>
      <c r="G469" t="n">
        <v>0</v>
      </c>
      <c r="H469" t="n">
        <v>0</v>
      </c>
      <c r="I469" t="n">
        <v>0</v>
      </c>
      <c r="J469" t="n">
        <v>0</v>
      </c>
    </row>
    <row r="470">
      <c r="A470" t="inlineStr">
        <is>
          <t>5c4204828da27c411bde7f61a5ab2e309bd360deb2914ca296a5f85fd6e98abf</t>
        </is>
      </c>
      <c r="B470" t="inlineStr">
        <is>
          <t>Visma Enterprise (BOOM)</t>
        </is>
      </c>
      <c r="C470" t="n">
        <v>6</v>
      </c>
      <c r="D470" t="n">
        <v>13</v>
      </c>
      <c r="E470" t="n">
        <v>8</v>
      </c>
      <c r="F470" t="n">
        <v>20240101</v>
      </c>
      <c r="G470" t="n">
        <v>0</v>
      </c>
      <c r="H470" t="n">
        <v>0</v>
      </c>
      <c r="I470" t="n">
        <v>1868</v>
      </c>
      <c r="J470" t="n">
        <v>-1868</v>
      </c>
    </row>
    <row r="471">
      <c r="A471" t="inlineStr">
        <is>
          <t>4f261c530c30d3f4049a76dff5e533f134e0bc3e79372e2861aec2c011ca43b4</t>
        </is>
      </c>
      <c r="B471" t="inlineStr">
        <is>
          <t>Visma Enterprise (BOOM)</t>
        </is>
      </c>
      <c r="C471" t="n">
        <v>6</v>
      </c>
      <c r="D471" t="n">
        <v>13</v>
      </c>
      <c r="E471" t="n">
        <v>8</v>
      </c>
      <c r="F471" t="n">
        <v>20240201</v>
      </c>
      <c r="G471" t="n">
        <v>0</v>
      </c>
      <c r="H471" t="n">
        <v>0</v>
      </c>
      <c r="I471" t="n">
        <v>1868</v>
      </c>
      <c r="J471" t="n">
        <v>-1868</v>
      </c>
    </row>
    <row r="472">
      <c r="A472" t="inlineStr">
        <is>
          <t>b02132b232cc71b9aed1c978bd2a2e457f355d44d23d280ed59daf09374ac249</t>
        </is>
      </c>
      <c r="B472" t="inlineStr">
        <is>
          <t>Visma Enterprise (BOOM)</t>
        </is>
      </c>
      <c r="C472" t="n">
        <v>6</v>
      </c>
      <c r="D472" t="n">
        <v>13</v>
      </c>
      <c r="E472" t="n">
        <v>8</v>
      </c>
      <c r="F472" t="n">
        <v>20240301</v>
      </c>
      <c r="G472" t="n">
        <v>0</v>
      </c>
      <c r="H472" t="n">
        <v>0</v>
      </c>
      <c r="I472" t="n">
        <v>1868</v>
      </c>
      <c r="J472" t="n">
        <v>-1868</v>
      </c>
    </row>
    <row r="473">
      <c r="A473" t="inlineStr">
        <is>
          <t>42f8df8aba2f6717a37c87cff5cb3dbca73e185bd28bd56be3a9da617174e9d2</t>
        </is>
      </c>
      <c r="B473" t="inlineStr">
        <is>
          <t>Visma Enterprise (BOOM)</t>
        </is>
      </c>
      <c r="C473" t="n">
        <v>6</v>
      </c>
      <c r="D473" t="n">
        <v>13</v>
      </c>
      <c r="E473" t="n">
        <v>8</v>
      </c>
      <c r="F473" t="n">
        <v>20240401</v>
      </c>
      <c r="G473" t="n">
        <v>103.8</v>
      </c>
      <c r="H473" t="n">
        <v>-103.8</v>
      </c>
      <c r="I473" t="n">
        <v>1868</v>
      </c>
      <c r="J473" t="n">
        <v>-1971.8</v>
      </c>
    </row>
    <row r="474">
      <c r="A474" t="inlineStr">
        <is>
          <t>2024d0ac4c9739d265545f9cc5512c0ad533d8630c042709eafd8c1ca7966344</t>
        </is>
      </c>
      <c r="B474" t="inlineStr">
        <is>
          <t>Visma Enterprise (BOOM)</t>
        </is>
      </c>
      <c r="C474" t="n">
        <v>6</v>
      </c>
      <c r="D474" t="n">
        <v>13</v>
      </c>
      <c r="E474" t="n">
        <v>8</v>
      </c>
      <c r="F474" t="n">
        <v>20240501</v>
      </c>
      <c r="G474" t="n">
        <v>0</v>
      </c>
      <c r="H474" t="n">
        <v>0</v>
      </c>
      <c r="I474" t="n">
        <v>1868</v>
      </c>
      <c r="J474" t="n">
        <v>-1868</v>
      </c>
    </row>
    <row r="475">
      <c r="A475" t="inlineStr">
        <is>
          <t>7c2fc0808ab8aa52f38bfc429f05e7dec73f32b19e64d45d608baa3fb853af58</t>
        </is>
      </c>
      <c r="B475" t="inlineStr">
        <is>
          <t>Visma Enterprise (BOOM)</t>
        </is>
      </c>
      <c r="C475" t="n">
        <v>6</v>
      </c>
      <c r="D475" t="n">
        <v>13</v>
      </c>
      <c r="E475" t="n">
        <v>8</v>
      </c>
      <c r="F475" t="n">
        <v>20240601</v>
      </c>
      <c r="G475" t="n">
        <v>483.2</v>
      </c>
      <c r="H475" t="n">
        <v>-483.2</v>
      </c>
      <c r="I475" t="n">
        <v>1868</v>
      </c>
      <c r="J475" t="n">
        <v>-2351.2</v>
      </c>
    </row>
    <row r="476">
      <c r="A476" t="inlineStr">
        <is>
          <t>d6b1eb431c1d0211a6125e8f55199e6ccf4a18d8062d492f9f1b33999c111fa7</t>
        </is>
      </c>
      <c r="B476" t="inlineStr">
        <is>
          <t>Visma Enterprise (BOOM)</t>
        </is>
      </c>
      <c r="C476" t="n">
        <v>6</v>
      </c>
      <c r="D476" t="n">
        <v>13</v>
      </c>
      <c r="E476" t="n">
        <v>8</v>
      </c>
      <c r="F476" t="n">
        <v>20240701</v>
      </c>
      <c r="G476" t="n">
        <v>0</v>
      </c>
      <c r="H476" t="n">
        <v>0</v>
      </c>
      <c r="I476" t="n">
        <v>1868</v>
      </c>
      <c r="J476" t="n">
        <v>-1868</v>
      </c>
    </row>
    <row r="477">
      <c r="A477" t="inlineStr">
        <is>
          <t>44fbc1d32b89f840a8b5af8943e55737a6fef8c80f372aa6565ec9f67fd0c7f4</t>
        </is>
      </c>
      <c r="B477" t="inlineStr">
        <is>
          <t>Visma Enterprise (BOOM)</t>
        </is>
      </c>
      <c r="C477" t="n">
        <v>6</v>
      </c>
      <c r="D477" t="n">
        <v>13</v>
      </c>
      <c r="E477" t="n">
        <v>8</v>
      </c>
      <c r="F477" t="n">
        <v>20240801</v>
      </c>
      <c r="G477" t="n">
        <v>0</v>
      </c>
      <c r="H477" t="n">
        <v>0</v>
      </c>
      <c r="I477" t="n">
        <v>1868</v>
      </c>
      <c r="J477" t="n">
        <v>-1868</v>
      </c>
    </row>
    <row r="478">
      <c r="A478" t="inlineStr">
        <is>
          <t>86c4551742ffe230bca868836dfc205016fad126ce76163b12707bc0e73d162f</t>
        </is>
      </c>
      <c r="B478" t="inlineStr">
        <is>
          <t>Visma Enterprise (BOOM)</t>
        </is>
      </c>
      <c r="C478" t="n">
        <v>6</v>
      </c>
      <c r="D478" t="n">
        <v>13</v>
      </c>
      <c r="E478" t="n">
        <v>8</v>
      </c>
      <c r="F478" t="n">
        <v>20240901</v>
      </c>
      <c r="G478" t="n">
        <v>0</v>
      </c>
      <c r="H478" t="n">
        <v>0</v>
      </c>
      <c r="I478" t="n">
        <v>1868</v>
      </c>
      <c r="J478" t="n">
        <v>-1868</v>
      </c>
    </row>
    <row r="479">
      <c r="A479" t="inlineStr">
        <is>
          <t>98a2f7c197c681ebc0cec218c8aecf5a797b3f2881b333f172de01cd9aa1ca55</t>
        </is>
      </c>
      <c r="B479" t="inlineStr">
        <is>
          <t>Visma Enterprise (BOOM)</t>
        </is>
      </c>
      <c r="C479" t="n">
        <v>6</v>
      </c>
      <c r="D479" t="n">
        <v>13</v>
      </c>
      <c r="E479" t="n">
        <v>8</v>
      </c>
      <c r="F479" t="n">
        <v>20241001</v>
      </c>
      <c r="G479" t="n">
        <v>0</v>
      </c>
      <c r="H479" t="n">
        <v>0</v>
      </c>
      <c r="I479" t="n">
        <v>1868</v>
      </c>
      <c r="J479" t="n">
        <v>-1868</v>
      </c>
    </row>
    <row r="480">
      <c r="A480" t="inlineStr">
        <is>
          <t>2d0c6d7a8279121d7fe520d756c895a8d59889779d93b22739a645af103bdf22</t>
        </is>
      </c>
      <c r="B480" t="inlineStr">
        <is>
          <t>Visma Enterprise (BOOM)</t>
        </is>
      </c>
      <c r="C480" t="n">
        <v>6</v>
      </c>
      <c r="D480" t="n">
        <v>13</v>
      </c>
      <c r="E480" t="n">
        <v>8</v>
      </c>
      <c r="F480" t="n">
        <v>20241101</v>
      </c>
      <c r="G480" t="n">
        <v>0</v>
      </c>
      <c r="H480" t="n">
        <v>0</v>
      </c>
      <c r="I480" t="n">
        <v>1868</v>
      </c>
      <c r="J480" t="n">
        <v>-1868</v>
      </c>
    </row>
    <row r="481">
      <c r="A481" t="inlineStr">
        <is>
          <t>cddcf191a4f18f2bc3fc2403636ca48f4efb66ef091678ef5e9094884deb90fc</t>
        </is>
      </c>
      <c r="B481" t="inlineStr">
        <is>
          <t>Visma Enterprise (BOOM)</t>
        </is>
      </c>
      <c r="C481" t="n">
        <v>6</v>
      </c>
      <c r="D481" t="n">
        <v>13</v>
      </c>
      <c r="E481" t="n">
        <v>8</v>
      </c>
      <c r="F481" t="n">
        <v>20241201</v>
      </c>
      <c r="G481" t="n">
        <v>0</v>
      </c>
      <c r="H481" t="n">
        <v>0</v>
      </c>
      <c r="I481" t="n">
        <v>1452</v>
      </c>
      <c r="J481" t="n">
        <v>-1452</v>
      </c>
    </row>
    <row r="482">
      <c r="A482" t="inlineStr">
        <is>
          <t>ae5e30dd2d4a2c47bcdd30c724cd71906371ffe6c6fc1de8834ac715a1595c88</t>
        </is>
      </c>
      <c r="B482" t="inlineStr">
        <is>
          <t>Visma Enterprise (BOOM)</t>
        </is>
      </c>
      <c r="C482" t="n">
        <v>6</v>
      </c>
      <c r="D482" t="n">
        <v>13</v>
      </c>
      <c r="E482" t="n">
        <v>8</v>
      </c>
      <c r="F482" t="n">
        <v>20240101</v>
      </c>
      <c r="G482" t="n">
        <v>491.15</v>
      </c>
      <c r="H482" t="n">
        <v>-491.15</v>
      </c>
      <c r="I482" t="n">
        <v>340</v>
      </c>
      <c r="J482" t="n">
        <v>-831.15</v>
      </c>
    </row>
    <row r="483">
      <c r="A483" t="inlineStr">
        <is>
          <t>26b081108bf8fe38986ea3f9105bf16c8e6a6bb03d43eee78031158b32e51aec</t>
        </is>
      </c>
      <c r="B483" t="inlineStr">
        <is>
          <t>Visma Enterprise (BOOM)</t>
        </is>
      </c>
      <c r="C483" t="n">
        <v>6</v>
      </c>
      <c r="D483" t="n">
        <v>13</v>
      </c>
      <c r="E483" t="n">
        <v>8</v>
      </c>
      <c r="F483" t="n">
        <v>20240201</v>
      </c>
      <c r="G483" t="n">
        <v>0</v>
      </c>
      <c r="H483" t="n">
        <v>0</v>
      </c>
      <c r="I483" t="n">
        <v>340</v>
      </c>
      <c r="J483" t="n">
        <v>-340</v>
      </c>
    </row>
    <row r="484">
      <c r="A484" t="inlineStr">
        <is>
          <t>222e13b36084c731f69024e5a9cd186e7430efcd0cde85fd5fde7cf0dd819fb9</t>
        </is>
      </c>
      <c r="B484" t="inlineStr">
        <is>
          <t>Visma Enterprise (BOOM)</t>
        </is>
      </c>
      <c r="C484" t="n">
        <v>6</v>
      </c>
      <c r="D484" t="n">
        <v>13</v>
      </c>
      <c r="E484" t="n">
        <v>8</v>
      </c>
      <c r="F484" t="n">
        <v>20240301</v>
      </c>
      <c r="G484" t="n">
        <v>0</v>
      </c>
      <c r="H484" t="n">
        <v>0</v>
      </c>
      <c r="I484" t="n">
        <v>340</v>
      </c>
      <c r="J484" t="n">
        <v>-340</v>
      </c>
    </row>
    <row r="485">
      <c r="A485" t="inlineStr">
        <is>
          <t>925cf7c7e41864e2ab624c71e55497cc64c95b9abf2d61d24b53db91369c1426</t>
        </is>
      </c>
      <c r="B485" t="inlineStr">
        <is>
          <t>Visma Enterprise (BOOM)</t>
        </is>
      </c>
      <c r="C485" t="n">
        <v>6</v>
      </c>
      <c r="D485" t="n">
        <v>13</v>
      </c>
      <c r="E485" t="n">
        <v>8</v>
      </c>
      <c r="F485" t="n">
        <v>20240401</v>
      </c>
      <c r="G485" t="n">
        <v>0</v>
      </c>
      <c r="H485" t="n">
        <v>0</v>
      </c>
      <c r="I485" t="n">
        <v>340</v>
      </c>
      <c r="J485" t="n">
        <v>-340</v>
      </c>
    </row>
    <row r="486">
      <c r="A486" t="inlineStr">
        <is>
          <t>1eaa3f6e22e5bac26bd4a3e56a152829fa0bfb080283fcc2d36086b5564b755c</t>
        </is>
      </c>
      <c r="B486" t="inlineStr">
        <is>
          <t>Visma Enterprise (BOOM)</t>
        </is>
      </c>
      <c r="C486" t="n">
        <v>6</v>
      </c>
      <c r="D486" t="n">
        <v>13</v>
      </c>
      <c r="E486" t="n">
        <v>8</v>
      </c>
      <c r="F486" t="n">
        <v>20240501</v>
      </c>
      <c r="G486" t="n">
        <v>0</v>
      </c>
      <c r="H486" t="n">
        <v>0</v>
      </c>
      <c r="I486" t="n">
        <v>340</v>
      </c>
      <c r="J486" t="n">
        <v>-340</v>
      </c>
    </row>
    <row r="487">
      <c r="A487" t="inlineStr">
        <is>
          <t>fdc5e9ec90d6ce90d930cba55ddba486b348441f6263b5a4538eb32b5148d5b5</t>
        </is>
      </c>
      <c r="B487" t="inlineStr">
        <is>
          <t>Visma Enterprise (BOOM)</t>
        </is>
      </c>
      <c r="C487" t="n">
        <v>6</v>
      </c>
      <c r="D487" t="n">
        <v>13</v>
      </c>
      <c r="E487" t="n">
        <v>8</v>
      </c>
      <c r="F487" t="n">
        <v>20240601</v>
      </c>
      <c r="G487" t="n">
        <v>0</v>
      </c>
      <c r="H487" t="n">
        <v>0</v>
      </c>
      <c r="I487" t="n">
        <v>340</v>
      </c>
      <c r="J487" t="n">
        <v>-340</v>
      </c>
    </row>
    <row r="488">
      <c r="A488" t="inlineStr">
        <is>
          <t>db0adcb86b0b3ccebad265a22f4591637592eb6f449f7191d93499fdf79ecd88</t>
        </is>
      </c>
      <c r="B488" t="inlineStr">
        <is>
          <t>Visma Enterprise (BOOM)</t>
        </is>
      </c>
      <c r="C488" t="n">
        <v>6</v>
      </c>
      <c r="D488" t="n">
        <v>13</v>
      </c>
      <c r="E488" t="n">
        <v>8</v>
      </c>
      <c r="F488" t="n">
        <v>20240701</v>
      </c>
      <c r="G488" t="n">
        <v>0</v>
      </c>
      <c r="H488" t="n">
        <v>0</v>
      </c>
      <c r="I488" t="n">
        <v>340</v>
      </c>
      <c r="J488" t="n">
        <v>-340</v>
      </c>
    </row>
    <row r="489">
      <c r="A489" t="inlineStr">
        <is>
          <t>5248071a7eb19254de1f32f5eee9f504f17902d9e7cda00d73b6b98b28956e93</t>
        </is>
      </c>
      <c r="B489" t="inlineStr">
        <is>
          <t>Visma Enterprise (BOOM)</t>
        </is>
      </c>
      <c r="C489" t="n">
        <v>6</v>
      </c>
      <c r="D489" t="n">
        <v>13</v>
      </c>
      <c r="E489" t="n">
        <v>8</v>
      </c>
      <c r="F489" t="n">
        <v>20240801</v>
      </c>
      <c r="G489" t="n">
        <v>0</v>
      </c>
      <c r="H489" t="n">
        <v>0</v>
      </c>
      <c r="I489" t="n">
        <v>340</v>
      </c>
      <c r="J489" t="n">
        <v>-340</v>
      </c>
    </row>
    <row r="490">
      <c r="A490" t="inlineStr">
        <is>
          <t>5dc1d7295ffe3f95daed894f224a5882ee09b32121bdfb34b2a583db8630911f</t>
        </is>
      </c>
      <c r="B490" t="inlineStr">
        <is>
          <t>Visma Enterprise (BOOM)</t>
        </is>
      </c>
      <c r="C490" t="n">
        <v>6</v>
      </c>
      <c r="D490" t="n">
        <v>13</v>
      </c>
      <c r="E490" t="n">
        <v>8</v>
      </c>
      <c r="F490" t="n">
        <v>20240901</v>
      </c>
      <c r="G490" t="n">
        <v>0</v>
      </c>
      <c r="H490" t="n">
        <v>0</v>
      </c>
      <c r="I490" t="n">
        <v>340</v>
      </c>
      <c r="J490" t="n">
        <v>-340</v>
      </c>
    </row>
    <row r="491">
      <c r="A491" t="inlineStr">
        <is>
          <t>7e47085187d2b630ef93ed0838694a56efedc319b39ced583c5dfdabfed795bc</t>
        </is>
      </c>
      <c r="B491" t="inlineStr">
        <is>
          <t>Visma Enterprise (BOOM)</t>
        </is>
      </c>
      <c r="C491" t="n">
        <v>6</v>
      </c>
      <c r="D491" t="n">
        <v>13</v>
      </c>
      <c r="E491" t="n">
        <v>8</v>
      </c>
      <c r="F491" t="n">
        <v>20241001</v>
      </c>
      <c r="G491" t="n">
        <v>0</v>
      </c>
      <c r="H491" t="n">
        <v>0</v>
      </c>
      <c r="I491" t="n">
        <v>340</v>
      </c>
      <c r="J491" t="n">
        <v>-340</v>
      </c>
    </row>
    <row r="492">
      <c r="A492" t="inlineStr">
        <is>
          <t>df8b8a655c28114bb6f53fe51a7829dc17ff9d0d6bab36e8b32cd7a3daa411f2</t>
        </is>
      </c>
      <c r="B492" t="inlineStr">
        <is>
          <t>Visma Enterprise (BOOM)</t>
        </is>
      </c>
      <c r="C492" t="n">
        <v>6</v>
      </c>
      <c r="D492" t="n">
        <v>13</v>
      </c>
      <c r="E492" t="n">
        <v>8</v>
      </c>
      <c r="F492" t="n">
        <v>20241101</v>
      </c>
      <c r="G492" t="n">
        <v>0</v>
      </c>
      <c r="H492" t="n">
        <v>0</v>
      </c>
      <c r="I492" t="n">
        <v>340</v>
      </c>
      <c r="J492" t="n">
        <v>-340</v>
      </c>
    </row>
    <row r="493">
      <c r="A493" t="inlineStr">
        <is>
          <t>7dd487d14a00e7923b393987bc9fb3811e105e4c35ed3195f1c0e1363ce63a25</t>
        </is>
      </c>
      <c r="B493" t="inlineStr">
        <is>
          <t>Visma Enterprise (BOOM)</t>
        </is>
      </c>
      <c r="C493" t="n">
        <v>6</v>
      </c>
      <c r="D493" t="n">
        <v>13</v>
      </c>
      <c r="E493" t="n">
        <v>8</v>
      </c>
      <c r="F493" t="n">
        <v>20241201</v>
      </c>
      <c r="G493" t="n">
        <v>0</v>
      </c>
      <c r="H493" t="n">
        <v>0</v>
      </c>
      <c r="I493" t="n">
        <v>260</v>
      </c>
      <c r="J493" t="n">
        <v>-260</v>
      </c>
    </row>
    <row r="494">
      <c r="A494" t="inlineStr">
        <is>
          <t>a11949abfe4a50a138101e627af31327858a41cae38a5d073673bb827f4ee3d6</t>
        </is>
      </c>
      <c r="B494" t="inlineStr">
        <is>
          <t>Visma Enterprise (BOOM)</t>
        </is>
      </c>
      <c r="C494" t="n">
        <v>6</v>
      </c>
      <c r="D494" t="n">
        <v>13</v>
      </c>
      <c r="E494" t="n">
        <v>8</v>
      </c>
      <c r="F494" t="n">
        <v>20240101</v>
      </c>
      <c r="G494" t="n">
        <v>1144.5</v>
      </c>
      <c r="H494" t="n">
        <v>-1144.5</v>
      </c>
      <c r="I494" t="n">
        <v>0</v>
      </c>
      <c r="J494" t="n">
        <v>-1144.5</v>
      </c>
    </row>
    <row r="495">
      <c r="A495" t="inlineStr">
        <is>
          <t>98ae385f71828313ad462430958e7d6713f11174ba11044f76e78f289f2b3233</t>
        </is>
      </c>
      <c r="B495" t="inlineStr">
        <is>
          <t>Visma Enterprise (BOOM)</t>
        </is>
      </c>
      <c r="C495" t="n">
        <v>6</v>
      </c>
      <c r="D495" t="n">
        <v>13</v>
      </c>
      <c r="E495" t="n">
        <v>8</v>
      </c>
      <c r="F495" t="n">
        <v>20240201</v>
      </c>
      <c r="G495" t="n">
        <v>0</v>
      </c>
      <c r="H495" t="n">
        <v>0</v>
      </c>
      <c r="I495" t="n">
        <v>0</v>
      </c>
      <c r="J495" t="n">
        <v>0</v>
      </c>
    </row>
    <row r="496">
      <c r="A496" t="inlineStr">
        <is>
          <t>20674b54775a4663f1dbd2208957999d78c8c51dc254202892ca9e2ead0a56a7</t>
        </is>
      </c>
      <c r="B496" t="inlineStr">
        <is>
          <t>Visma Enterprise (BOOM)</t>
        </is>
      </c>
      <c r="C496" t="n">
        <v>6</v>
      </c>
      <c r="D496" t="n">
        <v>13</v>
      </c>
      <c r="E496" t="n">
        <v>8</v>
      </c>
      <c r="F496" t="n">
        <v>20240301</v>
      </c>
      <c r="G496" t="n">
        <v>0</v>
      </c>
      <c r="H496" t="n">
        <v>0</v>
      </c>
      <c r="I496" t="n">
        <v>0</v>
      </c>
      <c r="J496" t="n">
        <v>0</v>
      </c>
    </row>
    <row r="497">
      <c r="A497" t="inlineStr">
        <is>
          <t>7811555c4d8542d076555dacc44c01e32271ee826414b1da290919f95d2dd8bb</t>
        </is>
      </c>
      <c r="B497" t="inlineStr">
        <is>
          <t>Visma Enterprise (BOOM)</t>
        </is>
      </c>
      <c r="C497" t="n">
        <v>6</v>
      </c>
      <c r="D497" t="n">
        <v>13</v>
      </c>
      <c r="E497" t="n">
        <v>8</v>
      </c>
      <c r="F497" t="n">
        <v>20240401</v>
      </c>
      <c r="G497" t="n">
        <v>2289</v>
      </c>
      <c r="H497" t="n">
        <v>-2289</v>
      </c>
      <c r="I497" t="n">
        <v>0</v>
      </c>
      <c r="J497" t="n">
        <v>-2289</v>
      </c>
    </row>
    <row r="498">
      <c r="A498" t="inlineStr">
        <is>
          <t>9e43cbd191e68e6ad6c39392aea41f851770930058009b3d970f98f8740b0197</t>
        </is>
      </c>
      <c r="B498" t="inlineStr">
        <is>
          <t>Visma Enterprise (BOOM)</t>
        </is>
      </c>
      <c r="C498" t="n">
        <v>6</v>
      </c>
      <c r="D498" t="n">
        <v>13</v>
      </c>
      <c r="E498" t="n">
        <v>8</v>
      </c>
      <c r="F498" t="n">
        <v>20240501</v>
      </c>
      <c r="G498" t="n">
        <v>0</v>
      </c>
      <c r="H498" t="n">
        <v>0</v>
      </c>
      <c r="I498" t="n">
        <v>0</v>
      </c>
      <c r="J498" t="n">
        <v>0</v>
      </c>
    </row>
    <row r="499">
      <c r="A499" t="inlineStr">
        <is>
          <t>a1a634b2177cfcd7cf7c53bf328247699efdc4b699b41162bc92ffad5c81452d</t>
        </is>
      </c>
      <c r="B499" t="inlineStr">
        <is>
          <t>Visma Enterprise (BOOM)</t>
        </is>
      </c>
      <c r="C499" t="n">
        <v>6</v>
      </c>
      <c r="D499" t="n">
        <v>13</v>
      </c>
      <c r="E499" t="n">
        <v>8</v>
      </c>
      <c r="F499" t="n">
        <v>20240601</v>
      </c>
      <c r="G499" t="n">
        <v>0</v>
      </c>
      <c r="H499" t="n">
        <v>0</v>
      </c>
      <c r="I499" t="n">
        <v>0</v>
      </c>
      <c r="J499" t="n">
        <v>0</v>
      </c>
    </row>
    <row r="500">
      <c r="A500" t="inlineStr">
        <is>
          <t>582d33dfde9c18188c30f2a290539ca97acb920c0362da402ef58abe6001b830</t>
        </is>
      </c>
      <c r="B500" t="inlineStr">
        <is>
          <t>Visma Enterprise (BOOM)</t>
        </is>
      </c>
      <c r="C500" t="n">
        <v>6</v>
      </c>
      <c r="D500" t="n">
        <v>13</v>
      </c>
      <c r="E500" t="n">
        <v>8</v>
      </c>
      <c r="F500" t="n">
        <v>20240701</v>
      </c>
      <c r="G500" t="n">
        <v>0</v>
      </c>
      <c r="H500" t="n">
        <v>0</v>
      </c>
      <c r="I500" t="n">
        <v>0</v>
      </c>
      <c r="J500" t="n">
        <v>0</v>
      </c>
    </row>
    <row r="501">
      <c r="A501" t="inlineStr">
        <is>
          <t>c3c40ed0ddc66429fe3c7254a61442c8719050e8a953eec80e6c8c6e7aaea234</t>
        </is>
      </c>
      <c r="B501" t="inlineStr">
        <is>
          <t>Visma Enterprise (BOOM)</t>
        </is>
      </c>
      <c r="C501" t="n">
        <v>6</v>
      </c>
      <c r="D501" t="n">
        <v>13</v>
      </c>
      <c r="E501" t="n">
        <v>8</v>
      </c>
      <c r="F501" t="n">
        <v>20240801</v>
      </c>
      <c r="G501" t="n">
        <v>881</v>
      </c>
      <c r="H501" t="n">
        <v>-881</v>
      </c>
      <c r="I501" t="n">
        <v>0</v>
      </c>
      <c r="J501" t="n">
        <v>-881</v>
      </c>
    </row>
    <row r="502">
      <c r="A502" t="inlineStr">
        <is>
          <t>8635d59d9848995d5e00b3c820661a8c2345a49cf7a28a312ccb69a1ff23cb9f</t>
        </is>
      </c>
      <c r="B502" t="inlineStr">
        <is>
          <t>Visma Enterprise (BOOM)</t>
        </is>
      </c>
      <c r="C502" t="n">
        <v>6</v>
      </c>
      <c r="D502" t="n">
        <v>13</v>
      </c>
      <c r="E502" t="n">
        <v>8</v>
      </c>
      <c r="F502" t="n">
        <v>20240901</v>
      </c>
      <c r="G502" t="n">
        <v>0</v>
      </c>
      <c r="H502" t="n">
        <v>0</v>
      </c>
      <c r="I502" t="n">
        <v>0</v>
      </c>
      <c r="J502" t="n">
        <v>0</v>
      </c>
    </row>
    <row r="503">
      <c r="A503" t="inlineStr">
        <is>
          <t>2857cfeaf9e435e4f6d92cc9a1fbf8f5a59e38106def413eddd53bfb8a9a05c1</t>
        </is>
      </c>
      <c r="B503" t="inlineStr">
        <is>
          <t>Visma Enterprise (BOOM)</t>
        </is>
      </c>
      <c r="C503" t="n">
        <v>6</v>
      </c>
      <c r="D503" t="n">
        <v>13</v>
      </c>
      <c r="E503" t="n">
        <v>8</v>
      </c>
      <c r="F503" t="n">
        <v>20241001</v>
      </c>
      <c r="G503" t="n">
        <v>0</v>
      </c>
      <c r="H503" t="n">
        <v>0</v>
      </c>
      <c r="I503" t="n">
        <v>0</v>
      </c>
      <c r="J503" t="n">
        <v>0</v>
      </c>
    </row>
    <row r="504">
      <c r="A504" t="inlineStr">
        <is>
          <t>3992eee83e28648daebb1330d3a692834f759e72526552ac422ff639607a7b43</t>
        </is>
      </c>
      <c r="B504" t="inlineStr">
        <is>
          <t>Visma Enterprise (BOOM)</t>
        </is>
      </c>
      <c r="C504" t="n">
        <v>6</v>
      </c>
      <c r="D504" t="n">
        <v>13</v>
      </c>
      <c r="E504" t="n">
        <v>8</v>
      </c>
      <c r="F504" t="n">
        <v>20241101</v>
      </c>
      <c r="G504" t="n">
        <v>0</v>
      </c>
      <c r="H504" t="n">
        <v>0</v>
      </c>
      <c r="I504" t="n">
        <v>0</v>
      </c>
      <c r="J504" t="n">
        <v>0</v>
      </c>
    </row>
    <row r="505">
      <c r="A505" t="inlineStr">
        <is>
          <t>b6ae306c9383762caf2663b6afa081f107e8f6bd4fe1d29525da848a40db807a</t>
        </is>
      </c>
      <c r="B505" t="inlineStr">
        <is>
          <t>Visma Enterprise (BOOM)</t>
        </is>
      </c>
      <c r="C505" t="n">
        <v>6</v>
      </c>
      <c r="D505" t="n">
        <v>13</v>
      </c>
      <c r="E505" t="n">
        <v>8</v>
      </c>
      <c r="F505" t="n">
        <v>20241201</v>
      </c>
      <c r="G505" t="n">
        <v>0</v>
      </c>
      <c r="H505" t="n">
        <v>0</v>
      </c>
      <c r="I505" t="n">
        <v>0</v>
      </c>
      <c r="J505" t="n">
        <v>0</v>
      </c>
    </row>
    <row r="506">
      <c r="A506" t="inlineStr">
        <is>
          <t>1e7bd4a036c0a762bb369b790d09e027dd6c8e2e37ae021b26d77027aae7471d</t>
        </is>
      </c>
      <c r="B506" t="inlineStr">
        <is>
          <t>Visma Enterprise (BOOM)</t>
        </is>
      </c>
      <c r="C506" t="n">
        <v>6</v>
      </c>
      <c r="D506" t="n">
        <v>13</v>
      </c>
      <c r="E506" t="n">
        <v>8</v>
      </c>
      <c r="F506" t="n">
        <v>20240101</v>
      </c>
      <c r="G506" t="n">
        <v>0</v>
      </c>
      <c r="H506" t="n">
        <v>0</v>
      </c>
      <c r="I506" t="n">
        <v>0</v>
      </c>
      <c r="J506" t="n">
        <v>0</v>
      </c>
    </row>
    <row r="507">
      <c r="A507" t="inlineStr">
        <is>
          <t>196a02072b9abed3806be6324cb78e16bb584dbcc9094c190a1fcbbc9b4ba8c4</t>
        </is>
      </c>
      <c r="B507" t="inlineStr">
        <is>
          <t>Visma Enterprise (BOOM)</t>
        </is>
      </c>
      <c r="C507" t="n">
        <v>6</v>
      </c>
      <c r="D507" t="n">
        <v>13</v>
      </c>
      <c r="E507" t="n">
        <v>8</v>
      </c>
      <c r="F507" t="n">
        <v>20240201</v>
      </c>
      <c r="G507" t="n">
        <v>732</v>
      </c>
      <c r="H507" t="n">
        <v>-732</v>
      </c>
      <c r="I507" t="n">
        <v>0</v>
      </c>
      <c r="J507" t="n">
        <v>-732</v>
      </c>
    </row>
    <row r="508">
      <c r="A508" t="inlineStr">
        <is>
          <t>3f1a3d5c00f3bbc230bc5c1bca02913eb91ac9c0a466df4c3e5ed640c95a97a4</t>
        </is>
      </c>
      <c r="B508" t="inlineStr">
        <is>
          <t>Visma Enterprise (BOOM)</t>
        </is>
      </c>
      <c r="C508" t="n">
        <v>6</v>
      </c>
      <c r="D508" t="n">
        <v>13</v>
      </c>
      <c r="E508" t="n">
        <v>8</v>
      </c>
      <c r="F508" t="n">
        <v>20240301</v>
      </c>
      <c r="G508" t="n">
        <v>0</v>
      </c>
      <c r="H508" t="n">
        <v>0</v>
      </c>
      <c r="I508" t="n">
        <v>0</v>
      </c>
      <c r="J508" t="n">
        <v>0</v>
      </c>
    </row>
    <row r="509">
      <c r="A509" t="inlineStr">
        <is>
          <t>f96e34fb288cc084e01b37bef96620eb70e517d56f3548eded93908d43f95a5f</t>
        </is>
      </c>
      <c r="B509" t="inlineStr">
        <is>
          <t>Visma Enterprise (BOOM)</t>
        </is>
      </c>
      <c r="C509" t="n">
        <v>6</v>
      </c>
      <c r="D509" t="n">
        <v>13</v>
      </c>
      <c r="E509" t="n">
        <v>8</v>
      </c>
      <c r="F509" t="n">
        <v>20240401</v>
      </c>
      <c r="G509" t="n">
        <v>1098</v>
      </c>
      <c r="H509" t="n">
        <v>-1098</v>
      </c>
      <c r="I509" t="n">
        <v>0</v>
      </c>
      <c r="J509" t="n">
        <v>-1098</v>
      </c>
    </row>
    <row r="510">
      <c r="A510" t="inlineStr">
        <is>
          <t>446af6579ed0d7b13ddc9cbfa19b8769c1775dec686ea7f2cd39fe0ef400681e</t>
        </is>
      </c>
      <c r="B510" t="inlineStr">
        <is>
          <t>Visma Enterprise (BOOM)</t>
        </is>
      </c>
      <c r="C510" t="n">
        <v>6</v>
      </c>
      <c r="D510" t="n">
        <v>13</v>
      </c>
      <c r="E510" t="n">
        <v>8</v>
      </c>
      <c r="F510" t="n">
        <v>20240501</v>
      </c>
      <c r="G510" t="n">
        <v>366</v>
      </c>
      <c r="H510" t="n">
        <v>-366</v>
      </c>
      <c r="I510" t="n">
        <v>0</v>
      </c>
      <c r="J510" t="n">
        <v>-366</v>
      </c>
    </row>
    <row r="511">
      <c r="A511" t="inlineStr">
        <is>
          <t>3b53a51ddb3c1d4d2040cca977dd460509f917d816c0a6b43ee3adfe7889f8f4</t>
        </is>
      </c>
      <c r="B511" t="inlineStr">
        <is>
          <t>Visma Enterprise (BOOM)</t>
        </is>
      </c>
      <c r="C511" t="n">
        <v>6</v>
      </c>
      <c r="D511" t="n">
        <v>13</v>
      </c>
      <c r="E511" t="n">
        <v>8</v>
      </c>
      <c r="F511" t="n">
        <v>20240601</v>
      </c>
      <c r="G511" t="n">
        <v>0</v>
      </c>
      <c r="H511" t="n">
        <v>0</v>
      </c>
      <c r="I511" t="n">
        <v>0</v>
      </c>
      <c r="J511" t="n">
        <v>0</v>
      </c>
    </row>
    <row r="512">
      <c r="A512" t="inlineStr">
        <is>
          <t>d80b1ea635a893a0acc9e3d401a9fbaa87c441506ec4a8c1d81c4a70017710a0</t>
        </is>
      </c>
      <c r="B512" t="inlineStr">
        <is>
          <t>Visma Enterprise (BOOM)</t>
        </is>
      </c>
      <c r="C512" t="n">
        <v>6</v>
      </c>
      <c r="D512" t="n">
        <v>13</v>
      </c>
      <c r="E512" t="n">
        <v>8</v>
      </c>
      <c r="F512" t="n">
        <v>20240701</v>
      </c>
      <c r="G512" t="n">
        <v>366</v>
      </c>
      <c r="H512" t="n">
        <v>-366</v>
      </c>
      <c r="I512" t="n">
        <v>0</v>
      </c>
      <c r="J512" t="n">
        <v>-366</v>
      </c>
    </row>
    <row r="513">
      <c r="A513" t="inlineStr">
        <is>
          <t>6c28f0335002b2521ad829e364a01ce5523cb64257255ee87a9084eb30f7f9a1</t>
        </is>
      </c>
      <c r="B513" t="inlineStr">
        <is>
          <t>Visma Enterprise (BOOM)</t>
        </is>
      </c>
      <c r="C513" t="n">
        <v>6</v>
      </c>
      <c r="D513" t="n">
        <v>13</v>
      </c>
      <c r="E513" t="n">
        <v>8</v>
      </c>
      <c r="F513" t="n">
        <v>20240801</v>
      </c>
      <c r="G513" t="n">
        <v>366</v>
      </c>
      <c r="H513" t="n">
        <v>-366</v>
      </c>
      <c r="I513" t="n">
        <v>0</v>
      </c>
      <c r="J513" t="n">
        <v>-366</v>
      </c>
    </row>
    <row r="514">
      <c r="A514" t="inlineStr">
        <is>
          <t>858273584790d8affc7c01125201883367931e264c12390565966cc6bb29646c</t>
        </is>
      </c>
      <c r="B514" t="inlineStr">
        <is>
          <t>Visma Enterprise (BOOM)</t>
        </is>
      </c>
      <c r="C514" t="n">
        <v>6</v>
      </c>
      <c r="D514" t="n">
        <v>13</v>
      </c>
      <c r="E514" t="n">
        <v>8</v>
      </c>
      <c r="F514" t="n">
        <v>20240901</v>
      </c>
      <c r="G514" t="n">
        <v>0</v>
      </c>
      <c r="H514" t="n">
        <v>0</v>
      </c>
      <c r="I514" t="n">
        <v>0</v>
      </c>
      <c r="J514" t="n">
        <v>0</v>
      </c>
    </row>
    <row r="515">
      <c r="A515" t="inlineStr">
        <is>
          <t>edba3f0162f7111cbfb3032ac81fad81162136db40939a8e63e0f67f12ed8c27</t>
        </is>
      </c>
      <c r="B515" t="inlineStr">
        <is>
          <t>Visma Enterprise (BOOM)</t>
        </is>
      </c>
      <c r="C515" t="n">
        <v>6</v>
      </c>
      <c r="D515" t="n">
        <v>13</v>
      </c>
      <c r="E515" t="n">
        <v>8</v>
      </c>
      <c r="F515" t="n">
        <v>20241001</v>
      </c>
      <c r="G515" t="n">
        <v>0</v>
      </c>
      <c r="H515" t="n">
        <v>0</v>
      </c>
      <c r="I515" t="n">
        <v>0</v>
      </c>
      <c r="J515" t="n">
        <v>0</v>
      </c>
    </row>
    <row r="516">
      <c r="A516" t="inlineStr">
        <is>
          <t>2f56fc947afc83620316554d6f8147c8354220d27365f0b376360257899df5a0</t>
        </is>
      </c>
      <c r="B516" t="inlineStr">
        <is>
          <t>Visma Enterprise (BOOM)</t>
        </is>
      </c>
      <c r="C516" t="n">
        <v>6</v>
      </c>
      <c r="D516" t="n">
        <v>13</v>
      </c>
      <c r="E516" t="n">
        <v>8</v>
      </c>
      <c r="F516" t="n">
        <v>20241101</v>
      </c>
      <c r="G516" t="n">
        <v>0</v>
      </c>
      <c r="H516" t="n">
        <v>0</v>
      </c>
      <c r="I516" t="n">
        <v>0</v>
      </c>
      <c r="J516" t="n">
        <v>0</v>
      </c>
    </row>
    <row r="517">
      <c r="A517" t="inlineStr">
        <is>
          <t>3f85831c5f5cdeeb80044ccc922acce3b5ebcd818cf3aa6eb5cbdcaa4eb0dd66</t>
        </is>
      </c>
      <c r="B517" t="inlineStr">
        <is>
          <t>Visma Enterprise (BOOM)</t>
        </is>
      </c>
      <c r="C517" t="n">
        <v>6</v>
      </c>
      <c r="D517" t="n">
        <v>13</v>
      </c>
      <c r="E517" t="n">
        <v>8</v>
      </c>
      <c r="F517" t="n">
        <v>20241201</v>
      </c>
      <c r="G517" t="n">
        <v>0</v>
      </c>
      <c r="H517" t="n">
        <v>0</v>
      </c>
      <c r="I517" t="n">
        <v>0</v>
      </c>
      <c r="J517" t="n">
        <v>0</v>
      </c>
    </row>
    <row r="518">
      <c r="A518" t="inlineStr">
        <is>
          <t>44fd4db04752cd28393787f85f01a708aaaf9110c3ce53ff3bfd6af66987a294</t>
        </is>
      </c>
      <c r="B518" t="inlineStr">
        <is>
          <t>Visma Enterprise (BOOM)</t>
        </is>
      </c>
      <c r="C518" t="n">
        <v>6</v>
      </c>
      <c r="D518" t="n">
        <v>13</v>
      </c>
      <c r="E518" t="n">
        <v>8</v>
      </c>
      <c r="F518" t="n">
        <v>20240101</v>
      </c>
      <c r="G518" t="n">
        <v>0</v>
      </c>
      <c r="H518" t="n">
        <v>0</v>
      </c>
      <c r="I518" t="n">
        <v>0</v>
      </c>
      <c r="J518" t="n">
        <v>0</v>
      </c>
    </row>
    <row r="519">
      <c r="A519" t="inlineStr">
        <is>
          <t>ec13a02e993fa8f6d217b3de15d26064a82e72027505329ba29fb09c02bd8507</t>
        </is>
      </c>
      <c r="B519" t="inlineStr">
        <is>
          <t>Visma Enterprise (BOOM)</t>
        </is>
      </c>
      <c r="C519" t="n">
        <v>6</v>
      </c>
      <c r="D519" t="n">
        <v>13</v>
      </c>
      <c r="E519" t="n">
        <v>8</v>
      </c>
      <c r="F519" t="n">
        <v>20240201</v>
      </c>
      <c r="G519" t="n">
        <v>-732</v>
      </c>
      <c r="H519" t="n">
        <v>732</v>
      </c>
      <c r="I519" t="n">
        <v>0</v>
      </c>
      <c r="J519" t="n">
        <v>732</v>
      </c>
    </row>
    <row r="520">
      <c r="A520" t="inlineStr">
        <is>
          <t>6c1e5714535bfd56052ffedfba5cc42509a485fb3065a2aaa148705c664edcf6</t>
        </is>
      </c>
      <c r="B520" t="inlineStr">
        <is>
          <t>Visma Enterprise (BOOM)</t>
        </is>
      </c>
      <c r="C520" t="n">
        <v>6</v>
      </c>
      <c r="D520" t="n">
        <v>13</v>
      </c>
      <c r="E520" t="n">
        <v>8</v>
      </c>
      <c r="F520" t="n">
        <v>20240301</v>
      </c>
      <c r="G520" t="n">
        <v>0</v>
      </c>
      <c r="H520" t="n">
        <v>0</v>
      </c>
      <c r="I520" t="n">
        <v>0</v>
      </c>
      <c r="J520" t="n">
        <v>0</v>
      </c>
    </row>
    <row r="521">
      <c r="A521" t="inlineStr">
        <is>
          <t>9701f45ddac9216ce837854629e0fa01bd4fb747f8d411e50f1e08378f359d9a</t>
        </is>
      </c>
      <c r="B521" t="inlineStr">
        <is>
          <t>Visma Enterprise (BOOM)</t>
        </is>
      </c>
      <c r="C521" t="n">
        <v>6</v>
      </c>
      <c r="D521" t="n">
        <v>13</v>
      </c>
      <c r="E521" t="n">
        <v>8</v>
      </c>
      <c r="F521" t="n">
        <v>20240401</v>
      </c>
      <c r="G521" t="n">
        <v>-1098</v>
      </c>
      <c r="H521" t="n">
        <v>1098</v>
      </c>
      <c r="I521" t="n">
        <v>0</v>
      </c>
      <c r="J521" t="n">
        <v>1098</v>
      </c>
    </row>
    <row r="522">
      <c r="A522" t="inlineStr">
        <is>
          <t>0d2f738b10d21c7ed64790a59e1316d7c665cb0d44518a96d4b5c70302d1e75b</t>
        </is>
      </c>
      <c r="B522" t="inlineStr">
        <is>
          <t>Visma Enterprise (BOOM)</t>
        </is>
      </c>
      <c r="C522" t="n">
        <v>6</v>
      </c>
      <c r="D522" t="n">
        <v>13</v>
      </c>
      <c r="E522" t="n">
        <v>8</v>
      </c>
      <c r="F522" t="n">
        <v>20240501</v>
      </c>
      <c r="G522" t="n">
        <v>-366</v>
      </c>
      <c r="H522" t="n">
        <v>366</v>
      </c>
      <c r="I522" t="n">
        <v>0</v>
      </c>
      <c r="J522" t="n">
        <v>366</v>
      </c>
    </row>
    <row r="523">
      <c r="A523" t="inlineStr">
        <is>
          <t>abbfb683783648bb1f5b6cf63a18ab443ab55e56cc69844d50e7dc90a6af691d</t>
        </is>
      </c>
      <c r="B523" t="inlineStr">
        <is>
          <t>Visma Enterprise (BOOM)</t>
        </is>
      </c>
      <c r="C523" t="n">
        <v>6</v>
      </c>
      <c r="D523" t="n">
        <v>13</v>
      </c>
      <c r="E523" t="n">
        <v>8</v>
      </c>
      <c r="F523" t="n">
        <v>20240601</v>
      </c>
      <c r="G523" t="n">
        <v>0</v>
      </c>
      <c r="H523" t="n">
        <v>0</v>
      </c>
      <c r="I523" t="n">
        <v>0</v>
      </c>
      <c r="J523" t="n">
        <v>0</v>
      </c>
    </row>
    <row r="524">
      <c r="A524" t="inlineStr">
        <is>
          <t>fda40bfe212f2105c2e4e7c9b95221cd41442d65b53b319e9cc3ca8694fe8412</t>
        </is>
      </c>
      <c r="B524" t="inlineStr">
        <is>
          <t>Visma Enterprise (BOOM)</t>
        </is>
      </c>
      <c r="C524" t="n">
        <v>6</v>
      </c>
      <c r="D524" t="n">
        <v>13</v>
      </c>
      <c r="E524" t="n">
        <v>8</v>
      </c>
      <c r="F524" t="n">
        <v>20240701</v>
      </c>
      <c r="G524" t="n">
        <v>-366</v>
      </c>
      <c r="H524" t="n">
        <v>366</v>
      </c>
      <c r="I524" t="n">
        <v>0</v>
      </c>
      <c r="J524" t="n">
        <v>366</v>
      </c>
    </row>
    <row r="525">
      <c r="A525" t="inlineStr">
        <is>
          <t>ad08a330b8c2f6084f08c98c3c009aac86f8a35d03f163e8e1195ce1b39ba9d3</t>
        </is>
      </c>
      <c r="B525" t="inlineStr">
        <is>
          <t>Visma Enterprise (BOOM)</t>
        </is>
      </c>
      <c r="C525" t="n">
        <v>6</v>
      </c>
      <c r="D525" t="n">
        <v>13</v>
      </c>
      <c r="E525" t="n">
        <v>8</v>
      </c>
      <c r="F525" t="n">
        <v>20240801</v>
      </c>
      <c r="G525" t="n">
        <v>-366</v>
      </c>
      <c r="H525" t="n">
        <v>366</v>
      </c>
      <c r="I525" t="n">
        <v>0</v>
      </c>
      <c r="J525" t="n">
        <v>366</v>
      </c>
    </row>
    <row r="526">
      <c r="A526" t="inlineStr">
        <is>
          <t>4ee0b6ab055aca102dc590bd63e05c4cbda16df52490ba4e655297bde92eb873</t>
        </is>
      </c>
      <c r="B526" t="inlineStr">
        <is>
          <t>Visma Enterprise (BOOM)</t>
        </is>
      </c>
      <c r="C526" t="n">
        <v>6</v>
      </c>
      <c r="D526" t="n">
        <v>13</v>
      </c>
      <c r="E526" t="n">
        <v>8</v>
      </c>
      <c r="F526" t="n">
        <v>20240901</v>
      </c>
      <c r="G526" t="n">
        <v>0</v>
      </c>
      <c r="H526" t="n">
        <v>0</v>
      </c>
      <c r="I526" t="n">
        <v>0</v>
      </c>
      <c r="J526" t="n">
        <v>0</v>
      </c>
    </row>
    <row r="527">
      <c r="A527" t="inlineStr">
        <is>
          <t>8d378e125bf187caa34af9a0d360141b8a631f0860de157213559e2b6ab6cc51</t>
        </is>
      </c>
      <c r="B527" t="inlineStr">
        <is>
          <t>Visma Enterprise (BOOM)</t>
        </is>
      </c>
      <c r="C527" t="n">
        <v>6</v>
      </c>
      <c r="D527" t="n">
        <v>13</v>
      </c>
      <c r="E527" t="n">
        <v>8</v>
      </c>
      <c r="F527" t="n">
        <v>20241001</v>
      </c>
      <c r="G527" t="n">
        <v>0</v>
      </c>
      <c r="H527" t="n">
        <v>0</v>
      </c>
      <c r="I527" t="n">
        <v>0</v>
      </c>
      <c r="J527" t="n">
        <v>0</v>
      </c>
    </row>
    <row r="528">
      <c r="A528" t="inlineStr">
        <is>
          <t>0f3ed5f5560a25627bb79c073b36ec776fa0ee9c0db28bd59a4b4d0250386675</t>
        </is>
      </c>
      <c r="B528" t="inlineStr">
        <is>
          <t>Visma Enterprise (BOOM)</t>
        </is>
      </c>
      <c r="C528" t="n">
        <v>6</v>
      </c>
      <c r="D528" t="n">
        <v>13</v>
      </c>
      <c r="E528" t="n">
        <v>8</v>
      </c>
      <c r="F528" t="n">
        <v>20241101</v>
      </c>
      <c r="G528" t="n">
        <v>0</v>
      </c>
      <c r="H528" t="n">
        <v>0</v>
      </c>
      <c r="I528" t="n">
        <v>0</v>
      </c>
      <c r="J528" t="n">
        <v>0</v>
      </c>
    </row>
    <row r="529">
      <c r="A529" t="inlineStr">
        <is>
          <t>2498aae75d253434c9682c6068a89eaaeb61c64fcda025d6ceddfe5e44a732f2</t>
        </is>
      </c>
      <c r="B529" t="inlineStr">
        <is>
          <t>Visma Enterprise (BOOM)</t>
        </is>
      </c>
      <c r="C529" t="n">
        <v>6</v>
      </c>
      <c r="D529" t="n">
        <v>13</v>
      </c>
      <c r="E529" t="n">
        <v>8</v>
      </c>
      <c r="F529" t="n">
        <v>20241201</v>
      </c>
      <c r="G529" t="n">
        <v>0</v>
      </c>
      <c r="H529" t="n">
        <v>0</v>
      </c>
      <c r="I529" t="n">
        <v>0</v>
      </c>
      <c r="J529" t="n">
        <v>0</v>
      </c>
    </row>
    <row r="530">
      <c r="A530" t="inlineStr">
        <is>
          <t>3aaea94d9e5faeab3d3601eec89a76a40a9ccfae3df6857aede2edc49c1f3674</t>
        </is>
      </c>
      <c r="B530" t="inlineStr">
        <is>
          <t>Visma Enterprise (BOOM)</t>
        </is>
      </c>
      <c r="C530" t="n">
        <v>6</v>
      </c>
      <c r="D530" t="n">
        <v>13</v>
      </c>
      <c r="E530" t="n">
        <v>8</v>
      </c>
      <c r="F530" t="n">
        <v>20240101</v>
      </c>
      <c r="G530" t="n">
        <v>786.64</v>
      </c>
      <c r="H530" t="n">
        <v>-786.64</v>
      </c>
      <c r="I530" t="n">
        <v>0</v>
      </c>
      <c r="J530" t="n">
        <v>-786.64</v>
      </c>
    </row>
    <row r="531">
      <c r="A531" t="inlineStr">
        <is>
          <t>95ef5981886fb6b279cc888584fd33cd71384338849b6ad08fb9f2ae59493f30</t>
        </is>
      </c>
      <c r="B531" t="inlineStr">
        <is>
          <t>Visma Enterprise (BOOM)</t>
        </is>
      </c>
      <c r="C531" t="n">
        <v>6</v>
      </c>
      <c r="D531" t="n">
        <v>13</v>
      </c>
      <c r="E531" t="n">
        <v>8</v>
      </c>
      <c r="F531" t="n">
        <v>20240201</v>
      </c>
      <c r="G531" t="n">
        <v>0</v>
      </c>
      <c r="H531" t="n">
        <v>0</v>
      </c>
      <c r="I531" t="n">
        <v>0</v>
      </c>
      <c r="J531" t="n">
        <v>0</v>
      </c>
    </row>
    <row r="532">
      <c r="A532" t="inlineStr">
        <is>
          <t>debf309b9af1af7eae3e79f98868f2bd638037455c90ad1653024d0b8f97e6e3</t>
        </is>
      </c>
      <c r="B532" t="inlineStr">
        <is>
          <t>Visma Enterprise (BOOM)</t>
        </is>
      </c>
      <c r="C532" t="n">
        <v>6</v>
      </c>
      <c r="D532" t="n">
        <v>13</v>
      </c>
      <c r="E532" t="n">
        <v>8</v>
      </c>
      <c r="F532" t="n">
        <v>20240301</v>
      </c>
      <c r="G532" t="n">
        <v>0</v>
      </c>
      <c r="H532" t="n">
        <v>0</v>
      </c>
      <c r="I532" t="n">
        <v>0</v>
      </c>
      <c r="J532" t="n">
        <v>0</v>
      </c>
    </row>
    <row r="533">
      <c r="A533" t="inlineStr">
        <is>
          <t>5d105b214733278df6f915f7f6b796ba22cebd20369b670a079eaa2437d752e1</t>
        </is>
      </c>
      <c r="B533" t="inlineStr">
        <is>
          <t>Visma Enterprise (BOOM)</t>
        </is>
      </c>
      <c r="C533" t="n">
        <v>6</v>
      </c>
      <c r="D533" t="n">
        <v>13</v>
      </c>
      <c r="E533" t="n">
        <v>8</v>
      </c>
      <c r="F533" t="n">
        <v>20240401</v>
      </c>
      <c r="G533" t="n">
        <v>0</v>
      </c>
      <c r="H533" t="n">
        <v>0</v>
      </c>
      <c r="I533" t="n">
        <v>0</v>
      </c>
      <c r="J533" t="n">
        <v>0</v>
      </c>
    </row>
    <row r="534">
      <c r="A534" t="inlineStr">
        <is>
          <t>871f3ecf19c2a4cac9dfd37938e2dce9141f25aa1903caa525095c28ca57b5dd</t>
        </is>
      </c>
      <c r="B534" t="inlineStr">
        <is>
          <t>Visma Enterprise (BOOM)</t>
        </is>
      </c>
      <c r="C534" t="n">
        <v>6</v>
      </c>
      <c r="D534" t="n">
        <v>13</v>
      </c>
      <c r="E534" t="n">
        <v>8</v>
      </c>
      <c r="F534" t="n">
        <v>20240501</v>
      </c>
      <c r="G534" t="n">
        <v>0</v>
      </c>
      <c r="H534" t="n">
        <v>0</v>
      </c>
      <c r="I534" t="n">
        <v>0</v>
      </c>
      <c r="J534" t="n">
        <v>0</v>
      </c>
    </row>
    <row r="535">
      <c r="A535" t="inlineStr">
        <is>
          <t>7f21d8a78a96a9100cb6cdc2d397d8f34f65ec6ba7c40433667325c22e063a5d</t>
        </is>
      </c>
      <c r="B535" t="inlineStr">
        <is>
          <t>Visma Enterprise (BOOM)</t>
        </is>
      </c>
      <c r="C535" t="n">
        <v>6</v>
      </c>
      <c r="D535" t="n">
        <v>13</v>
      </c>
      <c r="E535" t="n">
        <v>8</v>
      </c>
      <c r="F535" t="n">
        <v>20240601</v>
      </c>
      <c r="G535" t="n">
        <v>0</v>
      </c>
      <c r="H535" t="n">
        <v>0</v>
      </c>
      <c r="I535" t="n">
        <v>0</v>
      </c>
      <c r="J535" t="n">
        <v>0</v>
      </c>
    </row>
    <row r="536">
      <c r="A536" t="inlineStr">
        <is>
          <t>0cdf8fbb9758d3fbfb5b080b53fd1cecf43abf9841c76c3f32ed57352a9c8f29</t>
        </is>
      </c>
      <c r="B536" t="inlineStr">
        <is>
          <t>Visma Enterprise (BOOM)</t>
        </is>
      </c>
      <c r="C536" t="n">
        <v>6</v>
      </c>
      <c r="D536" t="n">
        <v>13</v>
      </c>
      <c r="E536" t="n">
        <v>8</v>
      </c>
      <c r="F536" t="n">
        <v>20240701</v>
      </c>
      <c r="G536" t="n">
        <v>0</v>
      </c>
      <c r="H536" t="n">
        <v>0</v>
      </c>
      <c r="I536" t="n">
        <v>0</v>
      </c>
      <c r="J536" t="n">
        <v>0</v>
      </c>
    </row>
    <row r="537">
      <c r="A537" t="inlineStr">
        <is>
          <t>937d0739150c0e57ad4da92f87989afecb58f00c53ca6dec012322ad391a0b26</t>
        </is>
      </c>
      <c r="B537" t="inlineStr">
        <is>
          <t>Visma Enterprise (BOOM)</t>
        </is>
      </c>
      <c r="C537" t="n">
        <v>6</v>
      </c>
      <c r="D537" t="n">
        <v>13</v>
      </c>
      <c r="E537" t="n">
        <v>8</v>
      </c>
      <c r="F537" t="n">
        <v>20240801</v>
      </c>
      <c r="G537" t="n">
        <v>0</v>
      </c>
      <c r="H537" t="n">
        <v>0</v>
      </c>
      <c r="I537" t="n">
        <v>0</v>
      </c>
      <c r="J537" t="n">
        <v>0</v>
      </c>
    </row>
    <row r="538">
      <c r="A538" t="inlineStr">
        <is>
          <t>636aec4e90ffbdf2f7cf66a1dde1fbc5d2664935254c396979899f9b1f072469</t>
        </is>
      </c>
      <c r="B538" t="inlineStr">
        <is>
          <t>Visma Enterprise (BOOM)</t>
        </is>
      </c>
      <c r="C538" t="n">
        <v>6</v>
      </c>
      <c r="D538" t="n">
        <v>13</v>
      </c>
      <c r="E538" t="n">
        <v>8</v>
      </c>
      <c r="F538" t="n">
        <v>20240901</v>
      </c>
      <c r="G538" t="n">
        <v>0</v>
      </c>
      <c r="H538" t="n">
        <v>0</v>
      </c>
      <c r="I538" t="n">
        <v>0</v>
      </c>
      <c r="J538" t="n">
        <v>0</v>
      </c>
    </row>
    <row r="539">
      <c r="A539" t="inlineStr">
        <is>
          <t>9d8787e2915b3dc4a0d7692e4a8f614310c880bf9423be2d7d06ac4cfeb6fd3b</t>
        </is>
      </c>
      <c r="B539" t="inlineStr">
        <is>
          <t>Visma Enterprise (BOOM)</t>
        </is>
      </c>
      <c r="C539" t="n">
        <v>6</v>
      </c>
      <c r="D539" t="n">
        <v>13</v>
      </c>
      <c r="E539" t="n">
        <v>8</v>
      </c>
      <c r="F539" t="n">
        <v>20241001</v>
      </c>
      <c r="G539" t="n">
        <v>0</v>
      </c>
      <c r="H539" t="n">
        <v>0</v>
      </c>
      <c r="I539" t="n">
        <v>0</v>
      </c>
      <c r="J539" t="n">
        <v>0</v>
      </c>
    </row>
    <row r="540">
      <c r="A540" t="inlineStr">
        <is>
          <t>4fb7638fedf3cf3ac7fa78b108c7c56f7e149032d9bcf3f75d19707118568b00</t>
        </is>
      </c>
      <c r="B540" t="inlineStr">
        <is>
          <t>Visma Enterprise (BOOM)</t>
        </is>
      </c>
      <c r="C540" t="n">
        <v>6</v>
      </c>
      <c r="D540" t="n">
        <v>13</v>
      </c>
      <c r="E540" t="n">
        <v>8</v>
      </c>
      <c r="F540" t="n">
        <v>20241101</v>
      </c>
      <c r="G540" t="n">
        <v>0</v>
      </c>
      <c r="H540" t="n">
        <v>0</v>
      </c>
      <c r="I540" t="n">
        <v>0</v>
      </c>
      <c r="J540" t="n">
        <v>0</v>
      </c>
    </row>
    <row r="541">
      <c r="A541" t="inlineStr">
        <is>
          <t>9ec24a40632ada142125553383c460a54d7c867b07d6324df0539ec392ff8f68</t>
        </is>
      </c>
      <c r="B541" t="inlineStr">
        <is>
          <t>Visma Enterprise (BOOM)</t>
        </is>
      </c>
      <c r="C541" t="n">
        <v>6</v>
      </c>
      <c r="D541" t="n">
        <v>13</v>
      </c>
      <c r="E541" t="n">
        <v>8</v>
      </c>
      <c r="F541" t="n">
        <v>20241201</v>
      </c>
      <c r="G541" t="n">
        <v>0</v>
      </c>
      <c r="H541" t="n">
        <v>0</v>
      </c>
      <c r="I541" t="n">
        <v>0</v>
      </c>
      <c r="J541" t="n">
        <v>0</v>
      </c>
    </row>
    <row r="542">
      <c r="A542" t="inlineStr">
        <is>
          <t>0a6f9b9cbf3bb2f0e8495e4fe77c0a808cee48873a3ab80eb459b5096e56b7ba</t>
        </is>
      </c>
      <c r="B542" t="inlineStr">
        <is>
          <t>Visma Enterprise (BOOM)</t>
        </is>
      </c>
      <c r="C542" t="n">
        <v>6</v>
      </c>
      <c r="D542" t="n">
        <v>13</v>
      </c>
      <c r="E542" t="n">
        <v>8</v>
      </c>
      <c r="F542" t="n">
        <v>20240101</v>
      </c>
      <c r="G542" t="n">
        <v>805.51</v>
      </c>
      <c r="H542" t="n">
        <v>-805.51</v>
      </c>
      <c r="I542" t="n">
        <v>1868</v>
      </c>
      <c r="J542" t="n">
        <v>-2673.51</v>
      </c>
    </row>
    <row r="543">
      <c r="A543" t="inlineStr">
        <is>
          <t>06397bca2d03db838ba09a8be576fa90373221e001c1072f39057ce297bd1489</t>
        </is>
      </c>
      <c r="B543" t="inlineStr">
        <is>
          <t>Visma Enterprise (BOOM)</t>
        </is>
      </c>
      <c r="C543" t="n">
        <v>6</v>
      </c>
      <c r="D543" t="n">
        <v>13</v>
      </c>
      <c r="E543" t="n">
        <v>8</v>
      </c>
      <c r="F543" t="n">
        <v>20240201</v>
      </c>
      <c r="G543" t="n">
        <v>0</v>
      </c>
      <c r="H543" t="n">
        <v>0</v>
      </c>
      <c r="I543" t="n">
        <v>1868</v>
      </c>
      <c r="J543" t="n">
        <v>-1868</v>
      </c>
    </row>
    <row r="544">
      <c r="A544" t="inlineStr">
        <is>
          <t>75402a35b04e256520a3a461d36187f00e40f8469a56bf4ec29cc18aa1ef4e91</t>
        </is>
      </c>
      <c r="B544" t="inlineStr">
        <is>
          <t>Visma Enterprise (BOOM)</t>
        </is>
      </c>
      <c r="C544" t="n">
        <v>6</v>
      </c>
      <c r="D544" t="n">
        <v>13</v>
      </c>
      <c r="E544" t="n">
        <v>8</v>
      </c>
      <c r="F544" t="n">
        <v>20240301</v>
      </c>
      <c r="G544" t="n">
        <v>0</v>
      </c>
      <c r="H544" t="n">
        <v>0</v>
      </c>
      <c r="I544" t="n">
        <v>1868</v>
      </c>
      <c r="J544" t="n">
        <v>-1868</v>
      </c>
    </row>
    <row r="545">
      <c r="A545" t="inlineStr">
        <is>
          <t>83d26a64d32f49db6f6aaf75ce985955f35bba250f3e15f2282063417d5d51b1</t>
        </is>
      </c>
      <c r="B545" t="inlineStr">
        <is>
          <t>Visma Enterprise (BOOM)</t>
        </is>
      </c>
      <c r="C545" t="n">
        <v>6</v>
      </c>
      <c r="D545" t="n">
        <v>13</v>
      </c>
      <c r="E545" t="n">
        <v>8</v>
      </c>
      <c r="F545" t="n">
        <v>20240401</v>
      </c>
      <c r="G545" t="n">
        <v>5108.25</v>
      </c>
      <c r="H545" t="n">
        <v>-5108.25</v>
      </c>
      <c r="I545" t="n">
        <v>1868</v>
      </c>
      <c r="J545" t="n">
        <v>-6976.25</v>
      </c>
    </row>
    <row r="546">
      <c r="A546" t="inlineStr">
        <is>
          <t>41f306f84780f510832004a0060c42d10ccafce7d8a7fdbd586f05152b6f41a6</t>
        </is>
      </c>
      <c r="B546" t="inlineStr">
        <is>
          <t>Visma Enterprise (BOOM)</t>
        </is>
      </c>
      <c r="C546" t="n">
        <v>6</v>
      </c>
      <c r="D546" t="n">
        <v>13</v>
      </c>
      <c r="E546" t="n">
        <v>8</v>
      </c>
      <c r="F546" t="n">
        <v>20240501</v>
      </c>
      <c r="G546" t="n">
        <v>1999.8</v>
      </c>
      <c r="H546" t="n">
        <v>-1999.8</v>
      </c>
      <c r="I546" t="n">
        <v>1868</v>
      </c>
      <c r="J546" t="n">
        <v>-3867.8</v>
      </c>
    </row>
    <row r="547">
      <c r="A547" t="inlineStr">
        <is>
          <t>a71b5f103f0a388d3cf553d00a03ea965a38c94d84ceadfe5cfd738c16822834</t>
        </is>
      </c>
      <c r="B547" t="inlineStr">
        <is>
          <t>Visma Enterprise (BOOM)</t>
        </is>
      </c>
      <c r="C547" t="n">
        <v>6</v>
      </c>
      <c r="D547" t="n">
        <v>13</v>
      </c>
      <c r="E547" t="n">
        <v>8</v>
      </c>
      <c r="F547" t="n">
        <v>20240601</v>
      </c>
      <c r="G547" t="n">
        <v>2043.3</v>
      </c>
      <c r="H547" t="n">
        <v>-2043.3</v>
      </c>
      <c r="I547" t="n">
        <v>1868</v>
      </c>
      <c r="J547" t="n">
        <v>-3911.3</v>
      </c>
    </row>
    <row r="548">
      <c r="A548" t="inlineStr">
        <is>
          <t>de04a6fc9446797a8c8c2f68813978c54f1f95bb1100d2e0a3e007c492e316e6</t>
        </is>
      </c>
      <c r="B548" t="inlineStr">
        <is>
          <t>Visma Enterprise (BOOM)</t>
        </is>
      </c>
      <c r="C548" t="n">
        <v>6</v>
      </c>
      <c r="D548" t="n">
        <v>13</v>
      </c>
      <c r="E548" t="n">
        <v>8</v>
      </c>
      <c r="F548" t="n">
        <v>20240701</v>
      </c>
      <c r="G548" t="n">
        <v>0</v>
      </c>
      <c r="H548" t="n">
        <v>0</v>
      </c>
      <c r="I548" t="n">
        <v>1868</v>
      </c>
      <c r="J548" t="n">
        <v>-1868</v>
      </c>
    </row>
    <row r="549">
      <c r="A549" t="inlineStr">
        <is>
          <t>95bf83740e2062d31936a89dfcc93fddccbd956f7ef2e3742da89d97ce8e0412</t>
        </is>
      </c>
      <c r="B549" t="inlineStr">
        <is>
          <t>Visma Enterprise (BOOM)</t>
        </is>
      </c>
      <c r="C549" t="n">
        <v>6</v>
      </c>
      <c r="D549" t="n">
        <v>13</v>
      </c>
      <c r="E549" t="n">
        <v>8</v>
      </c>
      <c r="F549" t="n">
        <v>20240801</v>
      </c>
      <c r="G549" t="n">
        <v>0</v>
      </c>
      <c r="H549" t="n">
        <v>0</v>
      </c>
      <c r="I549" t="n">
        <v>1868</v>
      </c>
      <c r="J549" t="n">
        <v>-1868</v>
      </c>
    </row>
    <row r="550">
      <c r="A550" t="inlineStr">
        <is>
          <t>f8be45ff62c38e6fd265daae0f1ce2cad2b1ce7caa211c116ac4889274748394</t>
        </is>
      </c>
      <c r="B550" t="inlineStr">
        <is>
          <t>Visma Enterprise (BOOM)</t>
        </is>
      </c>
      <c r="C550" t="n">
        <v>6</v>
      </c>
      <c r="D550" t="n">
        <v>13</v>
      </c>
      <c r="E550" t="n">
        <v>8</v>
      </c>
      <c r="F550" t="n">
        <v>20240901</v>
      </c>
      <c r="G550" t="n">
        <v>0</v>
      </c>
      <c r="H550" t="n">
        <v>0</v>
      </c>
      <c r="I550" t="n">
        <v>1868</v>
      </c>
      <c r="J550" t="n">
        <v>-1868</v>
      </c>
    </row>
    <row r="551">
      <c r="A551" t="inlineStr">
        <is>
          <t>da6f005467c0f4bca8f93d66d3ae6b86ec750682da2498d72464a1a326aac976</t>
        </is>
      </c>
      <c r="B551" t="inlineStr">
        <is>
          <t>Visma Enterprise (BOOM)</t>
        </is>
      </c>
      <c r="C551" t="n">
        <v>6</v>
      </c>
      <c r="D551" t="n">
        <v>13</v>
      </c>
      <c r="E551" t="n">
        <v>8</v>
      </c>
      <c r="F551" t="n">
        <v>20241001</v>
      </c>
      <c r="G551" t="n">
        <v>0</v>
      </c>
      <c r="H551" t="n">
        <v>0</v>
      </c>
      <c r="I551" t="n">
        <v>1868</v>
      </c>
      <c r="J551" t="n">
        <v>-1868</v>
      </c>
    </row>
    <row r="552">
      <c r="A552" t="inlineStr">
        <is>
          <t>3b75be32baee32ece6d39dc14c8c7a496d69792073e642cd0f15033def720a42</t>
        </is>
      </c>
      <c r="B552" t="inlineStr">
        <is>
          <t>Visma Enterprise (BOOM)</t>
        </is>
      </c>
      <c r="C552" t="n">
        <v>6</v>
      </c>
      <c r="D552" t="n">
        <v>13</v>
      </c>
      <c r="E552" t="n">
        <v>8</v>
      </c>
      <c r="F552" t="n">
        <v>20241101</v>
      </c>
      <c r="G552" t="n">
        <v>0</v>
      </c>
      <c r="H552" t="n">
        <v>0</v>
      </c>
      <c r="I552" t="n">
        <v>1868</v>
      </c>
      <c r="J552" t="n">
        <v>-1868</v>
      </c>
    </row>
    <row r="553">
      <c r="A553" t="inlineStr">
        <is>
          <t>69e2eead1b14ef94718b477c07bd80bf5faab6af77191528dc68c183942696d7</t>
        </is>
      </c>
      <c r="B553" t="inlineStr">
        <is>
          <t>Visma Enterprise (BOOM)</t>
        </is>
      </c>
      <c r="C553" t="n">
        <v>6</v>
      </c>
      <c r="D553" t="n">
        <v>13</v>
      </c>
      <c r="E553" t="n">
        <v>8</v>
      </c>
      <c r="F553" t="n">
        <v>20241201</v>
      </c>
      <c r="G553" t="n">
        <v>0</v>
      </c>
      <c r="H553" t="n">
        <v>0</v>
      </c>
      <c r="I553" t="n">
        <v>1452</v>
      </c>
      <c r="J553" t="n">
        <v>-1452</v>
      </c>
    </row>
    <row r="554">
      <c r="A554" t="inlineStr">
        <is>
          <t>9922f13fe5ee39aeb347160a6fe42c1f526161e9c3d6f409ef30d6a6cffdbbe3</t>
        </is>
      </c>
      <c r="B554" t="inlineStr">
        <is>
          <t>Visma Enterprise (BOOM)</t>
        </is>
      </c>
      <c r="C554" t="n">
        <v>6</v>
      </c>
      <c r="D554" t="n">
        <v>13</v>
      </c>
      <c r="E554" t="n">
        <v>8</v>
      </c>
      <c r="F554" t="n">
        <v>20240101</v>
      </c>
      <c r="G554" t="n">
        <v>7132.57</v>
      </c>
      <c r="H554" t="n">
        <v>-7132.57</v>
      </c>
      <c r="I554" t="n">
        <v>850</v>
      </c>
      <c r="J554" t="n">
        <v>-7982.57</v>
      </c>
    </row>
    <row r="555">
      <c r="A555" t="inlineStr">
        <is>
          <t>c46a88648f736ad62e31d816ea4429affae3ebd301571a5fff576b47fc7e4acd</t>
        </is>
      </c>
      <c r="B555" t="inlineStr">
        <is>
          <t>Visma Enterprise (BOOM)</t>
        </is>
      </c>
      <c r="C555" t="n">
        <v>6</v>
      </c>
      <c r="D555" t="n">
        <v>13</v>
      </c>
      <c r="E555" t="n">
        <v>8</v>
      </c>
      <c r="F555" t="n">
        <v>20240201</v>
      </c>
      <c r="G555" t="n">
        <v>0</v>
      </c>
      <c r="H555" t="n">
        <v>0</v>
      </c>
      <c r="I555" t="n">
        <v>850</v>
      </c>
      <c r="J555" t="n">
        <v>-850</v>
      </c>
    </row>
    <row r="556">
      <c r="A556" t="inlineStr">
        <is>
          <t>e4af6d5db9b401b711bb3e98243ef94246cddb63508cf9cc42d4a4d8293a277d</t>
        </is>
      </c>
      <c r="B556" t="inlineStr">
        <is>
          <t>Visma Enterprise (BOOM)</t>
        </is>
      </c>
      <c r="C556" t="n">
        <v>6</v>
      </c>
      <c r="D556" t="n">
        <v>13</v>
      </c>
      <c r="E556" t="n">
        <v>8</v>
      </c>
      <c r="F556" t="n">
        <v>20240301</v>
      </c>
      <c r="G556" t="n">
        <v>0</v>
      </c>
      <c r="H556" t="n">
        <v>0</v>
      </c>
      <c r="I556" t="n">
        <v>850</v>
      </c>
      <c r="J556" t="n">
        <v>-850</v>
      </c>
    </row>
    <row r="557">
      <c r="A557" t="inlineStr">
        <is>
          <t>a3c7bb2dd0c27fe957b05884666b5cc635dfad6a5a9fdf954d44a34796cd87a3</t>
        </is>
      </c>
      <c r="B557" t="inlineStr">
        <is>
          <t>Visma Enterprise (BOOM)</t>
        </is>
      </c>
      <c r="C557" t="n">
        <v>6</v>
      </c>
      <c r="D557" t="n">
        <v>13</v>
      </c>
      <c r="E557" t="n">
        <v>8</v>
      </c>
      <c r="F557" t="n">
        <v>20240401</v>
      </c>
      <c r="G557" t="n">
        <v>0</v>
      </c>
      <c r="H557" t="n">
        <v>0</v>
      </c>
      <c r="I557" t="n">
        <v>850</v>
      </c>
      <c r="J557" t="n">
        <v>-850</v>
      </c>
    </row>
    <row r="558">
      <c r="A558" t="inlineStr">
        <is>
          <t>3d9eb095dd8fbbd1d394292cb83f0de7685c728fed921de1cb6241b64b38aad0</t>
        </is>
      </c>
      <c r="B558" t="inlineStr">
        <is>
          <t>Visma Enterprise (BOOM)</t>
        </is>
      </c>
      <c r="C558" t="n">
        <v>6</v>
      </c>
      <c r="D558" t="n">
        <v>13</v>
      </c>
      <c r="E558" t="n">
        <v>8</v>
      </c>
      <c r="F558" t="n">
        <v>20240501</v>
      </c>
      <c r="G558" t="n">
        <v>0</v>
      </c>
      <c r="H558" t="n">
        <v>0</v>
      </c>
      <c r="I558" t="n">
        <v>850</v>
      </c>
      <c r="J558" t="n">
        <v>-850</v>
      </c>
    </row>
    <row r="559">
      <c r="A559" t="inlineStr">
        <is>
          <t>6dac01992a6760c409edbdc8b3b1822bc629119a2ccc4157fbae2d300b407564</t>
        </is>
      </c>
      <c r="B559" t="inlineStr">
        <is>
          <t>Visma Enterprise (BOOM)</t>
        </is>
      </c>
      <c r="C559" t="n">
        <v>6</v>
      </c>
      <c r="D559" t="n">
        <v>13</v>
      </c>
      <c r="E559" t="n">
        <v>8</v>
      </c>
      <c r="F559" t="n">
        <v>20240601</v>
      </c>
      <c r="G559" t="n">
        <v>0</v>
      </c>
      <c r="H559" t="n">
        <v>0</v>
      </c>
      <c r="I559" t="n">
        <v>850</v>
      </c>
      <c r="J559" t="n">
        <v>-850</v>
      </c>
    </row>
    <row r="560">
      <c r="A560" t="inlineStr">
        <is>
          <t>b0a2dcd44d95aaa7d559e4cc7ef2feb4d3d744b1d589397db3c907e3c72b633c</t>
        </is>
      </c>
      <c r="B560" t="inlineStr">
        <is>
          <t>Visma Enterprise (BOOM)</t>
        </is>
      </c>
      <c r="C560" t="n">
        <v>6</v>
      </c>
      <c r="D560" t="n">
        <v>13</v>
      </c>
      <c r="E560" t="n">
        <v>8</v>
      </c>
      <c r="F560" t="n">
        <v>20240701</v>
      </c>
      <c r="G560" t="n">
        <v>0</v>
      </c>
      <c r="H560" t="n">
        <v>0</v>
      </c>
      <c r="I560" t="n">
        <v>850</v>
      </c>
      <c r="J560" t="n">
        <v>-850</v>
      </c>
    </row>
    <row r="561">
      <c r="A561" t="inlineStr">
        <is>
          <t>85d0b8a1ce8417347fd834f6f2ad595463e9e75432f1c504dcec4082fc1c77bc</t>
        </is>
      </c>
      <c r="B561" t="inlineStr">
        <is>
          <t>Visma Enterprise (BOOM)</t>
        </is>
      </c>
      <c r="C561" t="n">
        <v>6</v>
      </c>
      <c r="D561" t="n">
        <v>13</v>
      </c>
      <c r="E561" t="n">
        <v>8</v>
      </c>
      <c r="F561" t="n">
        <v>20240801</v>
      </c>
      <c r="G561" t="n">
        <v>0</v>
      </c>
      <c r="H561" t="n">
        <v>0</v>
      </c>
      <c r="I561" t="n">
        <v>850</v>
      </c>
      <c r="J561" t="n">
        <v>-850</v>
      </c>
    </row>
    <row r="562">
      <c r="A562" t="inlineStr">
        <is>
          <t>fd11ad3847e82748694c31ec5630576e286197549b8e3ed5efb5d2e59ac3678f</t>
        </is>
      </c>
      <c r="B562" t="inlineStr">
        <is>
          <t>Visma Enterprise (BOOM)</t>
        </is>
      </c>
      <c r="C562" t="n">
        <v>6</v>
      </c>
      <c r="D562" t="n">
        <v>13</v>
      </c>
      <c r="E562" t="n">
        <v>8</v>
      </c>
      <c r="F562" t="n">
        <v>20240901</v>
      </c>
      <c r="G562" t="n">
        <v>0</v>
      </c>
      <c r="H562" t="n">
        <v>0</v>
      </c>
      <c r="I562" t="n">
        <v>850</v>
      </c>
      <c r="J562" t="n">
        <v>-850</v>
      </c>
    </row>
    <row r="563">
      <c r="A563" t="inlineStr">
        <is>
          <t>ba2821b9cfd8dae205a1e7282cc7ff20729da66cbf16a174c15ea48d2cf3ae25</t>
        </is>
      </c>
      <c r="B563" t="inlineStr">
        <is>
          <t>Visma Enterprise (BOOM)</t>
        </is>
      </c>
      <c r="C563" t="n">
        <v>6</v>
      </c>
      <c r="D563" t="n">
        <v>13</v>
      </c>
      <c r="E563" t="n">
        <v>8</v>
      </c>
      <c r="F563" t="n">
        <v>20241001</v>
      </c>
      <c r="G563" t="n">
        <v>0</v>
      </c>
      <c r="H563" t="n">
        <v>0</v>
      </c>
      <c r="I563" t="n">
        <v>850</v>
      </c>
      <c r="J563" t="n">
        <v>-850</v>
      </c>
    </row>
    <row r="564">
      <c r="A564" t="inlineStr">
        <is>
          <t>a1ee2424d2d1f714195590d1fe48ad0114b0d234b169cf72770a31acff0a1672</t>
        </is>
      </c>
      <c r="B564" t="inlineStr">
        <is>
          <t>Visma Enterprise (BOOM)</t>
        </is>
      </c>
      <c r="C564" t="n">
        <v>6</v>
      </c>
      <c r="D564" t="n">
        <v>13</v>
      </c>
      <c r="E564" t="n">
        <v>8</v>
      </c>
      <c r="F564" t="n">
        <v>20241101</v>
      </c>
      <c r="G564" t="n">
        <v>0</v>
      </c>
      <c r="H564" t="n">
        <v>0</v>
      </c>
      <c r="I564" t="n">
        <v>850</v>
      </c>
      <c r="J564" t="n">
        <v>-850</v>
      </c>
    </row>
    <row r="565">
      <c r="A565" t="inlineStr">
        <is>
          <t>18c4115969ff565c1dc21bcdd91b9f60c3b5a4388cd236bf7d4662eb6c4b0789</t>
        </is>
      </c>
      <c r="B565" t="inlineStr">
        <is>
          <t>Visma Enterprise (BOOM)</t>
        </is>
      </c>
      <c r="C565" t="n">
        <v>6</v>
      </c>
      <c r="D565" t="n">
        <v>13</v>
      </c>
      <c r="E565" t="n">
        <v>8</v>
      </c>
      <c r="F565" t="n">
        <v>20241201</v>
      </c>
      <c r="G565" t="n">
        <v>0</v>
      </c>
      <c r="H565" t="n">
        <v>0</v>
      </c>
      <c r="I565" t="n">
        <v>650</v>
      </c>
      <c r="J565" t="n">
        <v>-650</v>
      </c>
    </row>
    <row r="566">
      <c r="A566" t="inlineStr">
        <is>
          <t>51efca4344e95b97ee5ce5c71652f9ce143b4911c902f7415b25cde1d3fee33c</t>
        </is>
      </c>
      <c r="B566" t="inlineStr">
        <is>
          <t>Visma Enterprise (BOOM)</t>
        </is>
      </c>
      <c r="C566" t="n">
        <v>6</v>
      </c>
      <c r="D566" t="n">
        <v>13</v>
      </c>
      <c r="E566" t="n">
        <v>8</v>
      </c>
      <c r="F566" t="n">
        <v>20240101</v>
      </c>
      <c r="G566" t="n">
        <v>0</v>
      </c>
      <c r="H566" t="n">
        <v>0</v>
      </c>
      <c r="I566" t="n">
        <v>0</v>
      </c>
      <c r="J566" t="n">
        <v>0</v>
      </c>
    </row>
    <row r="567">
      <c r="A567" t="inlineStr">
        <is>
          <t>63da23afa6401e29288bb3f2afa8c9928164ea89dfb5e103dbcd9a8ddfdced73</t>
        </is>
      </c>
      <c r="B567" t="inlineStr">
        <is>
          <t>Visma Enterprise (BOOM)</t>
        </is>
      </c>
      <c r="C567" t="n">
        <v>6</v>
      </c>
      <c r="D567" t="n">
        <v>13</v>
      </c>
      <c r="E567" t="n">
        <v>8</v>
      </c>
      <c r="F567" t="n">
        <v>20240201</v>
      </c>
      <c r="G567" t="n">
        <v>0</v>
      </c>
      <c r="H567" t="n">
        <v>0</v>
      </c>
      <c r="I567" t="n">
        <v>0</v>
      </c>
      <c r="J567" t="n">
        <v>0</v>
      </c>
    </row>
    <row r="568">
      <c r="A568" t="inlineStr">
        <is>
          <t>0df11883bfa96e25c2ada62b01862926036d66ae8f717f4214fc693512dca74c</t>
        </is>
      </c>
      <c r="B568" t="inlineStr">
        <is>
          <t>Visma Enterprise (BOOM)</t>
        </is>
      </c>
      <c r="C568" t="n">
        <v>6</v>
      </c>
      <c r="D568" t="n">
        <v>13</v>
      </c>
      <c r="E568" t="n">
        <v>8</v>
      </c>
      <c r="F568" t="n">
        <v>20240301</v>
      </c>
      <c r="G568" t="n">
        <v>0</v>
      </c>
      <c r="H568" t="n">
        <v>0</v>
      </c>
      <c r="I568" t="n">
        <v>0</v>
      </c>
      <c r="J568" t="n">
        <v>0</v>
      </c>
    </row>
    <row r="569">
      <c r="A569" t="inlineStr">
        <is>
          <t>f9f4d9521b95f194ed36035bced11854c8db980da99d7a59a3bd90f0b5a06903</t>
        </is>
      </c>
      <c r="B569" t="inlineStr">
        <is>
          <t>Visma Enterprise (BOOM)</t>
        </is>
      </c>
      <c r="C569" t="n">
        <v>6</v>
      </c>
      <c r="D569" t="n">
        <v>13</v>
      </c>
      <c r="E569" t="n">
        <v>8</v>
      </c>
      <c r="F569" t="n">
        <v>20240401</v>
      </c>
      <c r="G569" t="n">
        <v>0</v>
      </c>
      <c r="H569" t="n">
        <v>0</v>
      </c>
      <c r="I569" t="n">
        <v>0</v>
      </c>
      <c r="J569" t="n">
        <v>0</v>
      </c>
    </row>
    <row r="570">
      <c r="A570" t="inlineStr">
        <is>
          <t>bf66fa1c3c9264a6fa966a954226e8a42b463aca6c99746a44d17cab13fcb1ed</t>
        </is>
      </c>
      <c r="B570" t="inlineStr">
        <is>
          <t>Visma Enterprise (BOOM)</t>
        </is>
      </c>
      <c r="C570" t="n">
        <v>6</v>
      </c>
      <c r="D570" t="n">
        <v>13</v>
      </c>
      <c r="E570" t="n">
        <v>8</v>
      </c>
      <c r="F570" t="n">
        <v>20240501</v>
      </c>
      <c r="G570" t="n">
        <v>0</v>
      </c>
      <c r="H570" t="n">
        <v>0</v>
      </c>
      <c r="I570" t="n">
        <v>0</v>
      </c>
      <c r="J570" t="n">
        <v>0</v>
      </c>
    </row>
    <row r="571">
      <c r="A571" t="inlineStr">
        <is>
          <t>a96cb5e01569123fcce482239c062b7099e2aac1bae25f7cf599c3bb54d30216</t>
        </is>
      </c>
      <c r="B571" t="inlineStr">
        <is>
          <t>Visma Enterprise (BOOM)</t>
        </is>
      </c>
      <c r="C571" t="n">
        <v>6</v>
      </c>
      <c r="D571" t="n">
        <v>13</v>
      </c>
      <c r="E571" t="n">
        <v>8</v>
      </c>
      <c r="F571" t="n">
        <v>20240601</v>
      </c>
      <c r="G571" t="n">
        <v>0</v>
      </c>
      <c r="H571" t="n">
        <v>0</v>
      </c>
      <c r="I571" t="n">
        <v>0</v>
      </c>
      <c r="J571" t="n">
        <v>0</v>
      </c>
    </row>
    <row r="572">
      <c r="A572" t="inlineStr">
        <is>
          <t>8346684939afc41e5e3d71943752057063d5f66aa4e666c0553a28d6c502462e</t>
        </is>
      </c>
      <c r="B572" t="inlineStr">
        <is>
          <t>Visma Enterprise (BOOM)</t>
        </is>
      </c>
      <c r="C572" t="n">
        <v>6</v>
      </c>
      <c r="D572" t="n">
        <v>13</v>
      </c>
      <c r="E572" t="n">
        <v>8</v>
      </c>
      <c r="F572" t="n">
        <v>20240701</v>
      </c>
      <c r="G572" t="n">
        <v>600</v>
      </c>
      <c r="H572" t="n">
        <v>-600</v>
      </c>
      <c r="I572" t="n">
        <v>0</v>
      </c>
      <c r="J572" t="n">
        <v>-600</v>
      </c>
    </row>
    <row r="573">
      <c r="A573" t="inlineStr">
        <is>
          <t>fd7686ba3dc942f8db6909624b24f0094b69b94b412aa8ad16006725a584f3d9</t>
        </is>
      </c>
      <c r="B573" t="inlineStr">
        <is>
          <t>Visma Enterprise (BOOM)</t>
        </is>
      </c>
      <c r="C573" t="n">
        <v>6</v>
      </c>
      <c r="D573" t="n">
        <v>13</v>
      </c>
      <c r="E573" t="n">
        <v>8</v>
      </c>
      <c r="F573" t="n">
        <v>20240801</v>
      </c>
      <c r="G573" t="n">
        <v>0</v>
      </c>
      <c r="H573" t="n">
        <v>0</v>
      </c>
      <c r="I573" t="n">
        <v>0</v>
      </c>
      <c r="J573" t="n">
        <v>0</v>
      </c>
    </row>
    <row r="574">
      <c r="A574" t="inlineStr">
        <is>
          <t>62e33a8a4d3f8bebf4d0fa736443db034b698830ac3c39c8aaeedb706fffd3a4</t>
        </is>
      </c>
      <c r="B574" t="inlineStr">
        <is>
          <t>Visma Enterprise (BOOM)</t>
        </is>
      </c>
      <c r="C574" t="n">
        <v>6</v>
      </c>
      <c r="D574" t="n">
        <v>13</v>
      </c>
      <c r="E574" t="n">
        <v>8</v>
      </c>
      <c r="F574" t="n">
        <v>20240901</v>
      </c>
      <c r="G574" t="n">
        <v>0</v>
      </c>
      <c r="H574" t="n">
        <v>0</v>
      </c>
      <c r="I574" t="n">
        <v>0</v>
      </c>
      <c r="J574" t="n">
        <v>0</v>
      </c>
    </row>
    <row r="575">
      <c r="A575" t="inlineStr">
        <is>
          <t>b0058efe1e5ae4baa97dcbf3712c0dfd0151c244bc002207da835c086e9d19de</t>
        </is>
      </c>
      <c r="B575" t="inlineStr">
        <is>
          <t>Visma Enterprise (BOOM)</t>
        </is>
      </c>
      <c r="C575" t="n">
        <v>6</v>
      </c>
      <c r="D575" t="n">
        <v>13</v>
      </c>
      <c r="E575" t="n">
        <v>8</v>
      </c>
      <c r="F575" t="n">
        <v>20241001</v>
      </c>
      <c r="G575" t="n">
        <v>0</v>
      </c>
      <c r="H575" t="n">
        <v>0</v>
      </c>
      <c r="I575" t="n">
        <v>0</v>
      </c>
      <c r="J575" t="n">
        <v>0</v>
      </c>
    </row>
    <row r="576">
      <c r="A576" t="inlineStr">
        <is>
          <t>8813a6d5f86b42a653773c793ef6b314ee80e7caea4918b18c5772db7c23d51d</t>
        </is>
      </c>
      <c r="B576" t="inlineStr">
        <is>
          <t>Visma Enterprise (BOOM)</t>
        </is>
      </c>
      <c r="C576" t="n">
        <v>6</v>
      </c>
      <c r="D576" t="n">
        <v>13</v>
      </c>
      <c r="E576" t="n">
        <v>8</v>
      </c>
      <c r="F576" t="n">
        <v>20241101</v>
      </c>
      <c r="G576" t="n">
        <v>0</v>
      </c>
      <c r="H576" t="n">
        <v>0</v>
      </c>
      <c r="I576" t="n">
        <v>0</v>
      </c>
      <c r="J576" t="n">
        <v>0</v>
      </c>
    </row>
    <row r="577">
      <c r="A577" t="inlineStr">
        <is>
          <t>cd5eb62b60d95c8e87fe5fb71141c9ffe5ac2b37422e975b8b98dcaa1b687cfc</t>
        </is>
      </c>
      <c r="B577" t="inlineStr">
        <is>
          <t>Visma Enterprise (BOOM)</t>
        </is>
      </c>
      <c r="C577" t="n">
        <v>6</v>
      </c>
      <c r="D577" t="n">
        <v>13</v>
      </c>
      <c r="E577" t="n">
        <v>8</v>
      </c>
      <c r="F577" t="n">
        <v>20241201</v>
      </c>
      <c r="G577" t="n">
        <v>0</v>
      </c>
      <c r="H577" t="n">
        <v>0</v>
      </c>
      <c r="I577" t="n">
        <v>0</v>
      </c>
      <c r="J577" t="n">
        <v>0</v>
      </c>
    </row>
    <row r="578">
      <c r="A578" t="inlineStr">
        <is>
          <t>8732d2398477fa532346ecbe7bca70dac635f5b3fc00b25a88a271cc1b7e00f7</t>
        </is>
      </c>
      <c r="B578" t="inlineStr">
        <is>
          <t>Visma Enterprise (BOOM)</t>
        </is>
      </c>
      <c r="C578" t="n">
        <v>6</v>
      </c>
      <c r="D578" t="n">
        <v>13</v>
      </c>
      <c r="E578" t="n">
        <v>8</v>
      </c>
      <c r="F578" t="n">
        <v>20240101</v>
      </c>
      <c r="G578" t="n">
        <v>0</v>
      </c>
      <c r="H578" t="n">
        <v>0</v>
      </c>
      <c r="I578" t="n">
        <v>0</v>
      </c>
      <c r="J578" t="n">
        <v>0</v>
      </c>
    </row>
    <row r="579">
      <c r="A579" t="inlineStr">
        <is>
          <t>b0b4959036d11b6641d54b70bb07d5e6d5c4ca7e127542bbe0c5813bf1a4dd61</t>
        </is>
      </c>
      <c r="B579" t="inlineStr">
        <is>
          <t>Visma Enterprise (BOOM)</t>
        </is>
      </c>
      <c r="C579" t="n">
        <v>6</v>
      </c>
      <c r="D579" t="n">
        <v>13</v>
      </c>
      <c r="E579" t="n">
        <v>8</v>
      </c>
      <c r="F579" t="n">
        <v>20240201</v>
      </c>
      <c r="G579" t="n">
        <v>0</v>
      </c>
      <c r="H579" t="n">
        <v>0</v>
      </c>
      <c r="I579" t="n">
        <v>0</v>
      </c>
      <c r="J579" t="n">
        <v>0</v>
      </c>
    </row>
    <row r="580">
      <c r="A580" t="inlineStr">
        <is>
          <t>df83febe3281ad6aae209b1b7dbe760593fcf0250f1d78ebc9a0558eccc5648b</t>
        </is>
      </c>
      <c r="B580" t="inlineStr">
        <is>
          <t>Visma Enterprise (BOOM)</t>
        </is>
      </c>
      <c r="C580" t="n">
        <v>6</v>
      </c>
      <c r="D580" t="n">
        <v>13</v>
      </c>
      <c r="E580" t="n">
        <v>8</v>
      </c>
      <c r="F580" t="n">
        <v>20240301</v>
      </c>
      <c r="G580" t="n">
        <v>0</v>
      </c>
      <c r="H580" t="n">
        <v>0</v>
      </c>
      <c r="I580" t="n">
        <v>0</v>
      </c>
      <c r="J580" t="n">
        <v>0</v>
      </c>
    </row>
    <row r="581">
      <c r="A581" t="inlineStr">
        <is>
          <t>d481f5221e3042f8459b46a78d38b800599d81d46e74291a9717de9c1648f6c6</t>
        </is>
      </c>
      <c r="B581" t="inlineStr">
        <is>
          <t>Visma Enterprise (BOOM)</t>
        </is>
      </c>
      <c r="C581" t="n">
        <v>6</v>
      </c>
      <c r="D581" t="n">
        <v>13</v>
      </c>
      <c r="E581" t="n">
        <v>8</v>
      </c>
      <c r="F581" t="n">
        <v>20240401</v>
      </c>
      <c r="G581" t="n">
        <v>0</v>
      </c>
      <c r="H581" t="n">
        <v>0</v>
      </c>
      <c r="I581" t="n">
        <v>0</v>
      </c>
      <c r="J581" t="n">
        <v>0</v>
      </c>
    </row>
    <row r="582">
      <c r="A582" t="inlineStr">
        <is>
          <t>47b4028bf86a429280b059c5e69964f3387b56e0b3f6fcb47ad7c097ae2e4c18</t>
        </is>
      </c>
      <c r="B582" t="inlineStr">
        <is>
          <t>Visma Enterprise (BOOM)</t>
        </is>
      </c>
      <c r="C582" t="n">
        <v>6</v>
      </c>
      <c r="D582" t="n">
        <v>13</v>
      </c>
      <c r="E582" t="n">
        <v>8</v>
      </c>
      <c r="F582" t="n">
        <v>20240501</v>
      </c>
      <c r="G582" t="n">
        <v>0</v>
      </c>
      <c r="H582" t="n">
        <v>0</v>
      </c>
      <c r="I582" t="n">
        <v>0</v>
      </c>
      <c r="J582" t="n">
        <v>0</v>
      </c>
    </row>
    <row r="583">
      <c r="A583" t="inlineStr">
        <is>
          <t>b6ab8f57d15fd12c7561e5813098fd882258b5a4bb5dcbaf4092da2e3eab8f46</t>
        </is>
      </c>
      <c r="B583" t="inlineStr">
        <is>
          <t>Visma Enterprise (BOOM)</t>
        </is>
      </c>
      <c r="C583" t="n">
        <v>6</v>
      </c>
      <c r="D583" t="n">
        <v>13</v>
      </c>
      <c r="E583" t="n">
        <v>8</v>
      </c>
      <c r="F583" t="n">
        <v>20240601</v>
      </c>
      <c r="G583" t="n">
        <v>3486</v>
      </c>
      <c r="H583" t="n">
        <v>-3486</v>
      </c>
      <c r="I583" t="n">
        <v>0</v>
      </c>
      <c r="J583" t="n">
        <v>-3486</v>
      </c>
    </row>
    <row r="584">
      <c r="A584" t="inlineStr">
        <is>
          <t>d28f9aded6c1c8204d81e2002f3aed967a3c401e6d45af3e6951345dfd62f90f</t>
        </is>
      </c>
      <c r="B584" t="inlineStr">
        <is>
          <t>Visma Enterprise (BOOM)</t>
        </is>
      </c>
      <c r="C584" t="n">
        <v>6</v>
      </c>
      <c r="D584" t="n">
        <v>13</v>
      </c>
      <c r="E584" t="n">
        <v>8</v>
      </c>
      <c r="F584" t="n">
        <v>20240701</v>
      </c>
      <c r="G584" t="n">
        <v>0</v>
      </c>
      <c r="H584" t="n">
        <v>0</v>
      </c>
      <c r="I584" t="n">
        <v>0</v>
      </c>
      <c r="J584" t="n">
        <v>0</v>
      </c>
    </row>
    <row r="585">
      <c r="A585" t="inlineStr">
        <is>
          <t>769dd85bfa086fdd39bf4fafc4fcff49958f5b9e8cbf62ecb4bc08357a72eafb</t>
        </is>
      </c>
      <c r="B585" t="inlineStr">
        <is>
          <t>Visma Enterprise (BOOM)</t>
        </is>
      </c>
      <c r="C585" t="n">
        <v>6</v>
      </c>
      <c r="D585" t="n">
        <v>13</v>
      </c>
      <c r="E585" t="n">
        <v>8</v>
      </c>
      <c r="F585" t="n">
        <v>20240801</v>
      </c>
      <c r="G585" t="n">
        <v>0</v>
      </c>
      <c r="H585" t="n">
        <v>0</v>
      </c>
      <c r="I585" t="n">
        <v>0</v>
      </c>
      <c r="J585" t="n">
        <v>0</v>
      </c>
    </row>
    <row r="586">
      <c r="A586" t="inlineStr">
        <is>
          <t>a4c8703a4847daf3e1d086dbaff8a815a7014d16b7f79626610b65e24d6ccea4</t>
        </is>
      </c>
      <c r="B586" t="inlineStr">
        <is>
          <t>Visma Enterprise (BOOM)</t>
        </is>
      </c>
      <c r="C586" t="n">
        <v>6</v>
      </c>
      <c r="D586" t="n">
        <v>13</v>
      </c>
      <c r="E586" t="n">
        <v>8</v>
      </c>
      <c r="F586" t="n">
        <v>20240901</v>
      </c>
      <c r="G586" t="n">
        <v>0</v>
      </c>
      <c r="H586" t="n">
        <v>0</v>
      </c>
      <c r="I586" t="n">
        <v>0</v>
      </c>
      <c r="J586" t="n">
        <v>0</v>
      </c>
    </row>
    <row r="587">
      <c r="A587" t="inlineStr">
        <is>
          <t>9d85de7bc1acc75ea2fee38e99c42625911abb89792ef58c94be4b5e3899393a</t>
        </is>
      </c>
      <c r="B587" t="inlineStr">
        <is>
          <t>Visma Enterprise (BOOM)</t>
        </is>
      </c>
      <c r="C587" t="n">
        <v>6</v>
      </c>
      <c r="D587" t="n">
        <v>13</v>
      </c>
      <c r="E587" t="n">
        <v>8</v>
      </c>
      <c r="F587" t="n">
        <v>20241001</v>
      </c>
      <c r="G587" t="n">
        <v>0</v>
      </c>
      <c r="H587" t="n">
        <v>0</v>
      </c>
      <c r="I587" t="n">
        <v>0</v>
      </c>
      <c r="J587" t="n">
        <v>0</v>
      </c>
    </row>
    <row r="588">
      <c r="A588" t="inlineStr">
        <is>
          <t>58b15b004f4a5c6bca9ee923a53616a0f372f365201c1fd9fd045f4b1d994cb4</t>
        </is>
      </c>
      <c r="B588" t="inlineStr">
        <is>
          <t>Visma Enterprise (BOOM)</t>
        </is>
      </c>
      <c r="C588" t="n">
        <v>6</v>
      </c>
      <c r="D588" t="n">
        <v>13</v>
      </c>
      <c r="E588" t="n">
        <v>8</v>
      </c>
      <c r="F588" t="n">
        <v>20241101</v>
      </c>
      <c r="G588" t="n">
        <v>0</v>
      </c>
      <c r="H588" t="n">
        <v>0</v>
      </c>
      <c r="I588" t="n">
        <v>0</v>
      </c>
      <c r="J588" t="n">
        <v>0</v>
      </c>
    </row>
    <row r="589">
      <c r="A589" t="inlineStr">
        <is>
          <t>96df36b46e285a7b3d76ce5a343f4c63ad6fcfaf52eeb0b3f0f2d450b7686568</t>
        </is>
      </c>
      <c r="B589" t="inlineStr">
        <is>
          <t>Visma Enterprise (BOOM)</t>
        </is>
      </c>
      <c r="C589" t="n">
        <v>6</v>
      </c>
      <c r="D589" t="n">
        <v>13</v>
      </c>
      <c r="E589" t="n">
        <v>8</v>
      </c>
      <c r="F589" t="n">
        <v>20241201</v>
      </c>
      <c r="G589" t="n">
        <v>0</v>
      </c>
      <c r="H589" t="n">
        <v>0</v>
      </c>
      <c r="I589" t="n">
        <v>0</v>
      </c>
      <c r="J589" t="n">
        <v>0</v>
      </c>
    </row>
    <row r="590">
      <c r="A590" t="inlineStr">
        <is>
          <t>0d953660f8d649f07af599a1337db1f0796bb49555a91b70714b85c7fb7d87ef</t>
        </is>
      </c>
      <c r="B590" t="inlineStr">
        <is>
          <t>Visma Enterprise (BOOM)</t>
        </is>
      </c>
      <c r="C590" t="n">
        <v>6</v>
      </c>
      <c r="D590" t="n">
        <v>13</v>
      </c>
      <c r="E590" t="n">
        <v>8</v>
      </c>
      <c r="F590" t="n">
        <v>20240101</v>
      </c>
      <c r="G590" t="n">
        <v>0</v>
      </c>
      <c r="H590" t="n">
        <v>0</v>
      </c>
      <c r="I590" t="n">
        <v>170</v>
      </c>
      <c r="J590" t="n">
        <v>-170</v>
      </c>
    </row>
    <row r="591">
      <c r="A591" t="inlineStr">
        <is>
          <t>8857eb1aef9a326cd2c0bf91f8af2bbd21622437e445a622d07cc51e5f3092fe</t>
        </is>
      </c>
      <c r="B591" t="inlineStr">
        <is>
          <t>Visma Enterprise (BOOM)</t>
        </is>
      </c>
      <c r="C591" t="n">
        <v>6</v>
      </c>
      <c r="D591" t="n">
        <v>13</v>
      </c>
      <c r="E591" t="n">
        <v>8</v>
      </c>
      <c r="F591" t="n">
        <v>20240201</v>
      </c>
      <c r="G591" t="n">
        <v>0</v>
      </c>
      <c r="H591" t="n">
        <v>0</v>
      </c>
      <c r="I591" t="n">
        <v>170</v>
      </c>
      <c r="J591" t="n">
        <v>-170</v>
      </c>
    </row>
    <row r="592">
      <c r="A592" t="inlineStr">
        <is>
          <t>48c5bc2ec8cfcd6678978f7fc29406f9a2ca0d3d21f9ee1b531c91ab7bd4a7a6</t>
        </is>
      </c>
      <c r="B592" t="inlineStr">
        <is>
          <t>Visma Enterprise (BOOM)</t>
        </is>
      </c>
      <c r="C592" t="n">
        <v>6</v>
      </c>
      <c r="D592" t="n">
        <v>13</v>
      </c>
      <c r="E592" t="n">
        <v>8</v>
      </c>
      <c r="F592" t="n">
        <v>20240301</v>
      </c>
      <c r="G592" t="n">
        <v>0</v>
      </c>
      <c r="H592" t="n">
        <v>0</v>
      </c>
      <c r="I592" t="n">
        <v>170</v>
      </c>
      <c r="J592" t="n">
        <v>-170</v>
      </c>
    </row>
    <row r="593">
      <c r="A593" t="inlineStr">
        <is>
          <t>a902487a6e5fe015804a2daea254e6753b2d9bf0082235d45ef0fa0641e41ca1</t>
        </is>
      </c>
      <c r="B593" t="inlineStr">
        <is>
          <t>Visma Enterprise (BOOM)</t>
        </is>
      </c>
      <c r="C593" t="n">
        <v>6</v>
      </c>
      <c r="D593" t="n">
        <v>13</v>
      </c>
      <c r="E593" t="n">
        <v>8</v>
      </c>
      <c r="F593" t="n">
        <v>20240401</v>
      </c>
      <c r="G593" t="n">
        <v>0</v>
      </c>
      <c r="H593" t="n">
        <v>0</v>
      </c>
      <c r="I593" t="n">
        <v>170</v>
      </c>
      <c r="J593" t="n">
        <v>-170</v>
      </c>
    </row>
    <row r="594">
      <c r="A594" t="inlineStr">
        <is>
          <t>b3ee818e50fb216982cb9ab5c78cdb973fe9351804b13aef6454c4c9e71201d0</t>
        </is>
      </c>
      <c r="B594" t="inlineStr">
        <is>
          <t>Visma Enterprise (BOOM)</t>
        </is>
      </c>
      <c r="C594" t="n">
        <v>6</v>
      </c>
      <c r="D594" t="n">
        <v>13</v>
      </c>
      <c r="E594" t="n">
        <v>8</v>
      </c>
      <c r="F594" t="n">
        <v>20240501</v>
      </c>
      <c r="G594" t="n">
        <v>0</v>
      </c>
      <c r="H594" t="n">
        <v>0</v>
      </c>
      <c r="I594" t="n">
        <v>170</v>
      </c>
      <c r="J594" t="n">
        <v>-170</v>
      </c>
    </row>
    <row r="595">
      <c r="A595" t="inlineStr">
        <is>
          <t>7168d821bd584160fb1a2d5ee4f3fe2dfc85cc80cac9a1bbc917b5616c91df57</t>
        </is>
      </c>
      <c r="B595" t="inlineStr">
        <is>
          <t>Visma Enterprise (BOOM)</t>
        </is>
      </c>
      <c r="C595" t="n">
        <v>6</v>
      </c>
      <c r="D595" t="n">
        <v>13</v>
      </c>
      <c r="E595" t="n">
        <v>8</v>
      </c>
      <c r="F595" t="n">
        <v>20240601</v>
      </c>
      <c r="G595" t="n">
        <v>0</v>
      </c>
      <c r="H595" t="n">
        <v>0</v>
      </c>
      <c r="I595" t="n">
        <v>170</v>
      </c>
      <c r="J595" t="n">
        <v>-170</v>
      </c>
    </row>
    <row r="596">
      <c r="A596" t="inlineStr">
        <is>
          <t>afbd64d02dd93e6fb7912fee342a5742f42139a852b21c8f2127a8a89d484b48</t>
        </is>
      </c>
      <c r="B596" t="inlineStr">
        <is>
          <t>Visma Enterprise (BOOM)</t>
        </is>
      </c>
      <c r="C596" t="n">
        <v>6</v>
      </c>
      <c r="D596" t="n">
        <v>13</v>
      </c>
      <c r="E596" t="n">
        <v>8</v>
      </c>
      <c r="F596" t="n">
        <v>20240701</v>
      </c>
      <c r="G596" t="n">
        <v>0</v>
      </c>
      <c r="H596" t="n">
        <v>0</v>
      </c>
      <c r="I596" t="n">
        <v>170</v>
      </c>
      <c r="J596" t="n">
        <v>-170</v>
      </c>
    </row>
    <row r="597">
      <c r="A597" t="inlineStr">
        <is>
          <t>268d3bcb51f7d76c92b9414f34b67d06402eae6bb4503dc8930b134e0296ffd1</t>
        </is>
      </c>
      <c r="B597" t="inlineStr">
        <is>
          <t>Visma Enterprise (BOOM)</t>
        </is>
      </c>
      <c r="C597" t="n">
        <v>6</v>
      </c>
      <c r="D597" t="n">
        <v>13</v>
      </c>
      <c r="E597" t="n">
        <v>8</v>
      </c>
      <c r="F597" t="n">
        <v>20240801</v>
      </c>
      <c r="G597" t="n">
        <v>0</v>
      </c>
      <c r="H597" t="n">
        <v>0</v>
      </c>
      <c r="I597" t="n">
        <v>170</v>
      </c>
      <c r="J597" t="n">
        <v>-170</v>
      </c>
    </row>
    <row r="598">
      <c r="A598" t="inlineStr">
        <is>
          <t>c272eb3303c1fd157b47e12bb24ae2d520a297cf7ff8ee233a75cd5bc93229f6</t>
        </is>
      </c>
      <c r="B598" t="inlineStr">
        <is>
          <t>Visma Enterprise (BOOM)</t>
        </is>
      </c>
      <c r="C598" t="n">
        <v>6</v>
      </c>
      <c r="D598" t="n">
        <v>13</v>
      </c>
      <c r="E598" t="n">
        <v>8</v>
      </c>
      <c r="F598" t="n">
        <v>20240901</v>
      </c>
      <c r="G598" t="n">
        <v>0</v>
      </c>
      <c r="H598" t="n">
        <v>0</v>
      </c>
      <c r="I598" t="n">
        <v>170</v>
      </c>
      <c r="J598" t="n">
        <v>-170</v>
      </c>
    </row>
    <row r="599">
      <c r="A599" t="inlineStr">
        <is>
          <t>59ff1c7a8686181f64e1862407799c747ded69e7f1c949b1ff7953b6c246d5d9</t>
        </is>
      </c>
      <c r="B599" t="inlineStr">
        <is>
          <t>Visma Enterprise (BOOM)</t>
        </is>
      </c>
      <c r="C599" t="n">
        <v>6</v>
      </c>
      <c r="D599" t="n">
        <v>13</v>
      </c>
      <c r="E599" t="n">
        <v>8</v>
      </c>
      <c r="F599" t="n">
        <v>20241001</v>
      </c>
      <c r="G599" t="n">
        <v>0</v>
      </c>
      <c r="H599" t="n">
        <v>0</v>
      </c>
      <c r="I599" t="n">
        <v>170</v>
      </c>
      <c r="J599" t="n">
        <v>-170</v>
      </c>
    </row>
    <row r="600">
      <c r="A600" t="inlineStr">
        <is>
          <t>06b19186a2ff2672af8ce3740589ae27d0b41c627cbb2bc0cc5e09139aa2b3fb</t>
        </is>
      </c>
      <c r="B600" t="inlineStr">
        <is>
          <t>Visma Enterprise (BOOM)</t>
        </is>
      </c>
      <c r="C600" t="n">
        <v>6</v>
      </c>
      <c r="D600" t="n">
        <v>13</v>
      </c>
      <c r="E600" t="n">
        <v>8</v>
      </c>
      <c r="F600" t="n">
        <v>20241101</v>
      </c>
      <c r="G600" t="n">
        <v>0</v>
      </c>
      <c r="H600" t="n">
        <v>0</v>
      </c>
      <c r="I600" t="n">
        <v>170</v>
      </c>
      <c r="J600" t="n">
        <v>-170</v>
      </c>
    </row>
    <row r="601">
      <c r="A601" t="inlineStr">
        <is>
          <t>a0c84c2783d7759d697f49f1c656a6eef6ddea3ab23c0ebd634bd1cbfa57e9fb</t>
        </is>
      </c>
      <c r="B601" t="inlineStr">
        <is>
          <t>Visma Enterprise (BOOM)</t>
        </is>
      </c>
      <c r="C601" t="n">
        <v>6</v>
      </c>
      <c r="D601" t="n">
        <v>13</v>
      </c>
      <c r="E601" t="n">
        <v>8</v>
      </c>
      <c r="F601" t="n">
        <v>20241201</v>
      </c>
      <c r="G601" t="n">
        <v>0</v>
      </c>
      <c r="H601" t="n">
        <v>0</v>
      </c>
      <c r="I601" t="n">
        <v>130</v>
      </c>
      <c r="J601" t="n">
        <v>-130</v>
      </c>
    </row>
    <row r="602">
      <c r="A602" t="inlineStr">
        <is>
          <t>beceb20e453ee6a086a7eb1f24c0c9144ef835b52e4083a6d9ec5a701a4e4e16</t>
        </is>
      </c>
      <c r="B602" t="inlineStr">
        <is>
          <t>Visma Enterprise (BOOM)</t>
        </is>
      </c>
      <c r="C602" t="n">
        <v>6</v>
      </c>
      <c r="D602" t="n">
        <v>13</v>
      </c>
      <c r="E602" t="n">
        <v>8</v>
      </c>
      <c r="F602" t="n">
        <v>20240101</v>
      </c>
      <c r="G602" t="n">
        <v>4413.72</v>
      </c>
      <c r="H602" t="n">
        <v>-4413.72</v>
      </c>
      <c r="I602" t="n">
        <v>3536</v>
      </c>
      <c r="J602" t="n">
        <v>-7949.72</v>
      </c>
    </row>
    <row r="603">
      <c r="A603" t="inlineStr">
        <is>
          <t>762c91e3e314b0024b482211510f310e1746823bfffe7c43166aa8f1075d5e6e</t>
        </is>
      </c>
      <c r="B603" t="inlineStr">
        <is>
          <t>Visma Enterprise (BOOM)</t>
        </is>
      </c>
      <c r="C603" t="n">
        <v>6</v>
      </c>
      <c r="D603" t="n">
        <v>13</v>
      </c>
      <c r="E603" t="n">
        <v>8</v>
      </c>
      <c r="F603" t="n">
        <v>20240201</v>
      </c>
      <c r="G603" t="n">
        <v>3804.96</v>
      </c>
      <c r="H603" t="n">
        <v>-3804.96</v>
      </c>
      <c r="I603" t="n">
        <v>3536</v>
      </c>
      <c r="J603" t="n">
        <v>-7340.96</v>
      </c>
    </row>
    <row r="604">
      <c r="A604" t="inlineStr">
        <is>
          <t>8321152b88e0b310ba724c394ee9880ea281d1c2fe88c8622aa767050c33549e</t>
        </is>
      </c>
      <c r="B604" t="inlineStr">
        <is>
          <t>Visma Enterprise (BOOM)</t>
        </is>
      </c>
      <c r="C604" t="n">
        <v>6</v>
      </c>
      <c r="D604" t="n">
        <v>13</v>
      </c>
      <c r="E604" t="n">
        <v>8</v>
      </c>
      <c r="F604" t="n">
        <v>20240301</v>
      </c>
      <c r="G604" t="n">
        <v>2925.8</v>
      </c>
      <c r="H604" t="n">
        <v>-2925.8</v>
      </c>
      <c r="I604" t="n">
        <v>3536</v>
      </c>
      <c r="J604" t="n">
        <v>-6461.8</v>
      </c>
    </row>
    <row r="605">
      <c r="A605" t="inlineStr">
        <is>
          <t>73b864a7e8247af82fc4dbdf1b6ff3bfb120ca958e8201d3dd5651fcfdd40820</t>
        </is>
      </c>
      <c r="B605" t="inlineStr">
        <is>
          <t>Visma Enterprise (BOOM)</t>
        </is>
      </c>
      <c r="C605" t="n">
        <v>6</v>
      </c>
      <c r="D605" t="n">
        <v>13</v>
      </c>
      <c r="E605" t="n">
        <v>8</v>
      </c>
      <c r="F605" t="n">
        <v>20240401</v>
      </c>
      <c r="G605" t="n">
        <v>4818.5</v>
      </c>
      <c r="H605" t="n">
        <v>-4818.5</v>
      </c>
      <c r="I605" t="n">
        <v>3536</v>
      </c>
      <c r="J605" t="n">
        <v>-8354.5</v>
      </c>
    </row>
    <row r="606">
      <c r="A606" t="inlineStr">
        <is>
          <t>d3e0416992914e10634a656209ac13dda962f16ff63de4a2f5165e37f5b4dda2</t>
        </is>
      </c>
      <c r="B606" t="inlineStr">
        <is>
          <t>Visma Enterprise (BOOM)</t>
        </is>
      </c>
      <c r="C606" t="n">
        <v>6</v>
      </c>
      <c r="D606" t="n">
        <v>13</v>
      </c>
      <c r="E606" t="n">
        <v>8</v>
      </c>
      <c r="F606" t="n">
        <v>20240501</v>
      </c>
      <c r="G606" t="n">
        <v>4414.29</v>
      </c>
      <c r="H606" t="n">
        <v>-4414.29</v>
      </c>
      <c r="I606" t="n">
        <v>3536</v>
      </c>
      <c r="J606" t="n">
        <v>-7950.29</v>
      </c>
    </row>
    <row r="607">
      <c r="A607" t="inlineStr">
        <is>
          <t>6dffea078ee8a1c9b53a78bb9eb7767b456c68f49975d55c9ceeffd64264552a</t>
        </is>
      </c>
      <c r="B607" t="inlineStr">
        <is>
          <t>Visma Enterprise (BOOM)</t>
        </is>
      </c>
      <c r="C607" t="n">
        <v>6</v>
      </c>
      <c r="D607" t="n">
        <v>13</v>
      </c>
      <c r="E607" t="n">
        <v>8</v>
      </c>
      <c r="F607" t="n">
        <v>20240601</v>
      </c>
      <c r="G607" t="n">
        <v>7675.68</v>
      </c>
      <c r="H607" t="n">
        <v>-7675.68</v>
      </c>
      <c r="I607" t="n">
        <v>3536</v>
      </c>
      <c r="J607" t="n">
        <v>-11211.68</v>
      </c>
    </row>
    <row r="608">
      <c r="A608" t="inlineStr">
        <is>
          <t>b2fd6c8286e45cf75d1a31348ed5cde175c93072c8f06e3f173e0ecf46ac175b</t>
        </is>
      </c>
      <c r="B608" t="inlineStr">
        <is>
          <t>Visma Enterprise (BOOM)</t>
        </is>
      </c>
      <c r="C608" t="n">
        <v>6</v>
      </c>
      <c r="D608" t="n">
        <v>13</v>
      </c>
      <c r="E608" t="n">
        <v>8</v>
      </c>
      <c r="F608" t="n">
        <v>20240701</v>
      </c>
      <c r="G608" t="n">
        <v>1358.36</v>
      </c>
      <c r="H608" t="n">
        <v>-1358.36</v>
      </c>
      <c r="I608" t="n">
        <v>3536</v>
      </c>
      <c r="J608" t="n">
        <v>-4894.36</v>
      </c>
    </row>
    <row r="609">
      <c r="A609" t="inlineStr">
        <is>
          <t>a76e2b00a019d3268a466b205f03cea3604660f25fe893fbdbef678f062e3662</t>
        </is>
      </c>
      <c r="B609" t="inlineStr">
        <is>
          <t>Visma Enterprise (BOOM)</t>
        </is>
      </c>
      <c r="C609" t="n">
        <v>6</v>
      </c>
      <c r="D609" t="n">
        <v>13</v>
      </c>
      <c r="E609" t="n">
        <v>8</v>
      </c>
      <c r="F609" t="n">
        <v>20240801</v>
      </c>
      <c r="G609" t="n">
        <v>48.4</v>
      </c>
      <c r="H609" t="n">
        <v>-48.4</v>
      </c>
      <c r="I609" t="n">
        <v>3536</v>
      </c>
      <c r="J609" t="n">
        <v>-3584.4</v>
      </c>
    </row>
    <row r="610">
      <c r="A610" t="inlineStr">
        <is>
          <t>3af06d05e5f3ba5a95e3f8cac3db0786a1a291fccf90c25bd10fb0d66c1369ae</t>
        </is>
      </c>
      <c r="B610" t="inlineStr">
        <is>
          <t>Visma Enterprise (BOOM)</t>
        </is>
      </c>
      <c r="C610" t="n">
        <v>6</v>
      </c>
      <c r="D610" t="n">
        <v>13</v>
      </c>
      <c r="E610" t="n">
        <v>8</v>
      </c>
      <c r="F610" t="n">
        <v>20240901</v>
      </c>
      <c r="G610" t="n">
        <v>0</v>
      </c>
      <c r="H610" t="n">
        <v>0</v>
      </c>
      <c r="I610" t="n">
        <v>3536</v>
      </c>
      <c r="J610" t="n">
        <v>-3536</v>
      </c>
    </row>
    <row r="611">
      <c r="A611" t="inlineStr">
        <is>
          <t>1540b4f78b1a950183abd1e6cf9eced3fb26c88769b23ffdcda6d3051a04e6cb</t>
        </is>
      </c>
      <c r="B611" t="inlineStr">
        <is>
          <t>Visma Enterprise (BOOM)</t>
        </is>
      </c>
      <c r="C611" t="n">
        <v>6</v>
      </c>
      <c r="D611" t="n">
        <v>13</v>
      </c>
      <c r="E611" t="n">
        <v>8</v>
      </c>
      <c r="F611" t="n">
        <v>20241001</v>
      </c>
      <c r="G611" t="n">
        <v>0</v>
      </c>
      <c r="H611" t="n">
        <v>0</v>
      </c>
      <c r="I611" t="n">
        <v>3536</v>
      </c>
      <c r="J611" t="n">
        <v>-3536</v>
      </c>
    </row>
    <row r="612">
      <c r="A612" t="inlineStr">
        <is>
          <t>49fa3c76512dc906e1218392b954662e73be615589f82778ca0c4913f99bcde1</t>
        </is>
      </c>
      <c r="B612" t="inlineStr">
        <is>
          <t>Visma Enterprise (BOOM)</t>
        </is>
      </c>
      <c r="C612" t="n">
        <v>6</v>
      </c>
      <c r="D612" t="n">
        <v>13</v>
      </c>
      <c r="E612" t="n">
        <v>8</v>
      </c>
      <c r="F612" t="n">
        <v>20241101</v>
      </c>
      <c r="G612" t="n">
        <v>0</v>
      </c>
      <c r="H612" t="n">
        <v>0</v>
      </c>
      <c r="I612" t="n">
        <v>3536</v>
      </c>
      <c r="J612" t="n">
        <v>-3536</v>
      </c>
    </row>
    <row r="613">
      <c r="A613" t="inlineStr">
        <is>
          <t>bac7b864a6e4ba768855e9266809c5b0c7717b5948651fc914a2e96415bb81be</t>
        </is>
      </c>
      <c r="B613" t="inlineStr">
        <is>
          <t>Visma Enterprise (BOOM)</t>
        </is>
      </c>
      <c r="C613" t="n">
        <v>6</v>
      </c>
      <c r="D613" t="n">
        <v>13</v>
      </c>
      <c r="E613" t="n">
        <v>8</v>
      </c>
      <c r="F613" t="n">
        <v>20241201</v>
      </c>
      <c r="G613" t="n">
        <v>0</v>
      </c>
      <c r="H613" t="n">
        <v>0</v>
      </c>
      <c r="I613" t="n">
        <v>4104</v>
      </c>
      <c r="J613" t="n">
        <v>-4104</v>
      </c>
    </row>
    <row r="614">
      <c r="A614" t="inlineStr">
        <is>
          <t>2074a212616f75417bbdb9aed0149a929c6b002383fbae418af7a2fd81f4e4a2</t>
        </is>
      </c>
      <c r="B614" t="inlineStr">
        <is>
          <t>Visma Enterprise (BOOM)</t>
        </is>
      </c>
      <c r="C614" t="n">
        <v>6</v>
      </c>
      <c r="D614" t="n">
        <v>13</v>
      </c>
      <c r="E614" t="n">
        <v>8</v>
      </c>
      <c r="F614" t="n">
        <v>20240101</v>
      </c>
      <c r="G614" t="n">
        <v>0</v>
      </c>
      <c r="H614" t="n">
        <v>0</v>
      </c>
      <c r="I614" t="n">
        <v>0</v>
      </c>
      <c r="J614" t="n">
        <v>0</v>
      </c>
    </row>
    <row r="615">
      <c r="A615" t="inlineStr">
        <is>
          <t>427ce7cf5cf651aa5d673cfcb0528bb54024019433eb95e14f9a5ee76a16924c</t>
        </is>
      </c>
      <c r="B615" t="inlineStr">
        <is>
          <t>Visma Enterprise (BOOM)</t>
        </is>
      </c>
      <c r="C615" t="n">
        <v>6</v>
      </c>
      <c r="D615" t="n">
        <v>13</v>
      </c>
      <c r="E615" t="n">
        <v>8</v>
      </c>
      <c r="F615" t="n">
        <v>20240201</v>
      </c>
      <c r="G615" t="n">
        <v>0</v>
      </c>
      <c r="H615" t="n">
        <v>0</v>
      </c>
      <c r="I615" t="n">
        <v>0</v>
      </c>
      <c r="J615" t="n">
        <v>0</v>
      </c>
    </row>
    <row r="616">
      <c r="A616" t="inlineStr">
        <is>
          <t>b4d0f0c2bd2ca1d821f0508b490b01715bc9010ab3a87d3f6e92211bc04ae3bf</t>
        </is>
      </c>
      <c r="B616" t="inlineStr">
        <is>
          <t>Visma Enterprise (BOOM)</t>
        </is>
      </c>
      <c r="C616" t="n">
        <v>6</v>
      </c>
      <c r="D616" t="n">
        <v>13</v>
      </c>
      <c r="E616" t="n">
        <v>8</v>
      </c>
      <c r="F616" t="n">
        <v>20240301</v>
      </c>
      <c r="G616" t="n">
        <v>0</v>
      </c>
      <c r="H616" t="n">
        <v>0</v>
      </c>
      <c r="I616" t="n">
        <v>0</v>
      </c>
      <c r="J616" t="n">
        <v>0</v>
      </c>
    </row>
    <row r="617">
      <c r="A617" t="inlineStr">
        <is>
          <t>e90743e55e853d8dc04cbf775fde0fff32ff33f5f452028dd87f79a0561e2f86</t>
        </is>
      </c>
      <c r="B617" t="inlineStr">
        <is>
          <t>Visma Enterprise (BOOM)</t>
        </is>
      </c>
      <c r="C617" t="n">
        <v>6</v>
      </c>
      <c r="D617" t="n">
        <v>13</v>
      </c>
      <c r="E617" t="n">
        <v>8</v>
      </c>
      <c r="F617" t="n">
        <v>20240401</v>
      </c>
      <c r="G617" t="n">
        <v>-61447</v>
      </c>
      <c r="H617" t="n">
        <v>61447</v>
      </c>
      <c r="I617" t="n">
        <v>0</v>
      </c>
      <c r="J617" t="n">
        <v>61447</v>
      </c>
    </row>
    <row r="618">
      <c r="A618" t="inlineStr">
        <is>
          <t>58128617ffc7078af826685499b78ad9051eb24b443444c79a964e897db86492</t>
        </is>
      </c>
      <c r="B618" t="inlineStr">
        <is>
          <t>Visma Enterprise (BOOM)</t>
        </is>
      </c>
      <c r="C618" t="n">
        <v>6</v>
      </c>
      <c r="D618" t="n">
        <v>13</v>
      </c>
      <c r="E618" t="n">
        <v>8</v>
      </c>
      <c r="F618" t="n">
        <v>20240501</v>
      </c>
      <c r="G618" t="n">
        <v>0</v>
      </c>
      <c r="H618" t="n">
        <v>0</v>
      </c>
      <c r="I618" t="n">
        <v>0</v>
      </c>
      <c r="J618" t="n">
        <v>0</v>
      </c>
    </row>
    <row r="619">
      <c r="A619" t="inlineStr">
        <is>
          <t>056b96034c824fec5cc8d54c99c9ee619e9a9507fd17e9f8ff0b407a017b357c</t>
        </is>
      </c>
      <c r="B619" t="inlineStr">
        <is>
          <t>Visma Enterprise (BOOM)</t>
        </is>
      </c>
      <c r="C619" t="n">
        <v>6</v>
      </c>
      <c r="D619" t="n">
        <v>13</v>
      </c>
      <c r="E619" t="n">
        <v>8</v>
      </c>
      <c r="F619" t="n">
        <v>20240601</v>
      </c>
      <c r="G619" t="n">
        <v>0</v>
      </c>
      <c r="H619" t="n">
        <v>0</v>
      </c>
      <c r="I619" t="n">
        <v>0</v>
      </c>
      <c r="J619" t="n">
        <v>0</v>
      </c>
    </row>
    <row r="620">
      <c r="A620" t="inlineStr">
        <is>
          <t>5ddd75249162cb9b1abcea0942a1e21cc014a6a0d1463d89882fc8b0a6e0621e</t>
        </is>
      </c>
      <c r="B620" t="inlineStr">
        <is>
          <t>Visma Enterprise (BOOM)</t>
        </is>
      </c>
      <c r="C620" t="n">
        <v>6</v>
      </c>
      <c r="D620" t="n">
        <v>13</v>
      </c>
      <c r="E620" t="n">
        <v>8</v>
      </c>
      <c r="F620" t="n">
        <v>20240701</v>
      </c>
      <c r="G620" t="n">
        <v>0</v>
      </c>
      <c r="H620" t="n">
        <v>0</v>
      </c>
      <c r="I620" t="n">
        <v>0</v>
      </c>
      <c r="J620" t="n">
        <v>0</v>
      </c>
    </row>
    <row r="621">
      <c r="A621" t="inlineStr">
        <is>
          <t>fe417474d2015744abe595c98082ca4d883f95d0c121ae4021d4918a2e3f8506</t>
        </is>
      </c>
      <c r="B621" t="inlineStr">
        <is>
          <t>Visma Enterprise (BOOM)</t>
        </is>
      </c>
      <c r="C621" t="n">
        <v>6</v>
      </c>
      <c r="D621" t="n">
        <v>13</v>
      </c>
      <c r="E621" t="n">
        <v>8</v>
      </c>
      <c r="F621" t="n">
        <v>20240801</v>
      </c>
      <c r="G621" t="n">
        <v>-99000</v>
      </c>
      <c r="H621" t="n">
        <v>99000</v>
      </c>
      <c r="I621" t="n">
        <v>0</v>
      </c>
      <c r="J621" t="n">
        <v>99000</v>
      </c>
    </row>
    <row r="622">
      <c r="A622" t="inlineStr">
        <is>
          <t>61c83651535dcb4ecc25d685c9fc655e76b8a46f9f6057fb5858acfe300eb014</t>
        </is>
      </c>
      <c r="B622" t="inlineStr">
        <is>
          <t>Visma Enterprise (BOOM)</t>
        </is>
      </c>
      <c r="C622" t="n">
        <v>6</v>
      </c>
      <c r="D622" t="n">
        <v>13</v>
      </c>
      <c r="E622" t="n">
        <v>8</v>
      </c>
      <c r="F622" t="n">
        <v>20240901</v>
      </c>
      <c r="G622" t="n">
        <v>0</v>
      </c>
      <c r="H622" t="n">
        <v>0</v>
      </c>
      <c r="I622" t="n">
        <v>0</v>
      </c>
      <c r="J622" t="n">
        <v>0</v>
      </c>
    </row>
    <row r="623">
      <c r="A623" t="inlineStr">
        <is>
          <t>5ada4af7bc6eacf286ac5017497286a708cb07b478c60ec511a1efc7b2734890</t>
        </is>
      </c>
      <c r="B623" t="inlineStr">
        <is>
          <t>Visma Enterprise (BOOM)</t>
        </is>
      </c>
      <c r="C623" t="n">
        <v>6</v>
      </c>
      <c r="D623" t="n">
        <v>13</v>
      </c>
      <c r="E623" t="n">
        <v>8</v>
      </c>
      <c r="F623" t="n">
        <v>20241001</v>
      </c>
      <c r="G623" t="n">
        <v>0</v>
      </c>
      <c r="H623" t="n">
        <v>0</v>
      </c>
      <c r="I623" t="n">
        <v>0</v>
      </c>
      <c r="J623" t="n">
        <v>0</v>
      </c>
    </row>
    <row r="624">
      <c r="A624" t="inlineStr">
        <is>
          <t>d307aaadce6724b6423325728eaf49d3d92f4fe4f0fc3e372d1ab90001cfca93</t>
        </is>
      </c>
      <c r="B624" t="inlineStr">
        <is>
          <t>Visma Enterprise (BOOM)</t>
        </is>
      </c>
      <c r="C624" t="n">
        <v>6</v>
      </c>
      <c r="D624" t="n">
        <v>13</v>
      </c>
      <c r="E624" t="n">
        <v>8</v>
      </c>
      <c r="F624" t="n">
        <v>20241101</v>
      </c>
      <c r="G624" t="n">
        <v>0</v>
      </c>
      <c r="H624" t="n">
        <v>0</v>
      </c>
      <c r="I624" t="n">
        <v>0</v>
      </c>
      <c r="J624" t="n">
        <v>0</v>
      </c>
    </row>
    <row r="625">
      <c r="A625" t="inlineStr">
        <is>
          <t>1d700570b1c9ee66d3ad4e3162c59bbf8f475129c1aaf123abf677875ea21e76</t>
        </is>
      </c>
      <c r="B625" t="inlineStr">
        <is>
          <t>Visma Enterprise (BOOM)</t>
        </is>
      </c>
      <c r="C625" t="n">
        <v>6</v>
      </c>
      <c r="D625" t="n">
        <v>13</v>
      </c>
      <c r="E625" t="n">
        <v>8</v>
      </c>
      <c r="F625" t="n">
        <v>20241201</v>
      </c>
      <c r="G625" t="n">
        <v>0</v>
      </c>
      <c r="H625" t="n">
        <v>0</v>
      </c>
      <c r="I625" t="n">
        <v>0</v>
      </c>
      <c r="J625" t="n">
        <v>0</v>
      </c>
    </row>
    <row r="626">
      <c r="A626" t="inlineStr">
        <is>
          <t>0b513fb1481c4e2fb583c791035751a6ca5c15c7d820b2c6fa659d67e5a70f9e</t>
        </is>
      </c>
      <c r="B626" t="inlineStr">
        <is>
          <t>Visma Enterprise (BOOM)</t>
        </is>
      </c>
      <c r="C626" t="n">
        <v>6</v>
      </c>
      <c r="D626" t="n">
        <v>13</v>
      </c>
      <c r="E626" t="n">
        <v>8</v>
      </c>
      <c r="F626" t="n">
        <v>20240101</v>
      </c>
      <c r="G626" t="n">
        <v>0</v>
      </c>
      <c r="H626" t="n">
        <v>0</v>
      </c>
      <c r="I626" t="n">
        <v>0</v>
      </c>
      <c r="J626" t="n">
        <v>0</v>
      </c>
    </row>
    <row r="627">
      <c r="A627" t="inlineStr">
        <is>
          <t>284d8abab8c2909b160f317f8a5c58971d4d6728251a35ed3de74900e0cee7df</t>
        </is>
      </c>
      <c r="B627" t="inlineStr">
        <is>
          <t>Visma Enterprise (BOOM)</t>
        </is>
      </c>
      <c r="C627" t="n">
        <v>6</v>
      </c>
      <c r="D627" t="n">
        <v>13</v>
      </c>
      <c r="E627" t="n">
        <v>8</v>
      </c>
      <c r="F627" t="n">
        <v>20240201</v>
      </c>
      <c r="G627" t="n">
        <v>0</v>
      </c>
      <c r="H627" t="n">
        <v>0</v>
      </c>
      <c r="I627" t="n">
        <v>0</v>
      </c>
      <c r="J627" t="n">
        <v>0</v>
      </c>
    </row>
    <row r="628">
      <c r="A628" t="inlineStr">
        <is>
          <t>e9413ed4404ecf25d68c030e93f33972c4e73edfaf80a4253ac20438c79483cd</t>
        </is>
      </c>
      <c r="B628" t="inlineStr">
        <is>
          <t>Visma Enterprise (BOOM)</t>
        </is>
      </c>
      <c r="C628" t="n">
        <v>6</v>
      </c>
      <c r="D628" t="n">
        <v>13</v>
      </c>
      <c r="E628" t="n">
        <v>8</v>
      </c>
      <c r="F628" t="n">
        <v>20240301</v>
      </c>
      <c r="G628" t="n">
        <v>100</v>
      </c>
      <c r="H628" t="n">
        <v>-100</v>
      </c>
      <c r="I628" t="n">
        <v>0</v>
      </c>
      <c r="J628" t="n">
        <v>-100</v>
      </c>
    </row>
    <row r="629">
      <c r="A629" t="inlineStr">
        <is>
          <t>3471ec5123087c6a1d96c2c024a869cfcae00ca2a41bfbb6b8d04f9b5316af14</t>
        </is>
      </c>
      <c r="B629" t="inlineStr">
        <is>
          <t>Visma Enterprise (BOOM)</t>
        </is>
      </c>
      <c r="C629" t="n">
        <v>6</v>
      </c>
      <c r="D629" t="n">
        <v>13</v>
      </c>
      <c r="E629" t="n">
        <v>8</v>
      </c>
      <c r="F629" t="n">
        <v>20240401</v>
      </c>
      <c r="G629" t="n">
        <v>308</v>
      </c>
      <c r="H629" t="n">
        <v>-308</v>
      </c>
      <c r="I629" t="n">
        <v>0</v>
      </c>
      <c r="J629" t="n">
        <v>-308</v>
      </c>
    </row>
    <row r="630">
      <c r="A630" t="inlineStr">
        <is>
          <t>c5a2c406caa8cf3ea05f9003330836788f324b8a2e1897b98f674aebef83bb46</t>
        </is>
      </c>
      <c r="B630" t="inlineStr">
        <is>
          <t>Visma Enterprise (BOOM)</t>
        </is>
      </c>
      <c r="C630" t="n">
        <v>6</v>
      </c>
      <c r="D630" t="n">
        <v>13</v>
      </c>
      <c r="E630" t="n">
        <v>8</v>
      </c>
      <c r="F630" t="n">
        <v>20240501</v>
      </c>
      <c r="G630" t="n">
        <v>0</v>
      </c>
      <c r="H630" t="n">
        <v>0</v>
      </c>
      <c r="I630" t="n">
        <v>0</v>
      </c>
      <c r="J630" t="n">
        <v>0</v>
      </c>
    </row>
    <row r="631">
      <c r="A631" t="inlineStr">
        <is>
          <t>acf248998433fe7d1a97a71ced9382645cd21812152c0268b8af0459f3f7b9f2</t>
        </is>
      </c>
      <c r="B631" t="inlineStr">
        <is>
          <t>Visma Enterprise (BOOM)</t>
        </is>
      </c>
      <c r="C631" t="n">
        <v>6</v>
      </c>
      <c r="D631" t="n">
        <v>13</v>
      </c>
      <c r="E631" t="n">
        <v>8</v>
      </c>
      <c r="F631" t="n">
        <v>20240601</v>
      </c>
      <c r="G631" t="n">
        <v>205</v>
      </c>
      <c r="H631" t="n">
        <v>-205</v>
      </c>
      <c r="I631" t="n">
        <v>0</v>
      </c>
      <c r="J631" t="n">
        <v>-205</v>
      </c>
    </row>
    <row r="632">
      <c r="A632" t="inlineStr">
        <is>
          <t>0a7fa966f542b7bc48e683447f93932039d620141089d60b523394ab62d249e0</t>
        </is>
      </c>
      <c r="B632" t="inlineStr">
        <is>
          <t>Visma Enterprise (BOOM)</t>
        </is>
      </c>
      <c r="C632" t="n">
        <v>6</v>
      </c>
      <c r="D632" t="n">
        <v>13</v>
      </c>
      <c r="E632" t="n">
        <v>8</v>
      </c>
      <c r="F632" t="n">
        <v>20240701</v>
      </c>
      <c r="G632" t="n">
        <v>0</v>
      </c>
      <c r="H632" t="n">
        <v>0</v>
      </c>
      <c r="I632" t="n">
        <v>0</v>
      </c>
      <c r="J632" t="n">
        <v>0</v>
      </c>
    </row>
    <row r="633">
      <c r="A633" t="inlineStr">
        <is>
          <t>63b9616875f4f6679ed66784091c41bc69dccb93378ff5a4ca51d808857c9308</t>
        </is>
      </c>
      <c r="B633" t="inlineStr">
        <is>
          <t>Visma Enterprise (BOOM)</t>
        </is>
      </c>
      <c r="C633" t="n">
        <v>6</v>
      </c>
      <c r="D633" t="n">
        <v>13</v>
      </c>
      <c r="E633" t="n">
        <v>8</v>
      </c>
      <c r="F633" t="n">
        <v>20240801</v>
      </c>
      <c r="G633" t="n">
        <v>0</v>
      </c>
      <c r="H633" t="n">
        <v>0</v>
      </c>
      <c r="I633" t="n">
        <v>0</v>
      </c>
      <c r="J633" t="n">
        <v>0</v>
      </c>
    </row>
    <row r="634">
      <c r="A634" t="inlineStr">
        <is>
          <t>ff7d1ca3f58d07cc2736cfdcd67f91297a3a4ac32941a7ac365f672616fe53fc</t>
        </is>
      </c>
      <c r="B634" t="inlineStr">
        <is>
          <t>Visma Enterprise (BOOM)</t>
        </is>
      </c>
      <c r="C634" t="n">
        <v>6</v>
      </c>
      <c r="D634" t="n">
        <v>13</v>
      </c>
      <c r="E634" t="n">
        <v>8</v>
      </c>
      <c r="F634" t="n">
        <v>20240901</v>
      </c>
      <c r="G634" t="n">
        <v>0</v>
      </c>
      <c r="H634" t="n">
        <v>0</v>
      </c>
      <c r="I634" t="n">
        <v>0</v>
      </c>
      <c r="J634" t="n">
        <v>0</v>
      </c>
    </row>
    <row r="635">
      <c r="A635" t="inlineStr">
        <is>
          <t>ec1357111e5e96cb3ecf2b614381cd73591f9c69f4e5a1aba1698b6c7d6db853</t>
        </is>
      </c>
      <c r="B635" t="inlineStr">
        <is>
          <t>Visma Enterprise (BOOM)</t>
        </is>
      </c>
      <c r="C635" t="n">
        <v>6</v>
      </c>
      <c r="D635" t="n">
        <v>13</v>
      </c>
      <c r="E635" t="n">
        <v>8</v>
      </c>
      <c r="F635" t="n">
        <v>20241001</v>
      </c>
      <c r="G635" t="n">
        <v>0</v>
      </c>
      <c r="H635" t="n">
        <v>0</v>
      </c>
      <c r="I635" t="n">
        <v>0</v>
      </c>
      <c r="J635" t="n">
        <v>0</v>
      </c>
    </row>
    <row r="636">
      <c r="A636" t="inlineStr">
        <is>
          <t>3f7e05cee115c533e4fcf400b4886a9348f819e99df4721961294b126f5552d3</t>
        </is>
      </c>
      <c r="B636" t="inlineStr">
        <is>
          <t>Visma Enterprise (BOOM)</t>
        </is>
      </c>
      <c r="C636" t="n">
        <v>6</v>
      </c>
      <c r="D636" t="n">
        <v>13</v>
      </c>
      <c r="E636" t="n">
        <v>8</v>
      </c>
      <c r="F636" t="n">
        <v>20241101</v>
      </c>
      <c r="G636" t="n">
        <v>0</v>
      </c>
      <c r="H636" t="n">
        <v>0</v>
      </c>
      <c r="I636" t="n">
        <v>0</v>
      </c>
      <c r="J636" t="n">
        <v>0</v>
      </c>
    </row>
    <row r="637">
      <c r="A637" t="inlineStr">
        <is>
          <t>f16268a5fd56386dee968203b7ce2db39f550ecf7501a4b70c51939ee717e610</t>
        </is>
      </c>
      <c r="B637" t="inlineStr">
        <is>
          <t>Visma Enterprise (BOOM)</t>
        </is>
      </c>
      <c r="C637" t="n">
        <v>6</v>
      </c>
      <c r="D637" t="n">
        <v>13</v>
      </c>
      <c r="E637" t="n">
        <v>8</v>
      </c>
      <c r="F637" t="n">
        <v>20241201</v>
      </c>
      <c r="G637" t="n">
        <v>0</v>
      </c>
      <c r="H637" t="n">
        <v>0</v>
      </c>
      <c r="I637" t="n">
        <v>0</v>
      </c>
      <c r="J637" t="n">
        <v>0</v>
      </c>
    </row>
    <row r="638">
      <c r="A638" t="inlineStr">
        <is>
          <t>e3d3e77b8bb1c500cbc19d4548195ae609180bb4716917388e5949772145414f</t>
        </is>
      </c>
      <c r="B638" t="inlineStr">
        <is>
          <t>Visma Enterprise (BOOM)</t>
        </is>
      </c>
      <c r="C638" t="n">
        <v>6</v>
      </c>
      <c r="D638" t="n">
        <v>14</v>
      </c>
      <c r="E638" t="n">
        <v>8</v>
      </c>
      <c r="F638" t="n">
        <v>20240101</v>
      </c>
      <c r="G638" t="n">
        <v>0</v>
      </c>
      <c r="H638" t="n">
        <v>0</v>
      </c>
      <c r="I638" t="n">
        <v>850</v>
      </c>
      <c r="J638" t="n">
        <v>-850</v>
      </c>
    </row>
    <row r="639">
      <c r="A639" t="inlineStr">
        <is>
          <t>cc33cd701e5e451827a3766fa8fb5ccd18cd0254a09d406f420885c3039f0c00</t>
        </is>
      </c>
      <c r="B639" t="inlineStr">
        <is>
          <t>Visma Enterprise (BOOM)</t>
        </is>
      </c>
      <c r="C639" t="n">
        <v>6</v>
      </c>
      <c r="D639" t="n">
        <v>14</v>
      </c>
      <c r="E639" t="n">
        <v>8</v>
      </c>
      <c r="F639" t="n">
        <v>20240201</v>
      </c>
      <c r="G639" t="n">
        <v>137.99</v>
      </c>
      <c r="H639" t="n">
        <v>-137.99</v>
      </c>
      <c r="I639" t="n">
        <v>850</v>
      </c>
      <c r="J639" t="n">
        <v>-987.99</v>
      </c>
    </row>
    <row r="640">
      <c r="A640" t="inlineStr">
        <is>
          <t>ff7e9d5c73df9e201586375b2d76a3e30311d2ff043c40df6ed5c9eb383daba9</t>
        </is>
      </c>
      <c r="B640" t="inlineStr">
        <is>
          <t>Visma Enterprise (BOOM)</t>
        </is>
      </c>
      <c r="C640" t="n">
        <v>6</v>
      </c>
      <c r="D640" t="n">
        <v>14</v>
      </c>
      <c r="E640" t="n">
        <v>8</v>
      </c>
      <c r="F640" t="n">
        <v>20240301</v>
      </c>
      <c r="G640" t="n">
        <v>273.21</v>
      </c>
      <c r="H640" t="n">
        <v>-273.21</v>
      </c>
      <c r="I640" t="n">
        <v>850</v>
      </c>
      <c r="J640" t="n">
        <v>-1123.21</v>
      </c>
    </row>
    <row r="641">
      <c r="A641" t="inlineStr">
        <is>
          <t>00d762167f16fdd68cc4354bff0fbf611b63b344e4dc91c96e7238974f60b21c</t>
        </is>
      </c>
      <c r="B641" t="inlineStr">
        <is>
          <t>Visma Enterprise (BOOM)</t>
        </is>
      </c>
      <c r="C641" t="n">
        <v>6</v>
      </c>
      <c r="D641" t="n">
        <v>14</v>
      </c>
      <c r="E641" t="n">
        <v>8</v>
      </c>
      <c r="F641" t="n">
        <v>20240401</v>
      </c>
      <c r="G641" t="n">
        <v>137</v>
      </c>
      <c r="H641" t="n">
        <v>-137</v>
      </c>
      <c r="I641" t="n">
        <v>850</v>
      </c>
      <c r="J641" t="n">
        <v>-987</v>
      </c>
    </row>
    <row r="642">
      <c r="A642" t="inlineStr">
        <is>
          <t>1365d58a64f9896d9da314148ec8e347facb7b11e6a39ae9edce9ec5e8fac2b3</t>
        </is>
      </c>
      <c r="B642" t="inlineStr">
        <is>
          <t>Visma Enterprise (BOOM)</t>
        </is>
      </c>
      <c r="C642" t="n">
        <v>6</v>
      </c>
      <c r="D642" t="n">
        <v>14</v>
      </c>
      <c r="E642" t="n">
        <v>8</v>
      </c>
      <c r="F642" t="n">
        <v>20240501</v>
      </c>
      <c r="G642" t="n">
        <v>138.98</v>
      </c>
      <c r="H642" t="n">
        <v>-138.98</v>
      </c>
      <c r="I642" t="n">
        <v>850</v>
      </c>
      <c r="J642" t="n">
        <v>-988.98</v>
      </c>
    </row>
    <row r="643">
      <c r="A643" t="inlineStr">
        <is>
          <t>3a902408d34e376c132e50f315eded6198b5abc5c337fdad506ff163d08ce41e</t>
        </is>
      </c>
      <c r="B643" t="inlineStr">
        <is>
          <t>Visma Enterprise (BOOM)</t>
        </is>
      </c>
      <c r="C643" t="n">
        <v>6</v>
      </c>
      <c r="D643" t="n">
        <v>14</v>
      </c>
      <c r="E643" t="n">
        <v>8</v>
      </c>
      <c r="F643" t="n">
        <v>20240601</v>
      </c>
      <c r="G643" t="n">
        <v>135.42</v>
      </c>
      <c r="H643" t="n">
        <v>-135.42</v>
      </c>
      <c r="I643" t="n">
        <v>850</v>
      </c>
      <c r="J643" t="n">
        <v>-985.42</v>
      </c>
    </row>
    <row r="644">
      <c r="A644" t="inlineStr">
        <is>
          <t>33a655057366cf3e7af165a141bbcb9706fbc09c000eaafdc6443691b6a7801c</t>
        </is>
      </c>
      <c r="B644" t="inlineStr">
        <is>
          <t>Visma Enterprise (BOOM)</t>
        </is>
      </c>
      <c r="C644" t="n">
        <v>6</v>
      </c>
      <c r="D644" t="n">
        <v>14</v>
      </c>
      <c r="E644" t="n">
        <v>8</v>
      </c>
      <c r="F644" t="n">
        <v>20240701</v>
      </c>
      <c r="G644" t="n">
        <v>545.08</v>
      </c>
      <c r="H644" t="n">
        <v>-545.08</v>
      </c>
      <c r="I644" t="n">
        <v>850</v>
      </c>
      <c r="J644" t="n">
        <v>-1395.08</v>
      </c>
    </row>
    <row r="645">
      <c r="A645" t="inlineStr">
        <is>
          <t>0eee8e6f8142a9cc244fc3d0332d129d7495d535da765397e67aa0dbcbfff456</t>
        </is>
      </c>
      <c r="B645" t="inlineStr">
        <is>
          <t>Visma Enterprise (BOOM)</t>
        </is>
      </c>
      <c r="C645" t="n">
        <v>6</v>
      </c>
      <c r="D645" t="n">
        <v>14</v>
      </c>
      <c r="E645" t="n">
        <v>8</v>
      </c>
      <c r="F645" t="n">
        <v>20240801</v>
      </c>
      <c r="G645" t="n">
        <v>491.99</v>
      </c>
      <c r="H645" t="n">
        <v>-491.99</v>
      </c>
      <c r="I645" t="n">
        <v>850</v>
      </c>
      <c r="J645" t="n">
        <v>-1341.99</v>
      </c>
    </row>
    <row r="646">
      <c r="A646" t="inlineStr">
        <is>
          <t>947fe664c9eb355772ff2b4cfd2efaa5656dfc411a688c7712705318abefff10</t>
        </is>
      </c>
      <c r="B646" t="inlineStr">
        <is>
          <t>Visma Enterprise (BOOM)</t>
        </is>
      </c>
      <c r="C646" t="n">
        <v>6</v>
      </c>
      <c r="D646" t="n">
        <v>14</v>
      </c>
      <c r="E646" t="n">
        <v>8</v>
      </c>
      <c r="F646" t="n">
        <v>20240901</v>
      </c>
      <c r="G646" t="n">
        <v>0</v>
      </c>
      <c r="H646" t="n">
        <v>0</v>
      </c>
      <c r="I646" t="n">
        <v>850</v>
      </c>
      <c r="J646" t="n">
        <v>-850</v>
      </c>
    </row>
    <row r="647">
      <c r="A647" t="inlineStr">
        <is>
          <t>b49c768d4b64d5c24d71c58f7bd0a2d1fac11f5f083a483fe8904aa01e34fd6e</t>
        </is>
      </c>
      <c r="B647" t="inlineStr">
        <is>
          <t>Visma Enterprise (BOOM)</t>
        </is>
      </c>
      <c r="C647" t="n">
        <v>6</v>
      </c>
      <c r="D647" t="n">
        <v>14</v>
      </c>
      <c r="E647" t="n">
        <v>8</v>
      </c>
      <c r="F647" t="n">
        <v>20241001</v>
      </c>
      <c r="G647" t="n">
        <v>0</v>
      </c>
      <c r="H647" t="n">
        <v>0</v>
      </c>
      <c r="I647" t="n">
        <v>850</v>
      </c>
      <c r="J647" t="n">
        <v>-850</v>
      </c>
    </row>
    <row r="648">
      <c r="A648" t="inlineStr">
        <is>
          <t>a242f63af93223fdd4f85589cde3c44eb2eda523e2e379e8274d8a355ee9929b</t>
        </is>
      </c>
      <c r="B648" t="inlineStr">
        <is>
          <t>Visma Enterprise (BOOM)</t>
        </is>
      </c>
      <c r="C648" t="n">
        <v>6</v>
      </c>
      <c r="D648" t="n">
        <v>14</v>
      </c>
      <c r="E648" t="n">
        <v>8</v>
      </c>
      <c r="F648" t="n">
        <v>20241101</v>
      </c>
      <c r="G648" t="n">
        <v>0</v>
      </c>
      <c r="H648" t="n">
        <v>0</v>
      </c>
      <c r="I648" t="n">
        <v>850</v>
      </c>
      <c r="J648" t="n">
        <v>-850</v>
      </c>
    </row>
    <row r="649">
      <c r="A649" t="inlineStr">
        <is>
          <t>1750114ee837ebea15a53699c195a26a141234c16aa2d69ae7e97871da7da06d</t>
        </is>
      </c>
      <c r="B649" t="inlineStr">
        <is>
          <t>Visma Enterprise (BOOM)</t>
        </is>
      </c>
      <c r="C649" t="n">
        <v>6</v>
      </c>
      <c r="D649" t="n">
        <v>14</v>
      </c>
      <c r="E649" t="n">
        <v>8</v>
      </c>
      <c r="F649" t="n">
        <v>20241201</v>
      </c>
      <c r="G649" t="n">
        <v>0</v>
      </c>
      <c r="H649" t="n">
        <v>0</v>
      </c>
      <c r="I649" t="n">
        <v>650</v>
      </c>
      <c r="J649" t="n">
        <v>-650</v>
      </c>
    </row>
    <row r="650">
      <c r="A650" t="inlineStr">
        <is>
          <t>77e1fdf87f76df99edd83862b9564976d24870bfd8d2e9849559cc62047d708d</t>
        </is>
      </c>
      <c r="B650" t="inlineStr">
        <is>
          <t>Visma Enterprise (BOOM)</t>
        </is>
      </c>
      <c r="C650" t="n">
        <v>6</v>
      </c>
      <c r="D650" t="n">
        <v>14</v>
      </c>
      <c r="E650" t="n">
        <v>8</v>
      </c>
      <c r="F650" t="n">
        <v>20240101</v>
      </c>
      <c r="G650" t="n">
        <v>0</v>
      </c>
      <c r="H650" t="n">
        <v>0</v>
      </c>
      <c r="I650" t="n">
        <v>0</v>
      </c>
      <c r="J650" t="n">
        <v>0</v>
      </c>
    </row>
    <row r="651">
      <c r="A651" t="inlineStr">
        <is>
          <t>1e0e9cf77645de9f00f12c2e1479209b0e3260dad60c55fd17c07462cc2272d5</t>
        </is>
      </c>
      <c r="B651" t="inlineStr">
        <is>
          <t>Visma Enterprise (BOOM)</t>
        </is>
      </c>
      <c r="C651" t="n">
        <v>6</v>
      </c>
      <c r="D651" t="n">
        <v>14</v>
      </c>
      <c r="E651" t="n">
        <v>8</v>
      </c>
      <c r="F651" t="n">
        <v>20240201</v>
      </c>
      <c r="G651" t="n">
        <v>0</v>
      </c>
      <c r="H651" t="n">
        <v>0</v>
      </c>
      <c r="I651" t="n">
        <v>0</v>
      </c>
      <c r="J651" t="n">
        <v>0</v>
      </c>
    </row>
    <row r="652">
      <c r="A652" t="inlineStr">
        <is>
          <t>716a5ebdea5b822274a03b260bb2049d480987458c5e931557f5276470e73ddf</t>
        </is>
      </c>
      <c r="B652" t="inlineStr">
        <is>
          <t>Visma Enterprise (BOOM)</t>
        </is>
      </c>
      <c r="C652" t="n">
        <v>6</v>
      </c>
      <c r="D652" t="n">
        <v>14</v>
      </c>
      <c r="E652" t="n">
        <v>8</v>
      </c>
      <c r="F652" t="n">
        <v>20240301</v>
      </c>
      <c r="G652" t="n">
        <v>0</v>
      </c>
      <c r="H652" t="n">
        <v>0</v>
      </c>
      <c r="I652" t="n">
        <v>0</v>
      </c>
      <c r="J652" t="n">
        <v>0</v>
      </c>
    </row>
    <row r="653">
      <c r="A653" t="inlineStr">
        <is>
          <t>4f07850fcf403dd40550b224ac35758fe40e1511227f47fd18bf188a6e4155b4</t>
        </is>
      </c>
      <c r="B653" t="inlineStr">
        <is>
          <t>Visma Enterprise (BOOM)</t>
        </is>
      </c>
      <c r="C653" t="n">
        <v>6</v>
      </c>
      <c r="D653" t="n">
        <v>14</v>
      </c>
      <c r="E653" t="n">
        <v>8</v>
      </c>
      <c r="F653" t="n">
        <v>20240401</v>
      </c>
      <c r="G653" t="n">
        <v>0</v>
      </c>
      <c r="H653" t="n">
        <v>0</v>
      </c>
      <c r="I653" t="n">
        <v>0</v>
      </c>
      <c r="J653" t="n">
        <v>0</v>
      </c>
    </row>
    <row r="654">
      <c r="A654" t="inlineStr">
        <is>
          <t>616074f99df273c21b4615c047cd7d6dd9edc42e4877112e30709ddcba8ce0eb</t>
        </is>
      </c>
      <c r="B654" t="inlineStr">
        <is>
          <t>Visma Enterprise (BOOM)</t>
        </is>
      </c>
      <c r="C654" t="n">
        <v>6</v>
      </c>
      <c r="D654" t="n">
        <v>14</v>
      </c>
      <c r="E654" t="n">
        <v>8</v>
      </c>
      <c r="F654" t="n">
        <v>20240501</v>
      </c>
      <c r="G654" t="n">
        <v>295</v>
      </c>
      <c r="H654" t="n">
        <v>-295</v>
      </c>
      <c r="I654" t="n">
        <v>0</v>
      </c>
      <c r="J654" t="n">
        <v>-295</v>
      </c>
    </row>
    <row r="655">
      <c r="A655" t="inlineStr">
        <is>
          <t>51b8b6984627a65919af394e54d2ac08094fc97dca23427eb0ba2a387c340c67</t>
        </is>
      </c>
      <c r="B655" t="inlineStr">
        <is>
          <t>Visma Enterprise (BOOM)</t>
        </is>
      </c>
      <c r="C655" t="n">
        <v>6</v>
      </c>
      <c r="D655" t="n">
        <v>14</v>
      </c>
      <c r="E655" t="n">
        <v>8</v>
      </c>
      <c r="F655" t="n">
        <v>20240601</v>
      </c>
      <c r="G655" t="n">
        <v>0</v>
      </c>
      <c r="H655" t="n">
        <v>0</v>
      </c>
      <c r="I655" t="n">
        <v>0</v>
      </c>
      <c r="J655" t="n">
        <v>0</v>
      </c>
    </row>
    <row r="656">
      <c r="A656" t="inlineStr">
        <is>
          <t>9981fb1514cb4aac17e85f0f1e9aba70e390072ad69814baa167200c393a21a2</t>
        </is>
      </c>
      <c r="B656" t="inlineStr">
        <is>
          <t>Visma Enterprise (BOOM)</t>
        </is>
      </c>
      <c r="C656" t="n">
        <v>6</v>
      </c>
      <c r="D656" t="n">
        <v>14</v>
      </c>
      <c r="E656" t="n">
        <v>8</v>
      </c>
      <c r="F656" t="n">
        <v>20240701</v>
      </c>
      <c r="G656" t="n">
        <v>0</v>
      </c>
      <c r="H656" t="n">
        <v>0</v>
      </c>
      <c r="I656" t="n">
        <v>0</v>
      </c>
      <c r="J656" t="n">
        <v>0</v>
      </c>
    </row>
    <row r="657">
      <c r="A657" t="inlineStr">
        <is>
          <t>05fca5c4adb51c07c5e3c98f6a24e9ed753254fd23cbacdbbc2438b5442386f7</t>
        </is>
      </c>
      <c r="B657" t="inlineStr">
        <is>
          <t>Visma Enterprise (BOOM)</t>
        </is>
      </c>
      <c r="C657" t="n">
        <v>6</v>
      </c>
      <c r="D657" t="n">
        <v>14</v>
      </c>
      <c r="E657" t="n">
        <v>8</v>
      </c>
      <c r="F657" t="n">
        <v>20240801</v>
      </c>
      <c r="G657" t="n">
        <v>0</v>
      </c>
      <c r="H657" t="n">
        <v>0</v>
      </c>
      <c r="I657" t="n">
        <v>0</v>
      </c>
      <c r="J657" t="n">
        <v>0</v>
      </c>
    </row>
    <row r="658">
      <c r="A658" t="inlineStr">
        <is>
          <t>35614d6ec753dbac5eef621dabb1c75e31fb97bb570bea9d7db66b47261baac7</t>
        </is>
      </c>
      <c r="B658" t="inlineStr">
        <is>
          <t>Visma Enterprise (BOOM)</t>
        </is>
      </c>
      <c r="C658" t="n">
        <v>6</v>
      </c>
      <c r="D658" t="n">
        <v>14</v>
      </c>
      <c r="E658" t="n">
        <v>8</v>
      </c>
      <c r="F658" t="n">
        <v>20240901</v>
      </c>
      <c r="G658" t="n">
        <v>0</v>
      </c>
      <c r="H658" t="n">
        <v>0</v>
      </c>
      <c r="I658" t="n">
        <v>0</v>
      </c>
      <c r="J658" t="n">
        <v>0</v>
      </c>
    </row>
    <row r="659">
      <c r="A659" t="inlineStr">
        <is>
          <t>af06dedca814f2ac9773562ff520e89131f36921cc21c072c3c6e73b4e9b14a3</t>
        </is>
      </c>
      <c r="B659" t="inlineStr">
        <is>
          <t>Visma Enterprise (BOOM)</t>
        </is>
      </c>
      <c r="C659" t="n">
        <v>6</v>
      </c>
      <c r="D659" t="n">
        <v>14</v>
      </c>
      <c r="E659" t="n">
        <v>8</v>
      </c>
      <c r="F659" t="n">
        <v>20241001</v>
      </c>
      <c r="G659" t="n">
        <v>0</v>
      </c>
      <c r="H659" t="n">
        <v>0</v>
      </c>
      <c r="I659" t="n">
        <v>0</v>
      </c>
      <c r="J659" t="n">
        <v>0</v>
      </c>
    </row>
    <row r="660">
      <c r="A660" t="inlineStr">
        <is>
          <t>3a8d13454efff535a3b70e1dfda55bd94d2af7c04a6cba6c0374928415faabec</t>
        </is>
      </c>
      <c r="B660" t="inlineStr">
        <is>
          <t>Visma Enterprise (BOOM)</t>
        </is>
      </c>
      <c r="C660" t="n">
        <v>6</v>
      </c>
      <c r="D660" t="n">
        <v>14</v>
      </c>
      <c r="E660" t="n">
        <v>8</v>
      </c>
      <c r="F660" t="n">
        <v>20241101</v>
      </c>
      <c r="G660" t="n">
        <v>0</v>
      </c>
      <c r="H660" t="n">
        <v>0</v>
      </c>
      <c r="I660" t="n">
        <v>0</v>
      </c>
      <c r="J660" t="n">
        <v>0</v>
      </c>
    </row>
    <row r="661">
      <c r="A661" t="inlineStr">
        <is>
          <t>4b6382c560d66346c1ccfd36f0e4008df876f11364cbed70830a2955d2124485</t>
        </is>
      </c>
      <c r="B661" t="inlineStr">
        <is>
          <t>Visma Enterprise (BOOM)</t>
        </is>
      </c>
      <c r="C661" t="n">
        <v>6</v>
      </c>
      <c r="D661" t="n">
        <v>14</v>
      </c>
      <c r="E661" t="n">
        <v>8</v>
      </c>
      <c r="F661" t="n">
        <v>20241201</v>
      </c>
      <c r="G661" t="n">
        <v>0</v>
      </c>
      <c r="H661" t="n">
        <v>0</v>
      </c>
      <c r="I661" t="n">
        <v>0</v>
      </c>
      <c r="J661" t="n">
        <v>0</v>
      </c>
    </row>
    <row r="662">
      <c r="A662" t="inlineStr">
        <is>
          <t>b7190dea13b750762cfc81524451c337064499486d1ee56d69908a5903dee779</t>
        </is>
      </c>
      <c r="B662" t="inlineStr">
        <is>
          <t>Visma Enterprise (BOOM)</t>
        </is>
      </c>
      <c r="C662" t="n">
        <v>6</v>
      </c>
      <c r="D662" t="n">
        <v>15</v>
      </c>
      <c r="E662" t="n">
        <v>8</v>
      </c>
      <c r="F662" t="n">
        <v>20240101</v>
      </c>
      <c r="G662" t="n">
        <v>0</v>
      </c>
      <c r="H662" t="n">
        <v>0</v>
      </c>
      <c r="I662" t="n">
        <v>2550</v>
      </c>
      <c r="J662" t="n">
        <v>-2550</v>
      </c>
    </row>
    <row r="663">
      <c r="A663" t="inlineStr">
        <is>
          <t>005b9d8d3d1be7cbc31e757343a5cad05a023888994c23ef31d94feeec180fed</t>
        </is>
      </c>
      <c r="B663" t="inlineStr">
        <is>
          <t>Visma Enterprise (BOOM)</t>
        </is>
      </c>
      <c r="C663" t="n">
        <v>6</v>
      </c>
      <c r="D663" t="n">
        <v>15</v>
      </c>
      <c r="E663" t="n">
        <v>8</v>
      </c>
      <c r="F663" t="n">
        <v>20240201</v>
      </c>
      <c r="G663" t="n">
        <v>6875</v>
      </c>
      <c r="H663" t="n">
        <v>-6875</v>
      </c>
      <c r="I663" t="n">
        <v>2550</v>
      </c>
      <c r="J663" t="n">
        <v>-9425</v>
      </c>
    </row>
    <row r="664">
      <c r="A664" t="inlineStr">
        <is>
          <t>ec20019b892c1f1379d9cf491d746ca543025550da2f06ed81aca0ce965d7062</t>
        </is>
      </c>
      <c r="B664" t="inlineStr">
        <is>
          <t>Visma Enterprise (BOOM)</t>
        </is>
      </c>
      <c r="C664" t="n">
        <v>6</v>
      </c>
      <c r="D664" t="n">
        <v>15</v>
      </c>
      <c r="E664" t="n">
        <v>8</v>
      </c>
      <c r="F664" t="n">
        <v>20240301</v>
      </c>
      <c r="G664" t="n">
        <v>137.5</v>
      </c>
      <c r="H664" t="n">
        <v>-137.5</v>
      </c>
      <c r="I664" t="n">
        <v>2550</v>
      </c>
      <c r="J664" t="n">
        <v>-2687.5</v>
      </c>
    </row>
    <row r="665">
      <c r="A665" t="inlineStr">
        <is>
          <t>edd5a9e7ece1778538aec6454b16a116856087cfb25a5ffaa2ee54bad2b20e7a</t>
        </is>
      </c>
      <c r="B665" t="inlineStr">
        <is>
          <t>Visma Enterprise (BOOM)</t>
        </is>
      </c>
      <c r="C665" t="n">
        <v>6</v>
      </c>
      <c r="D665" t="n">
        <v>15</v>
      </c>
      <c r="E665" t="n">
        <v>8</v>
      </c>
      <c r="F665" t="n">
        <v>20240401</v>
      </c>
      <c r="G665" t="n">
        <v>0</v>
      </c>
      <c r="H665" t="n">
        <v>0</v>
      </c>
      <c r="I665" t="n">
        <v>2550</v>
      </c>
      <c r="J665" t="n">
        <v>-2550</v>
      </c>
    </row>
    <row r="666">
      <c r="A666" t="inlineStr">
        <is>
          <t>0e3c5d06adca1a37b981041637555466deb734ddd4253f0442e6444e4a137712</t>
        </is>
      </c>
      <c r="B666" t="inlineStr">
        <is>
          <t>Visma Enterprise (BOOM)</t>
        </is>
      </c>
      <c r="C666" t="n">
        <v>6</v>
      </c>
      <c r="D666" t="n">
        <v>15</v>
      </c>
      <c r="E666" t="n">
        <v>8</v>
      </c>
      <c r="F666" t="n">
        <v>20240501</v>
      </c>
      <c r="G666" t="n">
        <v>0</v>
      </c>
      <c r="H666" t="n">
        <v>0</v>
      </c>
      <c r="I666" t="n">
        <v>2550</v>
      </c>
      <c r="J666" t="n">
        <v>-2550</v>
      </c>
    </row>
    <row r="667">
      <c r="A667" t="inlineStr">
        <is>
          <t>8bc033ecfe61f1c3c33261af99ecc90cb25f27dfa0615ef55581900056bfa2c3</t>
        </is>
      </c>
      <c r="B667" t="inlineStr">
        <is>
          <t>Visma Enterprise (BOOM)</t>
        </is>
      </c>
      <c r="C667" t="n">
        <v>6</v>
      </c>
      <c r="D667" t="n">
        <v>15</v>
      </c>
      <c r="E667" t="n">
        <v>8</v>
      </c>
      <c r="F667" t="n">
        <v>20240601</v>
      </c>
      <c r="G667" t="n">
        <v>3300</v>
      </c>
      <c r="H667" t="n">
        <v>-3300</v>
      </c>
      <c r="I667" t="n">
        <v>2550</v>
      </c>
      <c r="J667" t="n">
        <v>-5850</v>
      </c>
    </row>
    <row r="668">
      <c r="A668" t="inlineStr">
        <is>
          <t>d8ab395cc8680fee55644da3b88a623d2de1f0e01efb8924a289007b102ec9c0</t>
        </is>
      </c>
      <c r="B668" t="inlineStr">
        <is>
          <t>Visma Enterprise (BOOM)</t>
        </is>
      </c>
      <c r="C668" t="n">
        <v>6</v>
      </c>
      <c r="D668" t="n">
        <v>15</v>
      </c>
      <c r="E668" t="n">
        <v>8</v>
      </c>
      <c r="F668" t="n">
        <v>20240701</v>
      </c>
      <c r="G668" t="n">
        <v>0</v>
      </c>
      <c r="H668" t="n">
        <v>0</v>
      </c>
      <c r="I668" t="n">
        <v>2550</v>
      </c>
      <c r="J668" t="n">
        <v>-2550</v>
      </c>
    </row>
    <row r="669">
      <c r="A669" t="inlineStr">
        <is>
          <t>954891fdace63b8c8a174c37d985834c1dd4a810efb4d0ea8ba627c094ca5f95</t>
        </is>
      </c>
      <c r="B669" t="inlineStr">
        <is>
          <t>Visma Enterprise (BOOM)</t>
        </is>
      </c>
      <c r="C669" t="n">
        <v>6</v>
      </c>
      <c r="D669" t="n">
        <v>15</v>
      </c>
      <c r="E669" t="n">
        <v>8</v>
      </c>
      <c r="F669" t="n">
        <v>20240801</v>
      </c>
      <c r="G669" t="n">
        <v>0</v>
      </c>
      <c r="H669" t="n">
        <v>0</v>
      </c>
      <c r="I669" t="n">
        <v>2550</v>
      </c>
      <c r="J669" t="n">
        <v>-2550</v>
      </c>
    </row>
    <row r="670">
      <c r="A670" t="inlineStr">
        <is>
          <t>01cf60b13ddc2d076ae20836fecb9f562d7c6cd127fa5967efd509aa7df16e0a</t>
        </is>
      </c>
      <c r="B670" t="inlineStr">
        <is>
          <t>Visma Enterprise (BOOM)</t>
        </is>
      </c>
      <c r="C670" t="n">
        <v>6</v>
      </c>
      <c r="D670" t="n">
        <v>15</v>
      </c>
      <c r="E670" t="n">
        <v>8</v>
      </c>
      <c r="F670" t="n">
        <v>20240901</v>
      </c>
      <c r="G670" t="n">
        <v>0</v>
      </c>
      <c r="H670" t="n">
        <v>0</v>
      </c>
      <c r="I670" t="n">
        <v>2550</v>
      </c>
      <c r="J670" t="n">
        <v>-2550</v>
      </c>
    </row>
    <row r="671">
      <c r="A671" t="inlineStr">
        <is>
          <t>15b6ec0c8bfe7e4009aee37b9119a66c86d635480f395bb0396ef14a0f3503ad</t>
        </is>
      </c>
      <c r="B671" t="inlineStr">
        <is>
          <t>Visma Enterprise (BOOM)</t>
        </is>
      </c>
      <c r="C671" t="n">
        <v>6</v>
      </c>
      <c r="D671" t="n">
        <v>15</v>
      </c>
      <c r="E671" t="n">
        <v>8</v>
      </c>
      <c r="F671" t="n">
        <v>20241001</v>
      </c>
      <c r="G671" t="n">
        <v>0</v>
      </c>
      <c r="H671" t="n">
        <v>0</v>
      </c>
      <c r="I671" t="n">
        <v>2550</v>
      </c>
      <c r="J671" t="n">
        <v>-2550</v>
      </c>
    </row>
    <row r="672">
      <c r="A672" t="inlineStr">
        <is>
          <t>a41c6033abb549dc7a4a1e137671febee282987995c9de94feaf38f0f3480107</t>
        </is>
      </c>
      <c r="B672" t="inlineStr">
        <is>
          <t>Visma Enterprise (BOOM)</t>
        </is>
      </c>
      <c r="C672" t="n">
        <v>6</v>
      </c>
      <c r="D672" t="n">
        <v>15</v>
      </c>
      <c r="E672" t="n">
        <v>8</v>
      </c>
      <c r="F672" t="n">
        <v>20241101</v>
      </c>
      <c r="G672" t="n">
        <v>0</v>
      </c>
      <c r="H672" t="n">
        <v>0</v>
      </c>
      <c r="I672" t="n">
        <v>2550</v>
      </c>
      <c r="J672" t="n">
        <v>-2550</v>
      </c>
    </row>
    <row r="673">
      <c r="A673" t="inlineStr">
        <is>
          <t>b44249ac2d6a90cf3a44363adb93786b50f3052c57a733fab4e847016d1d998f</t>
        </is>
      </c>
      <c r="B673" t="inlineStr">
        <is>
          <t>Visma Enterprise (BOOM)</t>
        </is>
      </c>
      <c r="C673" t="n">
        <v>6</v>
      </c>
      <c r="D673" t="n">
        <v>15</v>
      </c>
      <c r="E673" t="n">
        <v>8</v>
      </c>
      <c r="F673" t="n">
        <v>20241201</v>
      </c>
      <c r="G673" t="n">
        <v>0</v>
      </c>
      <c r="H673" t="n">
        <v>0</v>
      </c>
      <c r="I673" t="n">
        <v>2950</v>
      </c>
      <c r="J673" t="n">
        <v>-2950</v>
      </c>
    </row>
    <row r="674">
      <c r="A674" t="inlineStr">
        <is>
          <t>b64d5b43701b84df3d00ad5b72ed8a2e237945f7934ee89cbb6d2ebba54fe4fe</t>
        </is>
      </c>
      <c r="B674" t="inlineStr">
        <is>
          <t>Visma Enterprise (BOOM)</t>
        </is>
      </c>
      <c r="C674" t="n">
        <v>6</v>
      </c>
      <c r="D674" t="n">
        <v>16</v>
      </c>
      <c r="E674" t="n">
        <v>8</v>
      </c>
      <c r="F674" t="n">
        <v>20240101</v>
      </c>
      <c r="G674" t="n">
        <v>0</v>
      </c>
      <c r="H674" t="n">
        <v>0</v>
      </c>
      <c r="I674" t="n">
        <v>5268</v>
      </c>
      <c r="J674" t="n">
        <v>-5268</v>
      </c>
    </row>
    <row r="675">
      <c r="A675" t="inlineStr">
        <is>
          <t>54323f9d6d316dee2de65c2124d9bd8b65771a77de072b5fd29d04b96eb68637</t>
        </is>
      </c>
      <c r="B675" t="inlineStr">
        <is>
          <t>Visma Enterprise (BOOM)</t>
        </is>
      </c>
      <c r="C675" t="n">
        <v>6</v>
      </c>
      <c r="D675" t="n">
        <v>16</v>
      </c>
      <c r="E675" t="n">
        <v>8</v>
      </c>
      <c r="F675" t="n">
        <v>20240201</v>
      </c>
      <c r="G675" t="n">
        <v>0</v>
      </c>
      <c r="H675" t="n">
        <v>0</v>
      </c>
      <c r="I675" t="n">
        <v>5268</v>
      </c>
      <c r="J675" t="n">
        <v>-5268</v>
      </c>
    </row>
    <row r="676">
      <c r="A676" t="inlineStr">
        <is>
          <t>aa8c9e0bd1a591d397bf597440441f11262910ec9ba01ac9ee61b5ead0ddee50</t>
        </is>
      </c>
      <c r="B676" t="inlineStr">
        <is>
          <t>Visma Enterprise (BOOM)</t>
        </is>
      </c>
      <c r="C676" t="n">
        <v>6</v>
      </c>
      <c r="D676" t="n">
        <v>16</v>
      </c>
      <c r="E676" t="n">
        <v>8</v>
      </c>
      <c r="F676" t="n">
        <v>20240301</v>
      </c>
      <c r="G676" t="n">
        <v>282</v>
      </c>
      <c r="H676" t="n">
        <v>-282</v>
      </c>
      <c r="I676" t="n">
        <v>5268</v>
      </c>
      <c r="J676" t="n">
        <v>-5550</v>
      </c>
    </row>
    <row r="677">
      <c r="A677" t="inlineStr">
        <is>
          <t>a6c93c4f0478237c246f213e4de7081857ee68a22a8a9fbfdaaf9aa31dd189ec</t>
        </is>
      </c>
      <c r="B677" t="inlineStr">
        <is>
          <t>Visma Enterprise (BOOM)</t>
        </is>
      </c>
      <c r="C677" t="n">
        <v>6</v>
      </c>
      <c r="D677" t="n">
        <v>16</v>
      </c>
      <c r="E677" t="n">
        <v>8</v>
      </c>
      <c r="F677" t="n">
        <v>20240401</v>
      </c>
      <c r="G677" t="n">
        <v>1125</v>
      </c>
      <c r="H677" t="n">
        <v>-1125</v>
      </c>
      <c r="I677" t="n">
        <v>5268</v>
      </c>
      <c r="J677" t="n">
        <v>-6393</v>
      </c>
    </row>
    <row r="678">
      <c r="A678" t="inlineStr">
        <is>
          <t>5469e247bd3730a68f6c82e3393397f3661adcd62c1d242aacfc6291dc08d28a</t>
        </is>
      </c>
      <c r="B678" t="inlineStr">
        <is>
          <t>Visma Enterprise (BOOM)</t>
        </is>
      </c>
      <c r="C678" t="n">
        <v>6</v>
      </c>
      <c r="D678" t="n">
        <v>16</v>
      </c>
      <c r="E678" t="n">
        <v>8</v>
      </c>
      <c r="F678" t="n">
        <v>20240501</v>
      </c>
      <c r="G678" t="n">
        <v>6640.18</v>
      </c>
      <c r="H678" t="n">
        <v>-6640.18</v>
      </c>
      <c r="I678" t="n">
        <v>5268</v>
      </c>
      <c r="J678" t="n">
        <v>-11908.18</v>
      </c>
    </row>
    <row r="679">
      <c r="A679" t="inlineStr">
        <is>
          <t>b021f1211ec2b4bb517d6edb53b45fd52c736619a709057f9ee8f06c61e5734c</t>
        </is>
      </c>
      <c r="B679" t="inlineStr">
        <is>
          <t>Visma Enterprise (BOOM)</t>
        </is>
      </c>
      <c r="C679" t="n">
        <v>6</v>
      </c>
      <c r="D679" t="n">
        <v>16</v>
      </c>
      <c r="E679" t="n">
        <v>8</v>
      </c>
      <c r="F679" t="n">
        <v>20240601</v>
      </c>
      <c r="G679" t="n">
        <v>0</v>
      </c>
      <c r="H679" t="n">
        <v>0</v>
      </c>
      <c r="I679" t="n">
        <v>5268</v>
      </c>
      <c r="J679" t="n">
        <v>-5268</v>
      </c>
    </row>
    <row r="680">
      <c r="A680" t="inlineStr">
        <is>
          <t>4fb42d7c7faf9852daad3fbce2dc9c987325c40213a790f3f2551f29c0ab5c65</t>
        </is>
      </c>
      <c r="B680" t="inlineStr">
        <is>
          <t>Visma Enterprise (BOOM)</t>
        </is>
      </c>
      <c r="C680" t="n">
        <v>6</v>
      </c>
      <c r="D680" t="n">
        <v>16</v>
      </c>
      <c r="E680" t="n">
        <v>8</v>
      </c>
      <c r="F680" t="n">
        <v>20240701</v>
      </c>
      <c r="G680" t="n">
        <v>0</v>
      </c>
      <c r="H680" t="n">
        <v>0</v>
      </c>
      <c r="I680" t="n">
        <v>5268</v>
      </c>
      <c r="J680" t="n">
        <v>-5268</v>
      </c>
    </row>
    <row r="681">
      <c r="A681" t="inlineStr">
        <is>
          <t>423dafbdf9026d25f4dd70ba04f3b03446171b4d18470981a4d6029263b71818</t>
        </is>
      </c>
      <c r="B681" t="inlineStr">
        <is>
          <t>Visma Enterprise (BOOM)</t>
        </is>
      </c>
      <c r="C681" t="n">
        <v>6</v>
      </c>
      <c r="D681" t="n">
        <v>16</v>
      </c>
      <c r="E681" t="n">
        <v>8</v>
      </c>
      <c r="F681" t="n">
        <v>20240801</v>
      </c>
      <c r="G681" t="n">
        <v>0</v>
      </c>
      <c r="H681" t="n">
        <v>0</v>
      </c>
      <c r="I681" t="n">
        <v>5268</v>
      </c>
      <c r="J681" t="n">
        <v>-5268</v>
      </c>
    </row>
    <row r="682">
      <c r="A682" t="inlineStr">
        <is>
          <t>a71b588dcd5c5910c7f02b487a364e7cffd44cfff8f05854513d2950e4c2cce6</t>
        </is>
      </c>
      <c r="B682" t="inlineStr">
        <is>
          <t>Visma Enterprise (BOOM)</t>
        </is>
      </c>
      <c r="C682" t="n">
        <v>6</v>
      </c>
      <c r="D682" t="n">
        <v>16</v>
      </c>
      <c r="E682" t="n">
        <v>8</v>
      </c>
      <c r="F682" t="n">
        <v>20240901</v>
      </c>
      <c r="G682" t="n">
        <v>0</v>
      </c>
      <c r="H682" t="n">
        <v>0</v>
      </c>
      <c r="I682" t="n">
        <v>5268</v>
      </c>
      <c r="J682" t="n">
        <v>-5268</v>
      </c>
    </row>
    <row r="683">
      <c r="A683" t="inlineStr">
        <is>
          <t>778dced50814de208e304e499a3bdbe59dad038e839aa0a47bc5f1dc9eef2dab</t>
        </is>
      </c>
      <c r="B683" t="inlineStr">
        <is>
          <t>Visma Enterprise (BOOM)</t>
        </is>
      </c>
      <c r="C683" t="n">
        <v>6</v>
      </c>
      <c r="D683" t="n">
        <v>16</v>
      </c>
      <c r="E683" t="n">
        <v>8</v>
      </c>
      <c r="F683" t="n">
        <v>20241001</v>
      </c>
      <c r="G683" t="n">
        <v>0</v>
      </c>
      <c r="H683" t="n">
        <v>0</v>
      </c>
      <c r="I683" t="n">
        <v>5268</v>
      </c>
      <c r="J683" t="n">
        <v>-5268</v>
      </c>
    </row>
    <row r="684">
      <c r="A684" t="inlineStr">
        <is>
          <t>8f5c0acebf93b52bd90b2df792b93f6dc275f9172766eeff76a5973627aa10d1</t>
        </is>
      </c>
      <c r="B684" t="inlineStr">
        <is>
          <t>Visma Enterprise (BOOM)</t>
        </is>
      </c>
      <c r="C684" t="n">
        <v>6</v>
      </c>
      <c r="D684" t="n">
        <v>16</v>
      </c>
      <c r="E684" t="n">
        <v>8</v>
      </c>
      <c r="F684" t="n">
        <v>20241101</v>
      </c>
      <c r="G684" t="n">
        <v>0</v>
      </c>
      <c r="H684" t="n">
        <v>0</v>
      </c>
      <c r="I684" t="n">
        <v>5268</v>
      </c>
      <c r="J684" t="n">
        <v>-5268</v>
      </c>
    </row>
    <row r="685">
      <c r="A685" t="inlineStr">
        <is>
          <t>e990ccdae0135a3354e2f9cf0dc9559e85c53be1181450f32b84d4dd7d97d148</t>
        </is>
      </c>
      <c r="B685" t="inlineStr">
        <is>
          <t>Visma Enterprise (BOOM)</t>
        </is>
      </c>
      <c r="C685" t="n">
        <v>6</v>
      </c>
      <c r="D685" t="n">
        <v>16</v>
      </c>
      <c r="E685" t="n">
        <v>8</v>
      </c>
      <c r="F685" t="n">
        <v>20241201</v>
      </c>
      <c r="G685" t="n">
        <v>0</v>
      </c>
      <c r="H685" t="n">
        <v>0</v>
      </c>
      <c r="I685" t="n">
        <v>5052</v>
      </c>
      <c r="J685" t="n">
        <v>-5052</v>
      </c>
    </row>
    <row r="686">
      <c r="A686" t="inlineStr">
        <is>
          <t>c85535dbb1f27afb8b681bee3ff30b1155b94bb6c0caaa7da595eabe4f64682f</t>
        </is>
      </c>
      <c r="B686" t="inlineStr">
        <is>
          <t>Visma Enterprise (BOOM)</t>
        </is>
      </c>
      <c r="C686" t="n">
        <v>6</v>
      </c>
      <c r="D686" t="n">
        <v>17</v>
      </c>
      <c r="E686" t="n">
        <v>8</v>
      </c>
      <c r="F686" t="n">
        <v>20240101</v>
      </c>
      <c r="G686" t="n">
        <v>0</v>
      </c>
      <c r="H686" t="n">
        <v>0</v>
      </c>
      <c r="I686" t="n">
        <v>850</v>
      </c>
      <c r="J686" t="n">
        <v>-850</v>
      </c>
    </row>
    <row r="687">
      <c r="A687" t="inlineStr">
        <is>
          <t>a98e6525c8fafb25e64ed81257d2d7d3d9dd3d10f935060839a490727e20ba7f</t>
        </is>
      </c>
      <c r="B687" t="inlineStr">
        <is>
          <t>Visma Enterprise (BOOM)</t>
        </is>
      </c>
      <c r="C687" t="n">
        <v>6</v>
      </c>
      <c r="D687" t="n">
        <v>17</v>
      </c>
      <c r="E687" t="n">
        <v>8</v>
      </c>
      <c r="F687" t="n">
        <v>20240201</v>
      </c>
      <c r="G687" t="n">
        <v>0</v>
      </c>
      <c r="H687" t="n">
        <v>0</v>
      </c>
      <c r="I687" t="n">
        <v>850</v>
      </c>
      <c r="J687" t="n">
        <v>-850</v>
      </c>
    </row>
    <row r="688">
      <c r="A688" t="inlineStr">
        <is>
          <t>f5f5c3bc121d9d5b5871af7ddb8a6dba343000e508d89ea5dcafd1964c15f1d8</t>
        </is>
      </c>
      <c r="B688" t="inlineStr">
        <is>
          <t>Visma Enterprise (BOOM)</t>
        </is>
      </c>
      <c r="C688" t="n">
        <v>6</v>
      </c>
      <c r="D688" t="n">
        <v>17</v>
      </c>
      <c r="E688" t="n">
        <v>8</v>
      </c>
      <c r="F688" t="n">
        <v>20240301</v>
      </c>
      <c r="G688" t="n">
        <v>0</v>
      </c>
      <c r="H688" t="n">
        <v>0</v>
      </c>
      <c r="I688" t="n">
        <v>850</v>
      </c>
      <c r="J688" t="n">
        <v>-850</v>
      </c>
    </row>
    <row r="689">
      <c r="A689" t="inlineStr">
        <is>
          <t>6376c1a3e44499e9a88f8886058db4ec696bc8e4f5da166a940cf11c25d82021</t>
        </is>
      </c>
      <c r="B689" t="inlineStr">
        <is>
          <t>Visma Enterprise (BOOM)</t>
        </is>
      </c>
      <c r="C689" t="n">
        <v>6</v>
      </c>
      <c r="D689" t="n">
        <v>17</v>
      </c>
      <c r="E689" t="n">
        <v>8</v>
      </c>
      <c r="F689" t="n">
        <v>20240401</v>
      </c>
      <c r="G689" t="n">
        <v>0</v>
      </c>
      <c r="H689" t="n">
        <v>0</v>
      </c>
      <c r="I689" t="n">
        <v>850</v>
      </c>
      <c r="J689" t="n">
        <v>-850</v>
      </c>
    </row>
    <row r="690">
      <c r="A690" t="inlineStr">
        <is>
          <t>6a006e78fbcc0e49a49142fd64479249fc2aacb2883ad5a45a71e66831ae8034</t>
        </is>
      </c>
      <c r="B690" t="inlineStr">
        <is>
          <t>Visma Enterprise (BOOM)</t>
        </is>
      </c>
      <c r="C690" t="n">
        <v>6</v>
      </c>
      <c r="D690" t="n">
        <v>17</v>
      </c>
      <c r="E690" t="n">
        <v>8</v>
      </c>
      <c r="F690" t="n">
        <v>20240501</v>
      </c>
      <c r="G690" t="n">
        <v>0</v>
      </c>
      <c r="H690" t="n">
        <v>0</v>
      </c>
      <c r="I690" t="n">
        <v>850</v>
      </c>
      <c r="J690" t="n">
        <v>-850</v>
      </c>
    </row>
    <row r="691">
      <c r="A691" t="inlineStr">
        <is>
          <t>2ad1266c7c147bb07cd3ec43fcfde5bd5992c43bd9344d8b4a88ce6abf0de007</t>
        </is>
      </c>
      <c r="B691" t="inlineStr">
        <is>
          <t>Visma Enterprise (BOOM)</t>
        </is>
      </c>
      <c r="C691" t="n">
        <v>6</v>
      </c>
      <c r="D691" t="n">
        <v>17</v>
      </c>
      <c r="E691" t="n">
        <v>8</v>
      </c>
      <c r="F691" t="n">
        <v>20240601</v>
      </c>
      <c r="G691" t="n">
        <v>538.2</v>
      </c>
      <c r="H691" t="n">
        <v>-538.2</v>
      </c>
      <c r="I691" t="n">
        <v>850</v>
      </c>
      <c r="J691" t="n">
        <v>-1388.2</v>
      </c>
    </row>
    <row r="692">
      <c r="A692" t="inlineStr">
        <is>
          <t>f711a76c955fc2705968c4c20f30321924e5605a633fc7751ebb642ba5f2819e</t>
        </is>
      </c>
      <c r="B692" t="inlineStr">
        <is>
          <t>Visma Enterprise (BOOM)</t>
        </is>
      </c>
      <c r="C692" t="n">
        <v>6</v>
      </c>
      <c r="D692" t="n">
        <v>17</v>
      </c>
      <c r="E692" t="n">
        <v>8</v>
      </c>
      <c r="F692" t="n">
        <v>20240701</v>
      </c>
      <c r="G692" t="n">
        <v>1471.05</v>
      </c>
      <c r="H692" t="n">
        <v>-1471.05</v>
      </c>
      <c r="I692" t="n">
        <v>850</v>
      </c>
      <c r="J692" t="n">
        <v>-2321.05</v>
      </c>
    </row>
    <row r="693">
      <c r="A693" t="inlineStr">
        <is>
          <t>642e321295af60c5cd6517886bfadc9b520070b98c1cfbeb2e5702910d2d1e18</t>
        </is>
      </c>
      <c r="B693" t="inlineStr">
        <is>
          <t>Visma Enterprise (BOOM)</t>
        </is>
      </c>
      <c r="C693" t="n">
        <v>6</v>
      </c>
      <c r="D693" t="n">
        <v>17</v>
      </c>
      <c r="E693" t="n">
        <v>8</v>
      </c>
      <c r="F693" t="n">
        <v>20240801</v>
      </c>
      <c r="G693" t="n">
        <v>0</v>
      </c>
      <c r="H693" t="n">
        <v>0</v>
      </c>
      <c r="I693" t="n">
        <v>850</v>
      </c>
      <c r="J693" t="n">
        <v>-850</v>
      </c>
    </row>
    <row r="694">
      <c r="A694" t="inlineStr">
        <is>
          <t>44eb765e75c495498179c4e5151dc93d302abdbbcbf0230836d7a46b2c6f2a79</t>
        </is>
      </c>
      <c r="B694" t="inlineStr">
        <is>
          <t>Visma Enterprise (BOOM)</t>
        </is>
      </c>
      <c r="C694" t="n">
        <v>6</v>
      </c>
      <c r="D694" t="n">
        <v>17</v>
      </c>
      <c r="E694" t="n">
        <v>8</v>
      </c>
      <c r="F694" t="n">
        <v>20240901</v>
      </c>
      <c r="G694" t="n">
        <v>0</v>
      </c>
      <c r="H694" t="n">
        <v>0</v>
      </c>
      <c r="I694" t="n">
        <v>850</v>
      </c>
      <c r="J694" t="n">
        <v>-850</v>
      </c>
    </row>
    <row r="695">
      <c r="A695" t="inlineStr">
        <is>
          <t>f9b6b3c78caef2ffef9d402c0987539be77c0cad257e3f9abf554cbd34e35402</t>
        </is>
      </c>
      <c r="B695" t="inlineStr">
        <is>
          <t>Visma Enterprise (BOOM)</t>
        </is>
      </c>
      <c r="C695" t="n">
        <v>6</v>
      </c>
      <c r="D695" t="n">
        <v>17</v>
      </c>
      <c r="E695" t="n">
        <v>8</v>
      </c>
      <c r="F695" t="n">
        <v>20241001</v>
      </c>
      <c r="G695" t="n">
        <v>0</v>
      </c>
      <c r="H695" t="n">
        <v>0</v>
      </c>
      <c r="I695" t="n">
        <v>850</v>
      </c>
      <c r="J695" t="n">
        <v>-850</v>
      </c>
    </row>
    <row r="696">
      <c r="A696" t="inlineStr">
        <is>
          <t>04e336c7fccdb4c2b7951976d379d7a57718479363179c6010fea622a5059710</t>
        </is>
      </c>
      <c r="B696" t="inlineStr">
        <is>
          <t>Visma Enterprise (BOOM)</t>
        </is>
      </c>
      <c r="C696" t="n">
        <v>6</v>
      </c>
      <c r="D696" t="n">
        <v>17</v>
      </c>
      <c r="E696" t="n">
        <v>8</v>
      </c>
      <c r="F696" t="n">
        <v>20241101</v>
      </c>
      <c r="G696" t="n">
        <v>0</v>
      </c>
      <c r="H696" t="n">
        <v>0</v>
      </c>
      <c r="I696" t="n">
        <v>850</v>
      </c>
      <c r="J696" t="n">
        <v>-850</v>
      </c>
    </row>
    <row r="697">
      <c r="A697" t="inlineStr">
        <is>
          <t>8b20a53f8050c71b8e5a6d1a4d5f653e10bc6d419228c9c60be3dc950858a891</t>
        </is>
      </c>
      <c r="B697" t="inlineStr">
        <is>
          <t>Visma Enterprise (BOOM)</t>
        </is>
      </c>
      <c r="C697" t="n">
        <v>6</v>
      </c>
      <c r="D697" t="n">
        <v>17</v>
      </c>
      <c r="E697" t="n">
        <v>8</v>
      </c>
      <c r="F697" t="n">
        <v>20241201</v>
      </c>
      <c r="G697" t="n">
        <v>0</v>
      </c>
      <c r="H697" t="n">
        <v>0</v>
      </c>
      <c r="I697" t="n">
        <v>650</v>
      </c>
      <c r="J697" t="n">
        <v>-650</v>
      </c>
    </row>
    <row r="698">
      <c r="A698" t="inlineStr">
        <is>
          <t>371659636d62e60b46a1361780ceabc45c781b3c285c42ac89bf726ce9f652e5</t>
        </is>
      </c>
      <c r="B698" t="inlineStr">
        <is>
          <t>Visma Enterprise (BOOM)</t>
        </is>
      </c>
      <c r="C698" t="n">
        <v>6</v>
      </c>
      <c r="D698" t="n">
        <v>18</v>
      </c>
      <c r="E698" t="n">
        <v>8</v>
      </c>
      <c r="F698" t="n">
        <v>20240101</v>
      </c>
      <c r="G698" t="n">
        <v>1287.68</v>
      </c>
      <c r="H698" t="n">
        <v>-1287.68</v>
      </c>
      <c r="I698" t="n">
        <v>4078</v>
      </c>
      <c r="J698" t="n">
        <v>-5365.68</v>
      </c>
    </row>
    <row r="699">
      <c r="A699" t="inlineStr">
        <is>
          <t>e9b1232eb408485eec4d69b7562b6d53539726406b3ad2059209dcf5f77850cf</t>
        </is>
      </c>
      <c r="B699" t="inlineStr">
        <is>
          <t>Visma Enterprise (BOOM)</t>
        </is>
      </c>
      <c r="C699" t="n">
        <v>6</v>
      </c>
      <c r="D699" t="n">
        <v>18</v>
      </c>
      <c r="E699" t="n">
        <v>8</v>
      </c>
      <c r="F699" t="n">
        <v>20240201</v>
      </c>
      <c r="G699" t="n">
        <v>1206.14</v>
      </c>
      <c r="H699" t="n">
        <v>-1206.14</v>
      </c>
      <c r="I699" t="n">
        <v>4078</v>
      </c>
      <c r="J699" t="n">
        <v>-5284.14</v>
      </c>
    </row>
    <row r="700">
      <c r="A700" t="inlineStr">
        <is>
          <t>d88d2a271bc2c34f0cce85b217115ea42bf51e2a0e32f5c6276fd18ed4f9c224</t>
        </is>
      </c>
      <c r="B700" t="inlineStr">
        <is>
          <t>Visma Enterprise (BOOM)</t>
        </is>
      </c>
      <c r="C700" t="n">
        <v>6</v>
      </c>
      <c r="D700" t="n">
        <v>18</v>
      </c>
      <c r="E700" t="n">
        <v>8</v>
      </c>
      <c r="F700" t="n">
        <v>20240301</v>
      </c>
      <c r="G700" t="n">
        <v>1272.76</v>
      </c>
      <c r="H700" t="n">
        <v>-1272.76</v>
      </c>
      <c r="I700" t="n">
        <v>4078</v>
      </c>
      <c r="J700" t="n">
        <v>-5350.76</v>
      </c>
    </row>
    <row r="701">
      <c r="A701" t="inlineStr">
        <is>
          <t>57c350a713dca29cf50f9785b69f16bbc54ea33f517cfbb9461f75bf86e9d364</t>
        </is>
      </c>
      <c r="B701" t="inlineStr">
        <is>
          <t>Visma Enterprise (BOOM)</t>
        </is>
      </c>
      <c r="C701" t="n">
        <v>6</v>
      </c>
      <c r="D701" t="n">
        <v>18</v>
      </c>
      <c r="E701" t="n">
        <v>8</v>
      </c>
      <c r="F701" t="n">
        <v>20240401</v>
      </c>
      <c r="G701" t="n">
        <v>1002.81</v>
      </c>
      <c r="H701" t="n">
        <v>-1002.81</v>
      </c>
      <c r="I701" t="n">
        <v>4078</v>
      </c>
      <c r="J701" t="n">
        <v>-5080.809999999999</v>
      </c>
    </row>
    <row r="702">
      <c r="A702" t="inlineStr">
        <is>
          <t>cfdc02fa4dac33779ebc500008bc7a36c3cc51d5483568dc0cd1a19f0053f008</t>
        </is>
      </c>
      <c r="B702" t="inlineStr">
        <is>
          <t>Visma Enterprise (BOOM)</t>
        </is>
      </c>
      <c r="C702" t="n">
        <v>6</v>
      </c>
      <c r="D702" t="n">
        <v>18</v>
      </c>
      <c r="E702" t="n">
        <v>8</v>
      </c>
      <c r="F702" t="n">
        <v>20240501</v>
      </c>
      <c r="G702" t="n">
        <v>1113.62</v>
      </c>
      <c r="H702" t="n">
        <v>-1113.62</v>
      </c>
      <c r="I702" t="n">
        <v>4078</v>
      </c>
      <c r="J702" t="n">
        <v>-5191.62</v>
      </c>
    </row>
    <row r="703">
      <c r="A703" t="inlineStr">
        <is>
          <t>d48e4dc00d576f0872d86e1ed41dad8725ead80cac8b08d2a37eb0c18fdee4d5</t>
        </is>
      </c>
      <c r="B703" t="inlineStr">
        <is>
          <t>Visma Enterprise (BOOM)</t>
        </is>
      </c>
      <c r="C703" t="n">
        <v>6</v>
      </c>
      <c r="D703" t="n">
        <v>18</v>
      </c>
      <c r="E703" t="n">
        <v>8</v>
      </c>
      <c r="F703" t="n">
        <v>20240601</v>
      </c>
      <c r="G703" t="n">
        <v>999.62</v>
      </c>
      <c r="H703" t="n">
        <v>-999.62</v>
      </c>
      <c r="I703" t="n">
        <v>4078</v>
      </c>
      <c r="J703" t="n">
        <v>-5077.62</v>
      </c>
    </row>
    <row r="704">
      <c r="A704" t="inlineStr">
        <is>
          <t>1036009f8138d340ce79fb1dc766cfc2d9c26e2ece465ec50c46317a103749e3</t>
        </is>
      </c>
      <c r="B704" t="inlineStr">
        <is>
          <t>Visma Enterprise (BOOM)</t>
        </is>
      </c>
      <c r="C704" t="n">
        <v>6</v>
      </c>
      <c r="D704" t="n">
        <v>18</v>
      </c>
      <c r="E704" t="n">
        <v>8</v>
      </c>
      <c r="F704" t="n">
        <v>20240701</v>
      </c>
      <c r="G704" t="n">
        <v>3184.4</v>
      </c>
      <c r="H704" t="n">
        <v>-3184.4</v>
      </c>
      <c r="I704" t="n">
        <v>4078</v>
      </c>
      <c r="J704" t="n">
        <v>-7262.4</v>
      </c>
    </row>
    <row r="705">
      <c r="A705" t="inlineStr">
        <is>
          <t>1a835815d4ae5f27a96398c6d62e58189c7add2037a87abd00aca3ea86bc2ff0</t>
        </is>
      </c>
      <c r="B705" t="inlineStr">
        <is>
          <t>Visma Enterprise (BOOM)</t>
        </is>
      </c>
      <c r="C705" t="n">
        <v>6</v>
      </c>
      <c r="D705" t="n">
        <v>18</v>
      </c>
      <c r="E705" t="n">
        <v>8</v>
      </c>
      <c r="F705" t="n">
        <v>20240801</v>
      </c>
      <c r="G705" t="n">
        <v>1211.48</v>
      </c>
      <c r="H705" t="n">
        <v>-1211.48</v>
      </c>
      <c r="I705" t="n">
        <v>4078</v>
      </c>
      <c r="J705" t="n">
        <v>-5289.48</v>
      </c>
    </row>
    <row r="706">
      <c r="A706" t="inlineStr">
        <is>
          <t>178a026aa9d7710e68f622453281aa482a9f2142f4a6b290d883df582ad28c43</t>
        </is>
      </c>
      <c r="B706" t="inlineStr">
        <is>
          <t>Visma Enterprise (BOOM)</t>
        </is>
      </c>
      <c r="C706" t="n">
        <v>6</v>
      </c>
      <c r="D706" t="n">
        <v>18</v>
      </c>
      <c r="E706" t="n">
        <v>8</v>
      </c>
      <c r="F706" t="n">
        <v>20240901</v>
      </c>
      <c r="G706" t="n">
        <v>0</v>
      </c>
      <c r="H706" t="n">
        <v>0</v>
      </c>
      <c r="I706" t="n">
        <v>4078</v>
      </c>
      <c r="J706" t="n">
        <v>-4078</v>
      </c>
    </row>
    <row r="707">
      <c r="A707" t="inlineStr">
        <is>
          <t>34d266a09fbf180c9ef6278063aa8f6a8687112c462d031aa1879f44ec4b4371</t>
        </is>
      </c>
      <c r="B707" t="inlineStr">
        <is>
          <t>Visma Enterprise (BOOM)</t>
        </is>
      </c>
      <c r="C707" t="n">
        <v>6</v>
      </c>
      <c r="D707" t="n">
        <v>18</v>
      </c>
      <c r="E707" t="n">
        <v>8</v>
      </c>
      <c r="F707" t="n">
        <v>20241001</v>
      </c>
      <c r="G707" t="n">
        <v>0</v>
      </c>
      <c r="H707" t="n">
        <v>0</v>
      </c>
      <c r="I707" t="n">
        <v>4078</v>
      </c>
      <c r="J707" t="n">
        <v>-4078</v>
      </c>
    </row>
    <row r="708">
      <c r="A708" t="inlineStr">
        <is>
          <t>832956d984fc67b688ad9eb2f5db9d958585d1bc3ab40412798ebae8bcab8f55</t>
        </is>
      </c>
      <c r="B708" t="inlineStr">
        <is>
          <t>Visma Enterprise (BOOM)</t>
        </is>
      </c>
      <c r="C708" t="n">
        <v>6</v>
      </c>
      <c r="D708" t="n">
        <v>18</v>
      </c>
      <c r="E708" t="n">
        <v>8</v>
      </c>
      <c r="F708" t="n">
        <v>20241101</v>
      </c>
      <c r="G708" t="n">
        <v>0</v>
      </c>
      <c r="H708" t="n">
        <v>0</v>
      </c>
      <c r="I708" t="n">
        <v>4078</v>
      </c>
      <c r="J708" t="n">
        <v>-4078</v>
      </c>
    </row>
    <row r="709">
      <c r="A709" t="inlineStr">
        <is>
          <t>a95f935657f5499d8f82dc57453f4729097c3ee546f935e193ac393f22dcde76</t>
        </is>
      </c>
      <c r="B709" t="inlineStr">
        <is>
          <t>Visma Enterprise (BOOM)</t>
        </is>
      </c>
      <c r="C709" t="n">
        <v>6</v>
      </c>
      <c r="D709" t="n">
        <v>18</v>
      </c>
      <c r="E709" t="n">
        <v>8</v>
      </c>
      <c r="F709" t="n">
        <v>20241201</v>
      </c>
      <c r="G709" t="n">
        <v>0</v>
      </c>
      <c r="H709" t="n">
        <v>0</v>
      </c>
      <c r="I709" t="n">
        <v>4142</v>
      </c>
      <c r="J709" t="n">
        <v>-4142</v>
      </c>
    </row>
    <row r="710">
      <c r="A710" t="inlineStr">
        <is>
          <t>749d883db520c2c3f3488e1078c142edc4af5aee7f84fb10df837f223537c5e3</t>
        </is>
      </c>
      <c r="B710" t="inlineStr">
        <is>
          <t>Visma Enterprise (BOOM)</t>
        </is>
      </c>
      <c r="C710" t="n">
        <v>6</v>
      </c>
      <c r="D710" t="n">
        <v>18</v>
      </c>
      <c r="E710" t="n">
        <v>8</v>
      </c>
      <c r="F710" t="n">
        <v>20240101</v>
      </c>
      <c r="G710" t="n">
        <v>0</v>
      </c>
      <c r="H710" t="n">
        <v>0</v>
      </c>
      <c r="I710" t="n">
        <v>0</v>
      </c>
      <c r="J710" t="n">
        <v>0</v>
      </c>
    </row>
    <row r="711">
      <c r="A711" t="inlineStr">
        <is>
          <t>54d6deb33ddd0efa03220a64394f4a38540fae8ca897887aed1bde1cd5d88fcb</t>
        </is>
      </c>
      <c r="B711" t="inlineStr">
        <is>
          <t>Visma Enterprise (BOOM)</t>
        </is>
      </c>
      <c r="C711" t="n">
        <v>6</v>
      </c>
      <c r="D711" t="n">
        <v>18</v>
      </c>
      <c r="E711" t="n">
        <v>8</v>
      </c>
      <c r="F711" t="n">
        <v>20240201</v>
      </c>
      <c r="G711" t="n">
        <v>0</v>
      </c>
      <c r="H711" t="n">
        <v>0</v>
      </c>
      <c r="I711" t="n">
        <v>0</v>
      </c>
      <c r="J711" t="n">
        <v>0</v>
      </c>
    </row>
    <row r="712">
      <c r="A712" t="inlineStr">
        <is>
          <t>7ca15a54f7b6204d069a75a73717032b582ca4157ce126801b1d2f559ffc29ae</t>
        </is>
      </c>
      <c r="B712" t="inlineStr">
        <is>
          <t>Visma Enterprise (BOOM)</t>
        </is>
      </c>
      <c r="C712" t="n">
        <v>6</v>
      </c>
      <c r="D712" t="n">
        <v>18</v>
      </c>
      <c r="E712" t="n">
        <v>8</v>
      </c>
      <c r="F712" t="n">
        <v>20240301</v>
      </c>
      <c r="G712" t="n">
        <v>400</v>
      </c>
      <c r="H712" t="n">
        <v>-400</v>
      </c>
      <c r="I712" t="n">
        <v>0</v>
      </c>
      <c r="J712" t="n">
        <v>-400</v>
      </c>
    </row>
    <row r="713">
      <c r="A713" t="inlineStr">
        <is>
          <t>0e6ddacc8b53e6d2bee23b10c9ffe3137af1a6c2682646537ba3cd6e84965f63</t>
        </is>
      </c>
      <c r="B713" t="inlineStr">
        <is>
          <t>Visma Enterprise (BOOM)</t>
        </is>
      </c>
      <c r="C713" t="n">
        <v>6</v>
      </c>
      <c r="D713" t="n">
        <v>18</v>
      </c>
      <c r="E713" t="n">
        <v>8</v>
      </c>
      <c r="F713" t="n">
        <v>20240401</v>
      </c>
      <c r="G713" t="n">
        <v>0</v>
      </c>
      <c r="H713" t="n">
        <v>0</v>
      </c>
      <c r="I713" t="n">
        <v>0</v>
      </c>
      <c r="J713" t="n">
        <v>0</v>
      </c>
    </row>
    <row r="714">
      <c r="A714" t="inlineStr">
        <is>
          <t>62fa0071ac47596dc1d6858953f326b383dffffd57b705fc6f07b53496872c43</t>
        </is>
      </c>
      <c r="B714" t="inlineStr">
        <is>
          <t>Visma Enterprise (BOOM)</t>
        </is>
      </c>
      <c r="C714" t="n">
        <v>6</v>
      </c>
      <c r="D714" t="n">
        <v>18</v>
      </c>
      <c r="E714" t="n">
        <v>8</v>
      </c>
      <c r="F714" t="n">
        <v>20240501</v>
      </c>
      <c r="G714" t="n">
        <v>0</v>
      </c>
      <c r="H714" t="n">
        <v>0</v>
      </c>
      <c r="I714" t="n">
        <v>0</v>
      </c>
      <c r="J714" t="n">
        <v>0</v>
      </c>
    </row>
    <row r="715">
      <c r="A715" t="inlineStr">
        <is>
          <t>795284e3f0128fe775ec90ef955673d396c27da5ba1cd520b5cc27691ceaff38</t>
        </is>
      </c>
      <c r="B715" t="inlineStr">
        <is>
          <t>Visma Enterprise (BOOM)</t>
        </is>
      </c>
      <c r="C715" t="n">
        <v>6</v>
      </c>
      <c r="D715" t="n">
        <v>18</v>
      </c>
      <c r="E715" t="n">
        <v>8</v>
      </c>
      <c r="F715" t="n">
        <v>20240601</v>
      </c>
      <c r="G715" t="n">
        <v>0</v>
      </c>
      <c r="H715" t="n">
        <v>0</v>
      </c>
      <c r="I715" t="n">
        <v>0</v>
      </c>
      <c r="J715" t="n">
        <v>0</v>
      </c>
    </row>
    <row r="716">
      <c r="A716" t="inlineStr">
        <is>
          <t>d2a52f83c1879c6a3bb8cd0799d6e4f354a52a01d6502bfcc18f01871616e0ca</t>
        </is>
      </c>
      <c r="B716" t="inlineStr">
        <is>
          <t>Visma Enterprise (BOOM)</t>
        </is>
      </c>
      <c r="C716" t="n">
        <v>6</v>
      </c>
      <c r="D716" t="n">
        <v>18</v>
      </c>
      <c r="E716" t="n">
        <v>8</v>
      </c>
      <c r="F716" t="n">
        <v>20240701</v>
      </c>
      <c r="G716" t="n">
        <v>0</v>
      </c>
      <c r="H716" t="n">
        <v>0</v>
      </c>
      <c r="I716" t="n">
        <v>0</v>
      </c>
      <c r="J716" t="n">
        <v>0</v>
      </c>
    </row>
    <row r="717">
      <c r="A717" t="inlineStr">
        <is>
          <t>bd4edf84a1b1fddac5196ec17b0af25fa3f2acc6ed2b209f7715cb8b984ca94b</t>
        </is>
      </c>
      <c r="B717" t="inlineStr">
        <is>
          <t>Visma Enterprise (BOOM)</t>
        </is>
      </c>
      <c r="C717" t="n">
        <v>6</v>
      </c>
      <c r="D717" t="n">
        <v>18</v>
      </c>
      <c r="E717" t="n">
        <v>8</v>
      </c>
      <c r="F717" t="n">
        <v>20240801</v>
      </c>
      <c r="G717" t="n">
        <v>0</v>
      </c>
      <c r="H717" t="n">
        <v>0</v>
      </c>
      <c r="I717" t="n">
        <v>0</v>
      </c>
      <c r="J717" t="n">
        <v>0</v>
      </c>
    </row>
    <row r="718">
      <c r="A718" t="inlineStr">
        <is>
          <t>2b9a8ba2738e2a9302825f16752f28da77e58eea3005c343e924d01d90d1ea70</t>
        </is>
      </c>
      <c r="B718" t="inlineStr">
        <is>
          <t>Visma Enterprise (BOOM)</t>
        </is>
      </c>
      <c r="C718" t="n">
        <v>6</v>
      </c>
      <c r="D718" t="n">
        <v>18</v>
      </c>
      <c r="E718" t="n">
        <v>8</v>
      </c>
      <c r="F718" t="n">
        <v>20240901</v>
      </c>
      <c r="G718" t="n">
        <v>0</v>
      </c>
      <c r="H718" t="n">
        <v>0</v>
      </c>
      <c r="I718" t="n">
        <v>0</v>
      </c>
      <c r="J718" t="n">
        <v>0</v>
      </c>
    </row>
    <row r="719">
      <c r="A719" t="inlineStr">
        <is>
          <t>d70ddf5cffbc6d79b9a4f026ce2da35689e392f5ff736863e657e25d4d75b6dc</t>
        </is>
      </c>
      <c r="B719" t="inlineStr">
        <is>
          <t>Visma Enterprise (BOOM)</t>
        </is>
      </c>
      <c r="C719" t="n">
        <v>6</v>
      </c>
      <c r="D719" t="n">
        <v>18</v>
      </c>
      <c r="E719" t="n">
        <v>8</v>
      </c>
      <c r="F719" t="n">
        <v>20241001</v>
      </c>
      <c r="G719" t="n">
        <v>0</v>
      </c>
      <c r="H719" t="n">
        <v>0</v>
      </c>
      <c r="I719" t="n">
        <v>0</v>
      </c>
      <c r="J719" t="n">
        <v>0</v>
      </c>
    </row>
    <row r="720">
      <c r="A720" t="inlineStr">
        <is>
          <t>d53144e7d7fda48de2016544ced7c90d83a21956a25fd1abba2178981953eee5</t>
        </is>
      </c>
      <c r="B720" t="inlineStr">
        <is>
          <t>Visma Enterprise (BOOM)</t>
        </is>
      </c>
      <c r="C720" t="n">
        <v>6</v>
      </c>
      <c r="D720" t="n">
        <v>18</v>
      </c>
      <c r="E720" t="n">
        <v>8</v>
      </c>
      <c r="F720" t="n">
        <v>20241101</v>
      </c>
      <c r="G720" t="n">
        <v>0</v>
      </c>
      <c r="H720" t="n">
        <v>0</v>
      </c>
      <c r="I720" t="n">
        <v>0</v>
      </c>
      <c r="J720" t="n">
        <v>0</v>
      </c>
    </row>
    <row r="721">
      <c r="A721" t="inlineStr">
        <is>
          <t>1cee1fb19fc3e80eae8b407e90099da7ffc456cdcfb334cac4b80c4e5dc2b117</t>
        </is>
      </c>
      <c r="B721" t="inlineStr">
        <is>
          <t>Visma Enterprise (BOOM)</t>
        </is>
      </c>
      <c r="C721" t="n">
        <v>6</v>
      </c>
      <c r="D721" t="n">
        <v>18</v>
      </c>
      <c r="E721" t="n">
        <v>8</v>
      </c>
      <c r="F721" t="n">
        <v>20241201</v>
      </c>
      <c r="G721" t="n">
        <v>0</v>
      </c>
      <c r="H721" t="n">
        <v>0</v>
      </c>
      <c r="I721" t="n">
        <v>0</v>
      </c>
      <c r="J721" t="n">
        <v>0</v>
      </c>
    </row>
    <row r="722">
      <c r="A722" t="inlineStr">
        <is>
          <t>c25c6305a5f2ff6889792df1270155618132397b8850025464a9b94297d40a57</t>
        </is>
      </c>
      <c r="B722" t="inlineStr">
        <is>
          <t>Visma Enterprise (BOOM)</t>
        </is>
      </c>
      <c r="C722" t="n">
        <v>6</v>
      </c>
      <c r="D722" t="n">
        <v>18</v>
      </c>
      <c r="E722" t="n">
        <v>8</v>
      </c>
      <c r="F722" t="n">
        <v>20240101</v>
      </c>
      <c r="G722" t="n">
        <v>0</v>
      </c>
      <c r="H722" t="n">
        <v>0</v>
      </c>
      <c r="I722" t="n">
        <v>0</v>
      </c>
      <c r="J722" t="n">
        <v>0</v>
      </c>
    </row>
    <row r="723">
      <c r="A723" t="inlineStr">
        <is>
          <t>e508f092491852c15f8a6bc6eff5063b98a80e8aaec2af80c1a63b29c3aff30e</t>
        </is>
      </c>
      <c r="B723" t="inlineStr">
        <is>
          <t>Visma Enterprise (BOOM)</t>
        </is>
      </c>
      <c r="C723" t="n">
        <v>6</v>
      </c>
      <c r="D723" t="n">
        <v>18</v>
      </c>
      <c r="E723" t="n">
        <v>8</v>
      </c>
      <c r="F723" t="n">
        <v>20240201</v>
      </c>
      <c r="G723" t="n">
        <v>0</v>
      </c>
      <c r="H723" t="n">
        <v>0</v>
      </c>
      <c r="I723" t="n">
        <v>0</v>
      </c>
      <c r="J723" t="n">
        <v>0</v>
      </c>
    </row>
    <row r="724">
      <c r="A724" t="inlineStr">
        <is>
          <t>8afcb266a1afb07634a25d1fce031d6a15f0bcf54edd70aa1ef01070033f2dcf</t>
        </is>
      </c>
      <c r="B724" t="inlineStr">
        <is>
          <t>Visma Enterprise (BOOM)</t>
        </is>
      </c>
      <c r="C724" t="n">
        <v>6</v>
      </c>
      <c r="D724" t="n">
        <v>18</v>
      </c>
      <c r="E724" t="n">
        <v>8</v>
      </c>
      <c r="F724" t="n">
        <v>20240301</v>
      </c>
      <c r="G724" t="n">
        <v>0</v>
      </c>
      <c r="H724" t="n">
        <v>0</v>
      </c>
      <c r="I724" t="n">
        <v>0</v>
      </c>
      <c r="J724" t="n">
        <v>0</v>
      </c>
    </row>
    <row r="725">
      <c r="A725" t="inlineStr">
        <is>
          <t>7033c0ead2d265cc6385dbed2f191667ee62a95af4f42441b1744b5e1efbc693</t>
        </is>
      </c>
      <c r="B725" t="inlineStr">
        <is>
          <t>Visma Enterprise (BOOM)</t>
        </is>
      </c>
      <c r="C725" t="n">
        <v>6</v>
      </c>
      <c r="D725" t="n">
        <v>18</v>
      </c>
      <c r="E725" t="n">
        <v>8</v>
      </c>
      <c r="F725" t="n">
        <v>20240401</v>
      </c>
      <c r="G725" t="n">
        <v>0</v>
      </c>
      <c r="H725" t="n">
        <v>0</v>
      </c>
      <c r="I725" t="n">
        <v>0</v>
      </c>
      <c r="J725" t="n">
        <v>0</v>
      </c>
    </row>
    <row r="726">
      <c r="A726" t="inlineStr">
        <is>
          <t>881c8a8aca5082ea07f819406f7198a1fd46e57d5f52a2a5dbfcfd8ebac05812</t>
        </is>
      </c>
      <c r="B726" t="inlineStr">
        <is>
          <t>Visma Enterprise (BOOM)</t>
        </is>
      </c>
      <c r="C726" t="n">
        <v>6</v>
      </c>
      <c r="D726" t="n">
        <v>18</v>
      </c>
      <c r="E726" t="n">
        <v>8</v>
      </c>
      <c r="F726" t="n">
        <v>20240501</v>
      </c>
      <c r="G726" t="n">
        <v>0</v>
      </c>
      <c r="H726" t="n">
        <v>0</v>
      </c>
      <c r="I726" t="n">
        <v>0</v>
      </c>
      <c r="J726" t="n">
        <v>0</v>
      </c>
    </row>
    <row r="727">
      <c r="A727" t="inlineStr">
        <is>
          <t>bccb926c0774d648e49f576e835f3d0da1233bfc4fd9a4f0b24d0e9c5a9560a9</t>
        </is>
      </c>
      <c r="B727" t="inlineStr">
        <is>
          <t>Visma Enterprise (BOOM)</t>
        </is>
      </c>
      <c r="C727" t="n">
        <v>6</v>
      </c>
      <c r="D727" t="n">
        <v>18</v>
      </c>
      <c r="E727" t="n">
        <v>8</v>
      </c>
      <c r="F727" t="n">
        <v>20240601</v>
      </c>
      <c r="G727" t="n">
        <v>0</v>
      </c>
      <c r="H727" t="n">
        <v>0</v>
      </c>
      <c r="I727" t="n">
        <v>0</v>
      </c>
      <c r="J727" t="n">
        <v>0</v>
      </c>
    </row>
    <row r="728">
      <c r="A728" t="inlineStr">
        <is>
          <t>63fb0e0ee8d63459f4d369272ecca6c558ae0ca646e899fc4118d0c0bb7cc0e3</t>
        </is>
      </c>
      <c r="B728" t="inlineStr">
        <is>
          <t>Visma Enterprise (BOOM)</t>
        </is>
      </c>
      <c r="C728" t="n">
        <v>6</v>
      </c>
      <c r="D728" t="n">
        <v>18</v>
      </c>
      <c r="E728" t="n">
        <v>8</v>
      </c>
      <c r="F728" t="n">
        <v>20240701</v>
      </c>
      <c r="G728" t="n">
        <v>0</v>
      </c>
      <c r="H728" t="n">
        <v>0</v>
      </c>
      <c r="I728" t="n">
        <v>0</v>
      </c>
      <c r="J728" t="n">
        <v>0</v>
      </c>
    </row>
    <row r="729">
      <c r="A729" t="inlineStr">
        <is>
          <t>823c5d6903ed50de92887dfaf5b4e429df3c09e7b0f32fb7b3890aff52fb4c1b</t>
        </is>
      </c>
      <c r="B729" t="inlineStr">
        <is>
          <t>Visma Enterprise (BOOM)</t>
        </is>
      </c>
      <c r="C729" t="n">
        <v>6</v>
      </c>
      <c r="D729" t="n">
        <v>18</v>
      </c>
      <c r="E729" t="n">
        <v>8</v>
      </c>
      <c r="F729" t="n">
        <v>20240801</v>
      </c>
      <c r="G729" t="n">
        <v>0</v>
      </c>
      <c r="H729" t="n">
        <v>0</v>
      </c>
      <c r="I729" t="n">
        <v>0</v>
      </c>
      <c r="J729" t="n">
        <v>0</v>
      </c>
    </row>
    <row r="730">
      <c r="A730" t="inlineStr">
        <is>
          <t>42f146c64ddea01faa79078df1873e71dabe5d89b1f127b068cbad2b6b0baac5</t>
        </is>
      </c>
      <c r="B730" t="inlineStr">
        <is>
          <t>Visma Enterprise (BOOM)</t>
        </is>
      </c>
      <c r="C730" t="n">
        <v>6</v>
      </c>
      <c r="D730" t="n">
        <v>18</v>
      </c>
      <c r="E730" t="n">
        <v>8</v>
      </c>
      <c r="F730" t="n">
        <v>20240901</v>
      </c>
      <c r="G730" t="n">
        <v>0</v>
      </c>
      <c r="H730" t="n">
        <v>0</v>
      </c>
      <c r="I730" t="n">
        <v>0</v>
      </c>
      <c r="J730" t="n">
        <v>0</v>
      </c>
    </row>
    <row r="731">
      <c r="A731" t="inlineStr">
        <is>
          <t>1c5493dfda287da66aaef224166bcf9f98d3e6f7d0e0530ce46f9a7ae1e47e0a</t>
        </is>
      </c>
      <c r="B731" t="inlineStr">
        <is>
          <t>Visma Enterprise (BOOM)</t>
        </is>
      </c>
      <c r="C731" t="n">
        <v>6</v>
      </c>
      <c r="D731" t="n">
        <v>18</v>
      </c>
      <c r="E731" t="n">
        <v>8</v>
      </c>
      <c r="F731" t="n">
        <v>20241001</v>
      </c>
      <c r="G731" t="n">
        <v>0</v>
      </c>
      <c r="H731" t="n">
        <v>0</v>
      </c>
      <c r="I731" t="n">
        <v>0</v>
      </c>
      <c r="J731" t="n">
        <v>0</v>
      </c>
    </row>
    <row r="732">
      <c r="A732" t="inlineStr">
        <is>
          <t>5ec1e0d9f22eed7d87f3fdcf6abca7b52658240f4f6116235e240bff14c44c31</t>
        </is>
      </c>
      <c r="B732" t="inlineStr">
        <is>
          <t>Visma Enterprise (BOOM)</t>
        </is>
      </c>
      <c r="C732" t="n">
        <v>6</v>
      </c>
      <c r="D732" t="n">
        <v>18</v>
      </c>
      <c r="E732" t="n">
        <v>8</v>
      </c>
      <c r="F732" t="n">
        <v>20241101</v>
      </c>
      <c r="G732" t="n">
        <v>0</v>
      </c>
      <c r="H732" t="n">
        <v>0</v>
      </c>
      <c r="I732" t="n">
        <v>0</v>
      </c>
      <c r="J732" t="n">
        <v>0</v>
      </c>
    </row>
    <row r="733">
      <c r="A733" t="inlineStr">
        <is>
          <t>3d387a9dff84a150fd25974a6c50a3167e54a4454bbd437d5a49db8556a3294b</t>
        </is>
      </c>
      <c r="B733" t="inlineStr">
        <is>
          <t>Visma Enterprise (BOOM)</t>
        </is>
      </c>
      <c r="C733" t="n">
        <v>6</v>
      </c>
      <c r="D733" t="n">
        <v>18</v>
      </c>
      <c r="E733" t="n">
        <v>8</v>
      </c>
      <c r="F733" t="n">
        <v>20241201</v>
      </c>
      <c r="G733" t="n">
        <v>0</v>
      </c>
      <c r="H733" t="n">
        <v>0</v>
      </c>
      <c r="I733" t="n">
        <v>0</v>
      </c>
      <c r="J733" t="n">
        <v>0</v>
      </c>
    </row>
    <row r="734">
      <c r="A734" t="inlineStr">
        <is>
          <t>20b153ab28ab02da2bad3ed6c51fdf1b533a29db8f67eafbffd42f855dc4575f</t>
        </is>
      </c>
      <c r="B734" t="inlineStr">
        <is>
          <t>Visma Enterprise (BOOM)</t>
        </is>
      </c>
      <c r="C734" t="n">
        <v>6</v>
      </c>
      <c r="D734" t="n">
        <v>18</v>
      </c>
      <c r="E734" t="n">
        <v>8</v>
      </c>
      <c r="F734" t="n">
        <v>20240101</v>
      </c>
      <c r="G734" t="n">
        <v>2250</v>
      </c>
      <c r="H734" t="n">
        <v>-2250</v>
      </c>
      <c r="I734" t="n">
        <v>858</v>
      </c>
      <c r="J734" t="n">
        <v>-3108</v>
      </c>
    </row>
    <row r="735">
      <c r="A735" t="inlineStr">
        <is>
          <t>bb110313395cac0108517f778e2362f22521f6681b43f60501257bf5490c2d9c</t>
        </is>
      </c>
      <c r="B735" t="inlineStr">
        <is>
          <t>Visma Enterprise (BOOM)</t>
        </is>
      </c>
      <c r="C735" t="n">
        <v>6</v>
      </c>
      <c r="D735" t="n">
        <v>18</v>
      </c>
      <c r="E735" t="n">
        <v>8</v>
      </c>
      <c r="F735" t="n">
        <v>20240201</v>
      </c>
      <c r="G735" t="n">
        <v>1250</v>
      </c>
      <c r="H735" t="n">
        <v>-1250</v>
      </c>
      <c r="I735" t="n">
        <v>858</v>
      </c>
      <c r="J735" t="n">
        <v>-2108</v>
      </c>
    </row>
    <row r="736">
      <c r="A736" t="inlineStr">
        <is>
          <t>c34a1cb8b7c07851d205c05955f2909742ad2674c3c52962c2b0bef30eea71ce</t>
        </is>
      </c>
      <c r="B736" t="inlineStr">
        <is>
          <t>Visma Enterprise (BOOM)</t>
        </is>
      </c>
      <c r="C736" t="n">
        <v>6</v>
      </c>
      <c r="D736" t="n">
        <v>18</v>
      </c>
      <c r="E736" t="n">
        <v>8</v>
      </c>
      <c r="F736" t="n">
        <v>20240301</v>
      </c>
      <c r="G736" t="n">
        <v>1739.5</v>
      </c>
      <c r="H736" t="n">
        <v>-1739.5</v>
      </c>
      <c r="I736" t="n">
        <v>858</v>
      </c>
      <c r="J736" t="n">
        <v>-2597.5</v>
      </c>
    </row>
    <row r="737">
      <c r="A737" t="inlineStr">
        <is>
          <t>4714026adf1a1970c16680e2cbd636eb3114d30d391773fe80bd9103acaa46e0</t>
        </is>
      </c>
      <c r="B737" t="inlineStr">
        <is>
          <t>Visma Enterprise (BOOM)</t>
        </is>
      </c>
      <c r="C737" t="n">
        <v>6</v>
      </c>
      <c r="D737" t="n">
        <v>18</v>
      </c>
      <c r="E737" t="n">
        <v>8</v>
      </c>
      <c r="F737" t="n">
        <v>20240401</v>
      </c>
      <c r="G737" t="n">
        <v>1250</v>
      </c>
      <c r="H737" t="n">
        <v>-1250</v>
      </c>
      <c r="I737" t="n">
        <v>858</v>
      </c>
      <c r="J737" t="n">
        <v>-2108</v>
      </c>
    </row>
    <row r="738">
      <c r="A738" t="inlineStr">
        <is>
          <t>e47a8dcbdae96be3a6ef47d4fe5f0b86637f88ac28c3dc5d1b517495cf08294b</t>
        </is>
      </c>
      <c r="B738" t="inlineStr">
        <is>
          <t>Visma Enterprise (BOOM)</t>
        </is>
      </c>
      <c r="C738" t="n">
        <v>6</v>
      </c>
      <c r="D738" t="n">
        <v>18</v>
      </c>
      <c r="E738" t="n">
        <v>8</v>
      </c>
      <c r="F738" t="n">
        <v>20240501</v>
      </c>
      <c r="G738" t="n">
        <v>1250</v>
      </c>
      <c r="H738" t="n">
        <v>-1250</v>
      </c>
      <c r="I738" t="n">
        <v>858</v>
      </c>
      <c r="J738" t="n">
        <v>-2108</v>
      </c>
    </row>
    <row r="739">
      <c r="A739" t="inlineStr">
        <is>
          <t>4c516a9d56a25a6fdc1611e1e9a4c33f6fb8b3080861ddebf3b799dc0dbdead8</t>
        </is>
      </c>
      <c r="B739" t="inlineStr">
        <is>
          <t>Visma Enterprise (BOOM)</t>
        </is>
      </c>
      <c r="C739" t="n">
        <v>6</v>
      </c>
      <c r="D739" t="n">
        <v>18</v>
      </c>
      <c r="E739" t="n">
        <v>8</v>
      </c>
      <c r="F739" t="n">
        <v>20240601</v>
      </c>
      <c r="G739" t="n">
        <v>26317.58</v>
      </c>
      <c r="H739" t="n">
        <v>-26317.58</v>
      </c>
      <c r="I739" t="n">
        <v>858</v>
      </c>
      <c r="J739" t="n">
        <v>-27175.58</v>
      </c>
    </row>
    <row r="740">
      <c r="A740" t="inlineStr">
        <is>
          <t>491c467a37ddeaa0518edf0a79e99738e1cead09f0241d143b7a106337451078</t>
        </is>
      </c>
      <c r="B740" t="inlineStr">
        <is>
          <t>Visma Enterprise (BOOM)</t>
        </is>
      </c>
      <c r="C740" t="n">
        <v>6</v>
      </c>
      <c r="D740" t="n">
        <v>18</v>
      </c>
      <c r="E740" t="n">
        <v>8</v>
      </c>
      <c r="F740" t="n">
        <v>20240701</v>
      </c>
      <c r="G740" t="n">
        <v>2175.64</v>
      </c>
      <c r="H740" t="n">
        <v>-2175.64</v>
      </c>
      <c r="I740" t="n">
        <v>858</v>
      </c>
      <c r="J740" t="n">
        <v>-3033.64</v>
      </c>
    </row>
    <row r="741">
      <c r="A741" t="inlineStr">
        <is>
          <t>5692e58606181a97340793d96cd106da791e75cb0a0d9f96e0c82525291fb700</t>
        </is>
      </c>
      <c r="B741" t="inlineStr">
        <is>
          <t>Visma Enterprise (BOOM)</t>
        </is>
      </c>
      <c r="C741" t="n">
        <v>6</v>
      </c>
      <c r="D741" t="n">
        <v>18</v>
      </c>
      <c r="E741" t="n">
        <v>8</v>
      </c>
      <c r="F741" t="n">
        <v>20240801</v>
      </c>
      <c r="G741" t="n">
        <v>3317</v>
      </c>
      <c r="H741" t="n">
        <v>-3317</v>
      </c>
      <c r="I741" t="n">
        <v>858</v>
      </c>
      <c r="J741" t="n">
        <v>-4175</v>
      </c>
    </row>
    <row r="742">
      <c r="A742" t="inlineStr">
        <is>
          <t>eb2fd3b964ad83a549d279987e2f987c46af6a58d7d16f84947a9324c43348e3</t>
        </is>
      </c>
      <c r="B742" t="inlineStr">
        <is>
          <t>Visma Enterprise (BOOM)</t>
        </is>
      </c>
      <c r="C742" t="n">
        <v>6</v>
      </c>
      <c r="D742" t="n">
        <v>18</v>
      </c>
      <c r="E742" t="n">
        <v>8</v>
      </c>
      <c r="F742" t="n">
        <v>20240901</v>
      </c>
      <c r="G742" t="n">
        <v>0</v>
      </c>
      <c r="H742" t="n">
        <v>0</v>
      </c>
      <c r="I742" t="n">
        <v>858</v>
      </c>
      <c r="J742" t="n">
        <v>-858</v>
      </c>
    </row>
    <row r="743">
      <c r="A743" t="inlineStr">
        <is>
          <t>648e10789b8946c903156e1d1fd2fe62683de23cfcd27f609e080ea8cf442d98</t>
        </is>
      </c>
      <c r="B743" t="inlineStr">
        <is>
          <t>Visma Enterprise (BOOM)</t>
        </is>
      </c>
      <c r="C743" t="n">
        <v>6</v>
      </c>
      <c r="D743" t="n">
        <v>18</v>
      </c>
      <c r="E743" t="n">
        <v>8</v>
      </c>
      <c r="F743" t="n">
        <v>20241001</v>
      </c>
      <c r="G743" t="n">
        <v>0</v>
      </c>
      <c r="H743" t="n">
        <v>0</v>
      </c>
      <c r="I743" t="n">
        <v>858</v>
      </c>
      <c r="J743" t="n">
        <v>-858</v>
      </c>
    </row>
    <row r="744">
      <c r="A744" t="inlineStr">
        <is>
          <t>1b42645545eae98e90951e3a4a6f780d9d0d7147cf1468da52c2f80620e3e419</t>
        </is>
      </c>
      <c r="B744" t="inlineStr">
        <is>
          <t>Visma Enterprise (BOOM)</t>
        </is>
      </c>
      <c r="C744" t="n">
        <v>6</v>
      </c>
      <c r="D744" t="n">
        <v>18</v>
      </c>
      <c r="E744" t="n">
        <v>8</v>
      </c>
      <c r="F744" t="n">
        <v>20241101</v>
      </c>
      <c r="G744" t="n">
        <v>0</v>
      </c>
      <c r="H744" t="n">
        <v>0</v>
      </c>
      <c r="I744" t="n">
        <v>858</v>
      </c>
      <c r="J744" t="n">
        <v>-858</v>
      </c>
    </row>
    <row r="745">
      <c r="A745" t="inlineStr">
        <is>
          <t>16ccf39a42ed3d3fa2f055917ae1ccd19fb387d63d0aa1143aeaa6281fa3b758</t>
        </is>
      </c>
      <c r="B745" t="inlineStr">
        <is>
          <t>Visma Enterprise (BOOM)</t>
        </is>
      </c>
      <c r="C745" t="n">
        <v>6</v>
      </c>
      <c r="D745" t="n">
        <v>18</v>
      </c>
      <c r="E745" t="n">
        <v>8</v>
      </c>
      <c r="F745" t="n">
        <v>20241201</v>
      </c>
      <c r="G745" t="n">
        <v>0</v>
      </c>
      <c r="H745" t="n">
        <v>0</v>
      </c>
      <c r="I745" t="n">
        <v>562</v>
      </c>
      <c r="J745" t="n">
        <v>-562</v>
      </c>
    </row>
    <row r="746">
      <c r="A746" t="inlineStr">
        <is>
          <t>22b28a9b1c7296a1e2df45158f2e5e22739f3b3c03d26dc1127b5d923bcd818d</t>
        </is>
      </c>
      <c r="B746" t="inlineStr">
        <is>
          <t>Visma Enterprise (BOOM)</t>
        </is>
      </c>
      <c r="C746" t="n">
        <v>6</v>
      </c>
      <c r="D746" t="n">
        <v>18</v>
      </c>
      <c r="E746" t="n">
        <v>8</v>
      </c>
      <c r="F746" t="n">
        <v>20240101</v>
      </c>
      <c r="G746" t="n">
        <v>0</v>
      </c>
      <c r="H746" t="n">
        <v>0</v>
      </c>
      <c r="I746" t="n">
        <v>0</v>
      </c>
      <c r="J746" t="n">
        <v>0</v>
      </c>
    </row>
    <row r="747">
      <c r="A747" t="inlineStr">
        <is>
          <t>d0d60d95c8f0704cd5090b1522b2efa5fe3185c993242b236b1359501f696495</t>
        </is>
      </c>
      <c r="B747" t="inlineStr">
        <is>
          <t>Visma Enterprise (BOOM)</t>
        </is>
      </c>
      <c r="C747" t="n">
        <v>6</v>
      </c>
      <c r="D747" t="n">
        <v>18</v>
      </c>
      <c r="E747" t="n">
        <v>8</v>
      </c>
      <c r="F747" t="n">
        <v>20240201</v>
      </c>
      <c r="G747" t="n">
        <v>0</v>
      </c>
      <c r="H747" t="n">
        <v>0</v>
      </c>
      <c r="I747" t="n">
        <v>0</v>
      </c>
      <c r="J747" t="n">
        <v>0</v>
      </c>
    </row>
    <row r="748">
      <c r="A748" t="inlineStr">
        <is>
          <t>8af5f5b2c96c722988449fdfcdf86bcc17617119d8fae5cfefe015c385153cc9</t>
        </is>
      </c>
      <c r="B748" t="inlineStr">
        <is>
          <t>Visma Enterprise (BOOM)</t>
        </is>
      </c>
      <c r="C748" t="n">
        <v>6</v>
      </c>
      <c r="D748" t="n">
        <v>18</v>
      </c>
      <c r="E748" t="n">
        <v>8</v>
      </c>
      <c r="F748" t="n">
        <v>20240301</v>
      </c>
      <c r="G748" t="n">
        <v>0</v>
      </c>
      <c r="H748" t="n">
        <v>0</v>
      </c>
      <c r="I748" t="n">
        <v>0</v>
      </c>
      <c r="J748" t="n">
        <v>0</v>
      </c>
    </row>
    <row r="749">
      <c r="A749" t="inlineStr">
        <is>
          <t>7906e2422a61128d81d0a73bffee4266556abbf26ff1cf1c7111acecc038b1c2</t>
        </is>
      </c>
      <c r="B749" t="inlineStr">
        <is>
          <t>Visma Enterprise (BOOM)</t>
        </is>
      </c>
      <c r="C749" t="n">
        <v>6</v>
      </c>
      <c r="D749" t="n">
        <v>18</v>
      </c>
      <c r="E749" t="n">
        <v>8</v>
      </c>
      <c r="F749" t="n">
        <v>20240401</v>
      </c>
      <c r="G749" t="n">
        <v>0</v>
      </c>
      <c r="H749" t="n">
        <v>0</v>
      </c>
      <c r="I749" t="n">
        <v>0</v>
      </c>
      <c r="J749" t="n">
        <v>0</v>
      </c>
    </row>
    <row r="750">
      <c r="A750" t="inlineStr">
        <is>
          <t>e74d3087deb4a5e8ea848547042c356f379dee932aca8a5c9d9670b2791a0e77</t>
        </is>
      </c>
      <c r="B750" t="inlineStr">
        <is>
          <t>Visma Enterprise (BOOM)</t>
        </is>
      </c>
      <c r="C750" t="n">
        <v>6</v>
      </c>
      <c r="D750" t="n">
        <v>18</v>
      </c>
      <c r="E750" t="n">
        <v>8</v>
      </c>
      <c r="F750" t="n">
        <v>20240501</v>
      </c>
      <c r="G750" t="n">
        <v>0</v>
      </c>
      <c r="H750" t="n">
        <v>0</v>
      </c>
      <c r="I750" t="n">
        <v>0</v>
      </c>
      <c r="J750" t="n">
        <v>0</v>
      </c>
    </row>
    <row r="751">
      <c r="A751" t="inlineStr">
        <is>
          <t>ed86808092966b6023c68521a372025ba4fb0863b734af5b09a85e55b1f6a98f</t>
        </is>
      </c>
      <c r="B751" t="inlineStr">
        <is>
          <t>Visma Enterprise (BOOM)</t>
        </is>
      </c>
      <c r="C751" t="n">
        <v>6</v>
      </c>
      <c r="D751" t="n">
        <v>18</v>
      </c>
      <c r="E751" t="n">
        <v>8</v>
      </c>
      <c r="F751" t="n">
        <v>20240601</v>
      </c>
      <c r="G751" t="n">
        <v>0</v>
      </c>
      <c r="H751" t="n">
        <v>0</v>
      </c>
      <c r="I751" t="n">
        <v>0</v>
      </c>
      <c r="J751" t="n">
        <v>0</v>
      </c>
    </row>
    <row r="752">
      <c r="A752" t="inlineStr">
        <is>
          <t>23f1fa05106ba9526f5959f7ca144d3c2805cf8beffe6b29d5a1d0495ffff4e3</t>
        </is>
      </c>
      <c r="B752" t="inlineStr">
        <is>
          <t>Visma Enterprise (BOOM)</t>
        </is>
      </c>
      <c r="C752" t="n">
        <v>6</v>
      </c>
      <c r="D752" t="n">
        <v>18</v>
      </c>
      <c r="E752" t="n">
        <v>8</v>
      </c>
      <c r="F752" t="n">
        <v>20240701</v>
      </c>
      <c r="G752" t="n">
        <v>0</v>
      </c>
      <c r="H752" t="n">
        <v>0</v>
      </c>
      <c r="I752" t="n">
        <v>0</v>
      </c>
      <c r="J752" t="n">
        <v>0</v>
      </c>
    </row>
    <row r="753">
      <c r="A753" t="inlineStr">
        <is>
          <t>863d5a26197d6e8be64a3f528f17b2f93223847aecfa864b9199ce871df15b42</t>
        </is>
      </c>
      <c r="B753" t="inlineStr">
        <is>
          <t>Visma Enterprise (BOOM)</t>
        </is>
      </c>
      <c r="C753" t="n">
        <v>6</v>
      </c>
      <c r="D753" t="n">
        <v>18</v>
      </c>
      <c r="E753" t="n">
        <v>8</v>
      </c>
      <c r="F753" t="n">
        <v>20240801</v>
      </c>
      <c r="G753" t="n">
        <v>0</v>
      </c>
      <c r="H753" t="n">
        <v>0</v>
      </c>
      <c r="I753" t="n">
        <v>0</v>
      </c>
      <c r="J753" t="n">
        <v>0</v>
      </c>
    </row>
    <row r="754">
      <c r="A754" t="inlineStr">
        <is>
          <t>2cab14fc0ef1df479d8e785e1c5d44d76b59a9a4cf398a32894227eb2843ffea</t>
        </is>
      </c>
      <c r="B754" t="inlineStr">
        <is>
          <t>Visma Enterprise (BOOM)</t>
        </is>
      </c>
      <c r="C754" t="n">
        <v>6</v>
      </c>
      <c r="D754" t="n">
        <v>18</v>
      </c>
      <c r="E754" t="n">
        <v>8</v>
      </c>
      <c r="F754" t="n">
        <v>20240901</v>
      </c>
      <c r="G754" t="n">
        <v>0</v>
      </c>
      <c r="H754" t="n">
        <v>0</v>
      </c>
      <c r="I754" t="n">
        <v>0</v>
      </c>
      <c r="J754" t="n">
        <v>0</v>
      </c>
    </row>
    <row r="755">
      <c r="A755" t="inlineStr">
        <is>
          <t>6b3c413e4b1935f416b4c28b0683ed729f1b919ea14d20b7d16f739cfe6afc02</t>
        </is>
      </c>
      <c r="B755" t="inlineStr">
        <is>
          <t>Visma Enterprise (BOOM)</t>
        </is>
      </c>
      <c r="C755" t="n">
        <v>6</v>
      </c>
      <c r="D755" t="n">
        <v>18</v>
      </c>
      <c r="E755" t="n">
        <v>8</v>
      </c>
      <c r="F755" t="n">
        <v>20241001</v>
      </c>
      <c r="G755" t="n">
        <v>0</v>
      </c>
      <c r="H755" t="n">
        <v>0</v>
      </c>
      <c r="I755" t="n">
        <v>0</v>
      </c>
      <c r="J755" t="n">
        <v>0</v>
      </c>
    </row>
    <row r="756">
      <c r="A756" t="inlineStr">
        <is>
          <t>53bb258744d5d038ad472272614bd67a33f4a5e3be277b6d2c07044cfc534844</t>
        </is>
      </c>
      <c r="B756" t="inlineStr">
        <is>
          <t>Visma Enterprise (BOOM)</t>
        </is>
      </c>
      <c r="C756" t="n">
        <v>6</v>
      </c>
      <c r="D756" t="n">
        <v>18</v>
      </c>
      <c r="E756" t="n">
        <v>8</v>
      </c>
      <c r="F756" t="n">
        <v>20241101</v>
      </c>
      <c r="G756" t="n">
        <v>0</v>
      </c>
      <c r="H756" t="n">
        <v>0</v>
      </c>
      <c r="I756" t="n">
        <v>0</v>
      </c>
      <c r="J756" t="n">
        <v>0</v>
      </c>
    </row>
    <row r="757">
      <c r="A757" t="inlineStr">
        <is>
          <t>5b528a93c3dff63d83a257d71aa4a261a6f966b2ce0edf86a6079e577979c19d</t>
        </is>
      </c>
      <c r="B757" t="inlineStr">
        <is>
          <t>Visma Enterprise (BOOM)</t>
        </is>
      </c>
      <c r="C757" t="n">
        <v>6</v>
      </c>
      <c r="D757" t="n">
        <v>18</v>
      </c>
      <c r="E757" t="n">
        <v>8</v>
      </c>
      <c r="F757" t="n">
        <v>20241201</v>
      </c>
      <c r="G757" t="n">
        <v>0</v>
      </c>
      <c r="H757" t="n">
        <v>0</v>
      </c>
      <c r="I757" t="n">
        <v>0</v>
      </c>
      <c r="J757" t="n">
        <v>0</v>
      </c>
    </row>
    <row r="758">
      <c r="A758" t="inlineStr">
        <is>
          <t>6948b4511eafc43506fc973b90c9ce1184e3b2a51eecccc225fb1f5a3a9c5ac1</t>
        </is>
      </c>
      <c r="B758" t="inlineStr">
        <is>
          <t>Visma Enterprise (BOOM)</t>
        </is>
      </c>
      <c r="C758" t="n">
        <v>6</v>
      </c>
      <c r="D758" t="n">
        <v>19</v>
      </c>
      <c r="E758" t="n">
        <v>8</v>
      </c>
      <c r="F758" t="n">
        <v>20240101</v>
      </c>
      <c r="G758" t="n">
        <v>0</v>
      </c>
      <c r="H758" t="n">
        <v>0</v>
      </c>
      <c r="I758" t="n">
        <v>850</v>
      </c>
      <c r="J758" t="n">
        <v>-850</v>
      </c>
    </row>
    <row r="759">
      <c r="A759" t="inlineStr">
        <is>
          <t>25290cf6f001bf3704a99474c676e9668b4bc222e386eb2c6f65774feaa055c7</t>
        </is>
      </c>
      <c r="B759" t="inlineStr">
        <is>
          <t>Visma Enterprise (BOOM)</t>
        </is>
      </c>
      <c r="C759" t="n">
        <v>6</v>
      </c>
      <c r="D759" t="n">
        <v>19</v>
      </c>
      <c r="E759" t="n">
        <v>8</v>
      </c>
      <c r="F759" t="n">
        <v>20240201</v>
      </c>
      <c r="G759" t="n">
        <v>0</v>
      </c>
      <c r="H759" t="n">
        <v>0</v>
      </c>
      <c r="I759" t="n">
        <v>850</v>
      </c>
      <c r="J759" t="n">
        <v>-850</v>
      </c>
    </row>
    <row r="760">
      <c r="A760" t="inlineStr">
        <is>
          <t>1a36e87ea0db67f8c620a12b9fe427cc541f89e892f49195292362b5f1f1d16c</t>
        </is>
      </c>
      <c r="B760" t="inlineStr">
        <is>
          <t>Visma Enterprise (BOOM)</t>
        </is>
      </c>
      <c r="C760" t="n">
        <v>6</v>
      </c>
      <c r="D760" t="n">
        <v>19</v>
      </c>
      <c r="E760" t="n">
        <v>8</v>
      </c>
      <c r="F760" t="n">
        <v>20240301</v>
      </c>
      <c r="G760" t="n">
        <v>0</v>
      </c>
      <c r="H760" t="n">
        <v>0</v>
      </c>
      <c r="I760" t="n">
        <v>850</v>
      </c>
      <c r="J760" t="n">
        <v>-850</v>
      </c>
    </row>
    <row r="761">
      <c r="A761" t="inlineStr">
        <is>
          <t>74722d4c820c25d20cd8e1da9884bfeddaee6e3fc914ff98e2047bc9cf38ebd7</t>
        </is>
      </c>
      <c r="B761" t="inlineStr">
        <is>
          <t>Visma Enterprise (BOOM)</t>
        </is>
      </c>
      <c r="C761" t="n">
        <v>6</v>
      </c>
      <c r="D761" t="n">
        <v>19</v>
      </c>
      <c r="E761" t="n">
        <v>8</v>
      </c>
      <c r="F761" t="n">
        <v>20240401</v>
      </c>
      <c r="G761" t="n">
        <v>0</v>
      </c>
      <c r="H761" t="n">
        <v>0</v>
      </c>
      <c r="I761" t="n">
        <v>850</v>
      </c>
      <c r="J761" t="n">
        <v>-850</v>
      </c>
    </row>
    <row r="762">
      <c r="A762" t="inlineStr">
        <is>
          <t>0020b5ff9ea315ae0de437edeb65002fdb910d441d4bfc6b3bfc656312112d3c</t>
        </is>
      </c>
      <c r="B762" t="inlineStr">
        <is>
          <t>Visma Enterprise (BOOM)</t>
        </is>
      </c>
      <c r="C762" t="n">
        <v>6</v>
      </c>
      <c r="D762" t="n">
        <v>19</v>
      </c>
      <c r="E762" t="n">
        <v>8</v>
      </c>
      <c r="F762" t="n">
        <v>20240501</v>
      </c>
      <c r="G762" t="n">
        <v>0</v>
      </c>
      <c r="H762" t="n">
        <v>0</v>
      </c>
      <c r="I762" t="n">
        <v>850</v>
      </c>
      <c r="J762" t="n">
        <v>-850</v>
      </c>
    </row>
    <row r="763">
      <c r="A763" t="inlineStr">
        <is>
          <t>b2bc0ffa5261e9d2eef34cc5c1946858083dd1e374e110a1115814b774caae68</t>
        </is>
      </c>
      <c r="B763" t="inlineStr">
        <is>
          <t>Visma Enterprise (BOOM)</t>
        </is>
      </c>
      <c r="C763" t="n">
        <v>6</v>
      </c>
      <c r="D763" t="n">
        <v>19</v>
      </c>
      <c r="E763" t="n">
        <v>8</v>
      </c>
      <c r="F763" t="n">
        <v>20240601</v>
      </c>
      <c r="G763" t="n">
        <v>0</v>
      </c>
      <c r="H763" t="n">
        <v>0</v>
      </c>
      <c r="I763" t="n">
        <v>850</v>
      </c>
      <c r="J763" t="n">
        <v>-850</v>
      </c>
    </row>
    <row r="764">
      <c r="A764" t="inlineStr">
        <is>
          <t>0d51071084bc1993b34bf074ffd148eb10216347ce04c36c2dd9a1b94340282a</t>
        </is>
      </c>
      <c r="B764" t="inlineStr">
        <is>
          <t>Visma Enterprise (BOOM)</t>
        </is>
      </c>
      <c r="C764" t="n">
        <v>6</v>
      </c>
      <c r="D764" t="n">
        <v>19</v>
      </c>
      <c r="E764" t="n">
        <v>8</v>
      </c>
      <c r="F764" t="n">
        <v>20240701</v>
      </c>
      <c r="G764" t="n">
        <v>0</v>
      </c>
      <c r="H764" t="n">
        <v>0</v>
      </c>
      <c r="I764" t="n">
        <v>850</v>
      </c>
      <c r="J764" t="n">
        <v>-850</v>
      </c>
    </row>
    <row r="765">
      <c r="A765" t="inlineStr">
        <is>
          <t>d6047c404aabd45a96ada11166ba6e107659da69084e72c365077b11f833f4f1</t>
        </is>
      </c>
      <c r="B765" t="inlineStr">
        <is>
          <t>Visma Enterprise (BOOM)</t>
        </is>
      </c>
      <c r="C765" t="n">
        <v>6</v>
      </c>
      <c r="D765" t="n">
        <v>19</v>
      </c>
      <c r="E765" t="n">
        <v>8</v>
      </c>
      <c r="F765" t="n">
        <v>20240801</v>
      </c>
      <c r="G765" t="n">
        <v>0</v>
      </c>
      <c r="H765" t="n">
        <v>0</v>
      </c>
      <c r="I765" t="n">
        <v>850</v>
      </c>
      <c r="J765" t="n">
        <v>-850</v>
      </c>
    </row>
    <row r="766">
      <c r="A766" t="inlineStr">
        <is>
          <t>b5f5c0b9cce3fb0bf8f17643ce7f6daad6f71fd4119293fbe93a46d26b870419</t>
        </is>
      </c>
      <c r="B766" t="inlineStr">
        <is>
          <t>Visma Enterprise (BOOM)</t>
        </is>
      </c>
      <c r="C766" t="n">
        <v>6</v>
      </c>
      <c r="D766" t="n">
        <v>19</v>
      </c>
      <c r="E766" t="n">
        <v>8</v>
      </c>
      <c r="F766" t="n">
        <v>20240901</v>
      </c>
      <c r="G766" t="n">
        <v>0</v>
      </c>
      <c r="H766" t="n">
        <v>0</v>
      </c>
      <c r="I766" t="n">
        <v>850</v>
      </c>
      <c r="J766" t="n">
        <v>-850</v>
      </c>
    </row>
    <row r="767">
      <c r="A767" t="inlineStr">
        <is>
          <t>121e8c576c406f468bf489e3a529bf252dd51f14b8af72aa819be4c505bded7d</t>
        </is>
      </c>
      <c r="B767" t="inlineStr">
        <is>
          <t>Visma Enterprise (BOOM)</t>
        </is>
      </c>
      <c r="C767" t="n">
        <v>6</v>
      </c>
      <c r="D767" t="n">
        <v>19</v>
      </c>
      <c r="E767" t="n">
        <v>8</v>
      </c>
      <c r="F767" t="n">
        <v>20241001</v>
      </c>
      <c r="G767" t="n">
        <v>0</v>
      </c>
      <c r="H767" t="n">
        <v>0</v>
      </c>
      <c r="I767" t="n">
        <v>850</v>
      </c>
      <c r="J767" t="n">
        <v>-850</v>
      </c>
    </row>
    <row r="768">
      <c r="A768" t="inlineStr">
        <is>
          <t>a962846a767c207ccc42c15332208262978a9135d44182573f3dddcc83664d59</t>
        </is>
      </c>
      <c r="B768" t="inlineStr">
        <is>
          <t>Visma Enterprise (BOOM)</t>
        </is>
      </c>
      <c r="C768" t="n">
        <v>6</v>
      </c>
      <c r="D768" t="n">
        <v>19</v>
      </c>
      <c r="E768" t="n">
        <v>8</v>
      </c>
      <c r="F768" t="n">
        <v>20241101</v>
      </c>
      <c r="G768" t="n">
        <v>0</v>
      </c>
      <c r="H768" t="n">
        <v>0</v>
      </c>
      <c r="I768" t="n">
        <v>850</v>
      </c>
      <c r="J768" t="n">
        <v>-850</v>
      </c>
    </row>
    <row r="769">
      <c r="A769" t="inlineStr">
        <is>
          <t>d600cea55d59bfb6d3a053b816471aa9dedb28880bf3417a155202bc758c7c4d</t>
        </is>
      </c>
      <c r="B769" t="inlineStr">
        <is>
          <t>Visma Enterprise (BOOM)</t>
        </is>
      </c>
      <c r="C769" t="n">
        <v>6</v>
      </c>
      <c r="D769" t="n">
        <v>19</v>
      </c>
      <c r="E769" t="n">
        <v>8</v>
      </c>
      <c r="F769" t="n">
        <v>20241201</v>
      </c>
      <c r="G769" t="n">
        <v>0</v>
      </c>
      <c r="H769" t="n">
        <v>0</v>
      </c>
      <c r="I769" t="n">
        <v>650</v>
      </c>
      <c r="J769" t="n">
        <v>-650</v>
      </c>
    </row>
    <row r="770">
      <c r="A770" t="inlineStr">
        <is>
          <t>2067c95bc706206ae9d407267cc0607c36df6113cadeabc219c5786e12e9a62d</t>
        </is>
      </c>
      <c r="B770" t="inlineStr">
        <is>
          <t>Visma Enterprise (BOOM)</t>
        </is>
      </c>
      <c r="C770" t="n">
        <v>6</v>
      </c>
      <c r="D770" t="n">
        <v>19</v>
      </c>
      <c r="E770" t="n">
        <v>8</v>
      </c>
      <c r="F770" t="n">
        <v>20240101</v>
      </c>
      <c r="G770" t="n">
        <v>0</v>
      </c>
      <c r="H770" t="n">
        <v>0</v>
      </c>
      <c r="I770" t="n">
        <v>0</v>
      </c>
      <c r="J770" t="n">
        <v>0</v>
      </c>
    </row>
    <row r="771">
      <c r="A771" t="inlineStr">
        <is>
          <t>89ddf92ce50ebe179617751f6e72ea96818c60133945b139149f8f843b578b29</t>
        </is>
      </c>
      <c r="B771" t="inlineStr">
        <is>
          <t>Visma Enterprise (BOOM)</t>
        </is>
      </c>
      <c r="C771" t="n">
        <v>6</v>
      </c>
      <c r="D771" t="n">
        <v>19</v>
      </c>
      <c r="E771" t="n">
        <v>8</v>
      </c>
      <c r="F771" t="n">
        <v>20240201</v>
      </c>
      <c r="G771" t="n">
        <v>0</v>
      </c>
      <c r="H771" t="n">
        <v>0</v>
      </c>
      <c r="I771" t="n">
        <v>0</v>
      </c>
      <c r="J771" t="n">
        <v>0</v>
      </c>
    </row>
    <row r="772">
      <c r="A772" t="inlineStr">
        <is>
          <t>4ef03a510c8b6cf8413cf568b9860acee126bb8c7d2d81620c5f618511c6361b</t>
        </is>
      </c>
      <c r="B772" t="inlineStr">
        <is>
          <t>Visma Enterprise (BOOM)</t>
        </is>
      </c>
      <c r="C772" t="n">
        <v>6</v>
      </c>
      <c r="D772" t="n">
        <v>19</v>
      </c>
      <c r="E772" t="n">
        <v>8</v>
      </c>
      <c r="F772" t="n">
        <v>20240301</v>
      </c>
      <c r="G772" t="n">
        <v>150</v>
      </c>
      <c r="H772" t="n">
        <v>-150</v>
      </c>
      <c r="I772" t="n">
        <v>0</v>
      </c>
      <c r="J772" t="n">
        <v>-150</v>
      </c>
    </row>
    <row r="773">
      <c r="A773" t="inlineStr">
        <is>
          <t>096e602ed3dc3c510dff3a4293ed6df3ee75f14e8dd1cb569c6b82a636507d9a</t>
        </is>
      </c>
      <c r="B773" t="inlineStr">
        <is>
          <t>Visma Enterprise (BOOM)</t>
        </is>
      </c>
      <c r="C773" t="n">
        <v>6</v>
      </c>
      <c r="D773" t="n">
        <v>19</v>
      </c>
      <c r="E773" t="n">
        <v>8</v>
      </c>
      <c r="F773" t="n">
        <v>20240401</v>
      </c>
      <c r="G773" t="n">
        <v>0</v>
      </c>
      <c r="H773" t="n">
        <v>0</v>
      </c>
      <c r="I773" t="n">
        <v>0</v>
      </c>
      <c r="J773" t="n">
        <v>0</v>
      </c>
    </row>
    <row r="774">
      <c r="A774" t="inlineStr">
        <is>
          <t>45d2615fbf55a1641ae4073da22c42068c5e9ea1024c5a527b56d5aff97caec7</t>
        </is>
      </c>
      <c r="B774" t="inlineStr">
        <is>
          <t>Visma Enterprise (BOOM)</t>
        </is>
      </c>
      <c r="C774" t="n">
        <v>6</v>
      </c>
      <c r="D774" t="n">
        <v>19</v>
      </c>
      <c r="E774" t="n">
        <v>8</v>
      </c>
      <c r="F774" t="n">
        <v>20240501</v>
      </c>
      <c r="G774" t="n">
        <v>0</v>
      </c>
      <c r="H774" t="n">
        <v>0</v>
      </c>
      <c r="I774" t="n">
        <v>0</v>
      </c>
      <c r="J774" t="n">
        <v>0</v>
      </c>
    </row>
    <row r="775">
      <c r="A775" t="inlineStr">
        <is>
          <t>e73de4faa4967e1039db193d2144385c354cefa93918fe2907ddb30ef981da19</t>
        </is>
      </c>
      <c r="B775" t="inlineStr">
        <is>
          <t>Visma Enterprise (BOOM)</t>
        </is>
      </c>
      <c r="C775" t="n">
        <v>6</v>
      </c>
      <c r="D775" t="n">
        <v>19</v>
      </c>
      <c r="E775" t="n">
        <v>8</v>
      </c>
      <c r="F775" t="n">
        <v>20240601</v>
      </c>
      <c r="G775" t="n">
        <v>0</v>
      </c>
      <c r="H775" t="n">
        <v>0</v>
      </c>
      <c r="I775" t="n">
        <v>0</v>
      </c>
      <c r="J775" t="n">
        <v>0</v>
      </c>
    </row>
    <row r="776">
      <c r="A776" t="inlineStr">
        <is>
          <t>b5205533e1843b1bd497711ebae3bac8e108c80678b8f984daa2065f1111f400</t>
        </is>
      </c>
      <c r="B776" t="inlineStr">
        <is>
          <t>Visma Enterprise (BOOM)</t>
        </is>
      </c>
      <c r="C776" t="n">
        <v>6</v>
      </c>
      <c r="D776" t="n">
        <v>19</v>
      </c>
      <c r="E776" t="n">
        <v>8</v>
      </c>
      <c r="F776" t="n">
        <v>20240701</v>
      </c>
      <c r="G776" t="n">
        <v>0</v>
      </c>
      <c r="H776" t="n">
        <v>0</v>
      </c>
      <c r="I776" t="n">
        <v>0</v>
      </c>
      <c r="J776" t="n">
        <v>0</v>
      </c>
    </row>
    <row r="777">
      <c r="A777" t="inlineStr">
        <is>
          <t>8db824f2c6238e43e6a3bcee180b97b55a2a9ec51f2b09028de89fb4f48706b8</t>
        </is>
      </c>
      <c r="B777" t="inlineStr">
        <is>
          <t>Visma Enterprise (BOOM)</t>
        </is>
      </c>
      <c r="C777" t="n">
        <v>6</v>
      </c>
      <c r="D777" t="n">
        <v>19</v>
      </c>
      <c r="E777" t="n">
        <v>8</v>
      </c>
      <c r="F777" t="n">
        <v>20240801</v>
      </c>
      <c r="G777" t="n">
        <v>11.95</v>
      </c>
      <c r="H777" t="n">
        <v>-11.95</v>
      </c>
      <c r="I777" t="n">
        <v>0</v>
      </c>
      <c r="J777" t="n">
        <v>-11.95</v>
      </c>
    </row>
    <row r="778">
      <c r="A778" t="inlineStr">
        <is>
          <t>eafe979517d2586eecf60c9d0f1f911dcba6b595039ac2b4829787c4dc4fd89c</t>
        </is>
      </c>
      <c r="B778" t="inlineStr">
        <is>
          <t>Visma Enterprise (BOOM)</t>
        </is>
      </c>
      <c r="C778" t="n">
        <v>6</v>
      </c>
      <c r="D778" t="n">
        <v>19</v>
      </c>
      <c r="E778" t="n">
        <v>8</v>
      </c>
      <c r="F778" t="n">
        <v>20240901</v>
      </c>
      <c r="G778" t="n">
        <v>0</v>
      </c>
      <c r="H778" t="n">
        <v>0</v>
      </c>
      <c r="I778" t="n">
        <v>0</v>
      </c>
      <c r="J778" t="n">
        <v>0</v>
      </c>
    </row>
    <row r="779">
      <c r="A779" t="inlineStr">
        <is>
          <t>391995ca427762677d98ee71a2a607f56b5970cc08aec286333a7c9680df7d7f</t>
        </is>
      </c>
      <c r="B779" t="inlineStr">
        <is>
          <t>Visma Enterprise (BOOM)</t>
        </is>
      </c>
      <c r="C779" t="n">
        <v>6</v>
      </c>
      <c r="D779" t="n">
        <v>19</v>
      </c>
      <c r="E779" t="n">
        <v>8</v>
      </c>
      <c r="F779" t="n">
        <v>20241001</v>
      </c>
      <c r="G779" t="n">
        <v>0</v>
      </c>
      <c r="H779" t="n">
        <v>0</v>
      </c>
      <c r="I779" t="n">
        <v>0</v>
      </c>
      <c r="J779" t="n">
        <v>0</v>
      </c>
    </row>
    <row r="780">
      <c r="A780" t="inlineStr">
        <is>
          <t>5b8b071c95b3491f234de13377924029ffa7a7f40fa121bc67ad379a45fe5104</t>
        </is>
      </c>
      <c r="B780" t="inlineStr">
        <is>
          <t>Visma Enterprise (BOOM)</t>
        </is>
      </c>
      <c r="C780" t="n">
        <v>6</v>
      </c>
      <c r="D780" t="n">
        <v>19</v>
      </c>
      <c r="E780" t="n">
        <v>8</v>
      </c>
      <c r="F780" t="n">
        <v>20241101</v>
      </c>
      <c r="G780" t="n">
        <v>0</v>
      </c>
      <c r="H780" t="n">
        <v>0</v>
      </c>
      <c r="I780" t="n">
        <v>0</v>
      </c>
      <c r="J780" t="n">
        <v>0</v>
      </c>
    </row>
    <row r="781">
      <c r="A781" t="inlineStr">
        <is>
          <t>cddd30d7ae3aba07199aec56d563213a3eabe815127072ffeeeafcffda7176a7</t>
        </is>
      </c>
      <c r="B781" t="inlineStr">
        <is>
          <t>Visma Enterprise (BOOM)</t>
        </is>
      </c>
      <c r="C781" t="n">
        <v>6</v>
      </c>
      <c r="D781" t="n">
        <v>19</v>
      </c>
      <c r="E781" t="n">
        <v>8</v>
      </c>
      <c r="F781" t="n">
        <v>20241201</v>
      </c>
      <c r="G781" t="n">
        <v>0</v>
      </c>
      <c r="H781" t="n">
        <v>0</v>
      </c>
      <c r="I781" t="n">
        <v>0</v>
      </c>
      <c r="J781" t="n">
        <v>0</v>
      </c>
    </row>
    <row r="782">
      <c r="A782" t="inlineStr">
        <is>
          <t>ea120c56edaee8cf705ef9218f1390d315ef36bd1801cd32a07663509de7f1f8</t>
        </is>
      </c>
      <c r="B782" t="inlineStr">
        <is>
          <t>Visma Enterprise (BOOM)</t>
        </is>
      </c>
      <c r="C782" t="n">
        <v>6</v>
      </c>
      <c r="D782" t="n">
        <v>19</v>
      </c>
      <c r="E782" t="n">
        <v>8</v>
      </c>
      <c r="F782" t="n">
        <v>20240101</v>
      </c>
      <c r="G782" t="n">
        <v>0</v>
      </c>
      <c r="H782" t="n">
        <v>0</v>
      </c>
      <c r="I782" t="n">
        <v>0</v>
      </c>
      <c r="J782" t="n">
        <v>0</v>
      </c>
    </row>
    <row r="783">
      <c r="A783" t="inlineStr">
        <is>
          <t>bb5f40e5912b1c3aa5a0cdb248c7a3f289bbd814d88afeea5db51a981a9e9629</t>
        </is>
      </c>
      <c r="B783" t="inlineStr">
        <is>
          <t>Visma Enterprise (BOOM)</t>
        </is>
      </c>
      <c r="C783" t="n">
        <v>6</v>
      </c>
      <c r="D783" t="n">
        <v>19</v>
      </c>
      <c r="E783" t="n">
        <v>8</v>
      </c>
      <c r="F783" t="n">
        <v>20240201</v>
      </c>
      <c r="G783" t="n">
        <v>0</v>
      </c>
      <c r="H783" t="n">
        <v>0</v>
      </c>
      <c r="I783" t="n">
        <v>0</v>
      </c>
      <c r="J783" t="n">
        <v>0</v>
      </c>
    </row>
    <row r="784">
      <c r="A784" t="inlineStr">
        <is>
          <t>86bb3d6ef3aaf5240db19f47b5ee6df05540ffbf3cb57dc5924c34b14eddd20b</t>
        </is>
      </c>
      <c r="B784" t="inlineStr">
        <is>
          <t>Visma Enterprise (BOOM)</t>
        </is>
      </c>
      <c r="C784" t="n">
        <v>6</v>
      </c>
      <c r="D784" t="n">
        <v>19</v>
      </c>
      <c r="E784" t="n">
        <v>8</v>
      </c>
      <c r="F784" t="n">
        <v>20240301</v>
      </c>
      <c r="G784" t="n">
        <v>0</v>
      </c>
      <c r="H784" t="n">
        <v>0</v>
      </c>
      <c r="I784" t="n">
        <v>0</v>
      </c>
      <c r="J784" t="n">
        <v>0</v>
      </c>
    </row>
    <row r="785">
      <c r="A785" t="inlineStr">
        <is>
          <t>365be6ba37f740a015623b68889cc52e8db85aaefd30bc0efee9614adc158bf8</t>
        </is>
      </c>
      <c r="B785" t="inlineStr">
        <is>
          <t>Visma Enterprise (BOOM)</t>
        </is>
      </c>
      <c r="C785" t="n">
        <v>6</v>
      </c>
      <c r="D785" t="n">
        <v>19</v>
      </c>
      <c r="E785" t="n">
        <v>8</v>
      </c>
      <c r="F785" t="n">
        <v>20240401</v>
      </c>
      <c r="G785" t="n">
        <v>0</v>
      </c>
      <c r="H785" t="n">
        <v>0</v>
      </c>
      <c r="I785" t="n">
        <v>0</v>
      </c>
      <c r="J785" t="n">
        <v>0</v>
      </c>
    </row>
    <row r="786">
      <c r="A786" t="inlineStr">
        <is>
          <t>3cca164a3b41eec8f219508dc51b58526ca79a09f7d8d9ecf3a06d144ea1618d</t>
        </is>
      </c>
      <c r="B786" t="inlineStr">
        <is>
          <t>Visma Enterprise (BOOM)</t>
        </is>
      </c>
      <c r="C786" t="n">
        <v>6</v>
      </c>
      <c r="D786" t="n">
        <v>19</v>
      </c>
      <c r="E786" t="n">
        <v>8</v>
      </c>
      <c r="F786" t="n">
        <v>20240501</v>
      </c>
      <c r="G786" t="n">
        <v>0</v>
      </c>
      <c r="H786" t="n">
        <v>0</v>
      </c>
      <c r="I786" t="n">
        <v>0</v>
      </c>
      <c r="J786" t="n">
        <v>0</v>
      </c>
    </row>
    <row r="787">
      <c r="A787" t="inlineStr">
        <is>
          <t>4137568cac20a380f60d63456a210623c59ddd1b49fba297e086767adbf84489</t>
        </is>
      </c>
      <c r="B787" t="inlineStr">
        <is>
          <t>Visma Enterprise (BOOM)</t>
        </is>
      </c>
      <c r="C787" t="n">
        <v>6</v>
      </c>
      <c r="D787" t="n">
        <v>19</v>
      </c>
      <c r="E787" t="n">
        <v>8</v>
      </c>
      <c r="F787" t="n">
        <v>20240601</v>
      </c>
      <c r="G787" t="n">
        <v>0</v>
      </c>
      <c r="H787" t="n">
        <v>0</v>
      </c>
      <c r="I787" t="n">
        <v>0</v>
      </c>
      <c r="J787" t="n">
        <v>0</v>
      </c>
    </row>
    <row r="788">
      <c r="A788" t="inlineStr">
        <is>
          <t>7bfa9026bae9afa222dd16ec1d9d57c22ad7570bfc80dbf8bd3380942a7b9e4d</t>
        </is>
      </c>
      <c r="B788" t="inlineStr">
        <is>
          <t>Visma Enterprise (BOOM)</t>
        </is>
      </c>
      <c r="C788" t="n">
        <v>6</v>
      </c>
      <c r="D788" t="n">
        <v>19</v>
      </c>
      <c r="E788" t="n">
        <v>8</v>
      </c>
      <c r="F788" t="n">
        <v>20240701</v>
      </c>
      <c r="G788" t="n">
        <v>0</v>
      </c>
      <c r="H788" t="n">
        <v>0</v>
      </c>
      <c r="I788" t="n">
        <v>0</v>
      </c>
      <c r="J788" t="n">
        <v>0</v>
      </c>
    </row>
    <row r="789">
      <c r="A789" t="inlineStr">
        <is>
          <t>c7254044af3ba22e6de4f3aef3b0e56d931953de36b615f29fbcc64281ce58da</t>
        </is>
      </c>
      <c r="B789" t="inlineStr">
        <is>
          <t>Visma Enterprise (BOOM)</t>
        </is>
      </c>
      <c r="C789" t="n">
        <v>6</v>
      </c>
      <c r="D789" t="n">
        <v>19</v>
      </c>
      <c r="E789" t="n">
        <v>8</v>
      </c>
      <c r="F789" t="n">
        <v>20240801</v>
      </c>
      <c r="G789" t="n">
        <v>0</v>
      </c>
      <c r="H789" t="n">
        <v>0</v>
      </c>
      <c r="I789" t="n">
        <v>0</v>
      </c>
      <c r="J789" t="n">
        <v>0</v>
      </c>
    </row>
    <row r="790">
      <c r="A790" t="inlineStr">
        <is>
          <t>0f5e17bb2d6239eb0948697aad59fd131b097dc59d6a536adb17805e23d8c9a3</t>
        </is>
      </c>
      <c r="B790" t="inlineStr">
        <is>
          <t>Visma Enterprise (BOOM)</t>
        </is>
      </c>
      <c r="C790" t="n">
        <v>6</v>
      </c>
      <c r="D790" t="n">
        <v>19</v>
      </c>
      <c r="E790" t="n">
        <v>8</v>
      </c>
      <c r="F790" t="n">
        <v>20240901</v>
      </c>
      <c r="G790" t="n">
        <v>0</v>
      </c>
      <c r="H790" t="n">
        <v>0</v>
      </c>
      <c r="I790" t="n">
        <v>0</v>
      </c>
      <c r="J790" t="n">
        <v>0</v>
      </c>
    </row>
    <row r="791">
      <c r="A791" t="inlineStr">
        <is>
          <t>7507d8bab0aae3ec7c5a92925f1d22ad0836058892756b3eaa02adf964363ca9</t>
        </is>
      </c>
      <c r="B791" t="inlineStr">
        <is>
          <t>Visma Enterprise (BOOM)</t>
        </is>
      </c>
      <c r="C791" t="n">
        <v>6</v>
      </c>
      <c r="D791" t="n">
        <v>19</v>
      </c>
      <c r="E791" t="n">
        <v>8</v>
      </c>
      <c r="F791" t="n">
        <v>20241001</v>
      </c>
      <c r="G791" t="n">
        <v>0</v>
      </c>
      <c r="H791" t="n">
        <v>0</v>
      </c>
      <c r="I791" t="n">
        <v>0</v>
      </c>
      <c r="J791" t="n">
        <v>0</v>
      </c>
    </row>
    <row r="792">
      <c r="A792" t="inlineStr">
        <is>
          <t>a03b2ebea7dbe16f809948f710ab70af753538e4ffb61ce6f04ce743af5fef8d</t>
        </is>
      </c>
      <c r="B792" t="inlineStr">
        <is>
          <t>Visma Enterprise (BOOM)</t>
        </is>
      </c>
      <c r="C792" t="n">
        <v>6</v>
      </c>
      <c r="D792" t="n">
        <v>19</v>
      </c>
      <c r="E792" t="n">
        <v>8</v>
      </c>
      <c r="F792" t="n">
        <v>20241101</v>
      </c>
      <c r="G792" t="n">
        <v>0</v>
      </c>
      <c r="H792" t="n">
        <v>0</v>
      </c>
      <c r="I792" t="n">
        <v>0</v>
      </c>
      <c r="J792" t="n">
        <v>0</v>
      </c>
    </row>
    <row r="793">
      <c r="A793" t="inlineStr">
        <is>
          <t>34d3914e4d13cf75b4b265065f8968ef84ce3085901d6668e1d5f43d81e5f8e1</t>
        </is>
      </c>
      <c r="B793" t="inlineStr">
        <is>
          <t>Visma Enterprise (BOOM)</t>
        </is>
      </c>
      <c r="C793" t="n">
        <v>6</v>
      </c>
      <c r="D793" t="n">
        <v>19</v>
      </c>
      <c r="E793" t="n">
        <v>8</v>
      </c>
      <c r="F793" t="n">
        <v>20241201</v>
      </c>
      <c r="G793" t="n">
        <v>0</v>
      </c>
      <c r="H793" t="n">
        <v>0</v>
      </c>
      <c r="I793" t="n">
        <v>0</v>
      </c>
      <c r="J793" t="n">
        <v>0</v>
      </c>
    </row>
    <row r="794">
      <c r="A794" t="inlineStr">
        <is>
          <t>7b6c6d151ca7031c3aee662e4f379126621f9c9d3dc98472f4ec221a04490e29</t>
        </is>
      </c>
      <c r="B794" t="inlineStr">
        <is>
          <t>Visma Enterprise (BOOM)</t>
        </is>
      </c>
      <c r="C794" t="n">
        <v>6</v>
      </c>
      <c r="D794" t="n">
        <v>20</v>
      </c>
      <c r="E794" t="n">
        <v>8</v>
      </c>
      <c r="F794" t="n">
        <v>20240101</v>
      </c>
      <c r="G794" t="n">
        <v>0</v>
      </c>
      <c r="H794" t="n">
        <v>0</v>
      </c>
      <c r="I794" t="n">
        <v>4078</v>
      </c>
      <c r="J794" t="n">
        <v>-4078</v>
      </c>
    </row>
    <row r="795">
      <c r="A795" t="inlineStr">
        <is>
          <t>cd0d2740521a9881d5b2e44f89785d38553c29b5692a6b23d714490f3978d34b</t>
        </is>
      </c>
      <c r="B795" t="inlineStr">
        <is>
          <t>Visma Enterprise (BOOM)</t>
        </is>
      </c>
      <c r="C795" t="n">
        <v>6</v>
      </c>
      <c r="D795" t="n">
        <v>20</v>
      </c>
      <c r="E795" t="n">
        <v>8</v>
      </c>
      <c r="F795" t="n">
        <v>20240201</v>
      </c>
      <c r="G795" t="n">
        <v>0</v>
      </c>
      <c r="H795" t="n">
        <v>0</v>
      </c>
      <c r="I795" t="n">
        <v>4078</v>
      </c>
      <c r="J795" t="n">
        <v>-4078</v>
      </c>
    </row>
    <row r="796">
      <c r="A796" t="inlineStr">
        <is>
          <t>de4f5ddf67e7aab1054d433cdf69ae814704ee1cbaf77142343fe0fdb07f45df</t>
        </is>
      </c>
      <c r="B796" t="inlineStr">
        <is>
          <t>Visma Enterprise (BOOM)</t>
        </is>
      </c>
      <c r="C796" t="n">
        <v>6</v>
      </c>
      <c r="D796" t="n">
        <v>20</v>
      </c>
      <c r="E796" t="n">
        <v>8</v>
      </c>
      <c r="F796" t="n">
        <v>20240301</v>
      </c>
      <c r="G796" t="n">
        <v>0</v>
      </c>
      <c r="H796" t="n">
        <v>0</v>
      </c>
      <c r="I796" t="n">
        <v>4078</v>
      </c>
      <c r="J796" t="n">
        <v>-4078</v>
      </c>
    </row>
    <row r="797">
      <c r="A797" t="inlineStr">
        <is>
          <t>b27542d3f2c5127764ba3eabfca13aad58ac4f6cf778f08b8300e08912c70cc9</t>
        </is>
      </c>
      <c r="B797" t="inlineStr">
        <is>
          <t>Visma Enterprise (BOOM)</t>
        </is>
      </c>
      <c r="C797" t="n">
        <v>6</v>
      </c>
      <c r="D797" t="n">
        <v>20</v>
      </c>
      <c r="E797" t="n">
        <v>8</v>
      </c>
      <c r="F797" t="n">
        <v>20240401</v>
      </c>
      <c r="G797" t="n">
        <v>0</v>
      </c>
      <c r="H797" t="n">
        <v>0</v>
      </c>
      <c r="I797" t="n">
        <v>4078</v>
      </c>
      <c r="J797" t="n">
        <v>-4078</v>
      </c>
    </row>
    <row r="798">
      <c r="A798" t="inlineStr">
        <is>
          <t>b66e15cfe291b5535a95b05486bdcaac70fbab4ebf433e33865979e03f882fb9</t>
        </is>
      </c>
      <c r="B798" t="inlineStr">
        <is>
          <t>Visma Enterprise (BOOM)</t>
        </is>
      </c>
      <c r="C798" t="n">
        <v>6</v>
      </c>
      <c r="D798" t="n">
        <v>20</v>
      </c>
      <c r="E798" t="n">
        <v>8</v>
      </c>
      <c r="F798" t="n">
        <v>20240501</v>
      </c>
      <c r="G798" t="n">
        <v>0</v>
      </c>
      <c r="H798" t="n">
        <v>0</v>
      </c>
      <c r="I798" t="n">
        <v>4078</v>
      </c>
      <c r="J798" t="n">
        <v>-4078</v>
      </c>
    </row>
    <row r="799">
      <c r="A799" t="inlineStr">
        <is>
          <t>b5e61279cef9067865115890e3bca64971f0e6d8888b795150806ca0514663b9</t>
        </is>
      </c>
      <c r="B799" t="inlineStr">
        <is>
          <t>Visma Enterprise (BOOM)</t>
        </is>
      </c>
      <c r="C799" t="n">
        <v>6</v>
      </c>
      <c r="D799" t="n">
        <v>20</v>
      </c>
      <c r="E799" t="n">
        <v>8</v>
      </c>
      <c r="F799" t="n">
        <v>20240601</v>
      </c>
      <c r="G799" t="n">
        <v>0</v>
      </c>
      <c r="H799" t="n">
        <v>0</v>
      </c>
      <c r="I799" t="n">
        <v>4078</v>
      </c>
      <c r="J799" t="n">
        <v>-4078</v>
      </c>
    </row>
    <row r="800">
      <c r="A800" t="inlineStr">
        <is>
          <t>4890b2a22c1eb2d9ac469a8e3079a7187a020043d755187bce26d6ec11a2b01a</t>
        </is>
      </c>
      <c r="B800" t="inlineStr">
        <is>
          <t>Visma Enterprise (BOOM)</t>
        </is>
      </c>
      <c r="C800" t="n">
        <v>6</v>
      </c>
      <c r="D800" t="n">
        <v>20</v>
      </c>
      <c r="E800" t="n">
        <v>8</v>
      </c>
      <c r="F800" t="n">
        <v>20240701</v>
      </c>
      <c r="G800" t="n">
        <v>0</v>
      </c>
      <c r="H800" t="n">
        <v>0</v>
      </c>
      <c r="I800" t="n">
        <v>4078</v>
      </c>
      <c r="J800" t="n">
        <v>-4078</v>
      </c>
    </row>
    <row r="801">
      <c r="A801" t="inlineStr">
        <is>
          <t>97032e8e01d9697b276efc4111a15cc2f332c10af305bb5161d3d972bd24d9b0</t>
        </is>
      </c>
      <c r="B801" t="inlineStr">
        <is>
          <t>Visma Enterprise (BOOM)</t>
        </is>
      </c>
      <c r="C801" t="n">
        <v>6</v>
      </c>
      <c r="D801" t="n">
        <v>20</v>
      </c>
      <c r="E801" t="n">
        <v>8</v>
      </c>
      <c r="F801" t="n">
        <v>20240801</v>
      </c>
      <c r="G801" t="n">
        <v>0</v>
      </c>
      <c r="H801" t="n">
        <v>0</v>
      </c>
      <c r="I801" t="n">
        <v>4078</v>
      </c>
      <c r="J801" t="n">
        <v>-4078</v>
      </c>
    </row>
    <row r="802">
      <c r="A802" t="inlineStr">
        <is>
          <t>343ed5237c3b6240425b893f6f63ccdf84d8ba80ec9a8a78e499801d649fd4f0</t>
        </is>
      </c>
      <c r="B802" t="inlineStr">
        <is>
          <t>Visma Enterprise (BOOM)</t>
        </is>
      </c>
      <c r="C802" t="n">
        <v>6</v>
      </c>
      <c r="D802" t="n">
        <v>20</v>
      </c>
      <c r="E802" t="n">
        <v>8</v>
      </c>
      <c r="F802" t="n">
        <v>20240901</v>
      </c>
      <c r="G802" t="n">
        <v>0</v>
      </c>
      <c r="H802" t="n">
        <v>0</v>
      </c>
      <c r="I802" t="n">
        <v>4078</v>
      </c>
      <c r="J802" t="n">
        <v>-4078</v>
      </c>
    </row>
    <row r="803">
      <c r="A803" t="inlineStr">
        <is>
          <t>8536a36a0fcfea26a41e17ee01b56a883e82efcbd4ce797fc2ccb496ca9c38f0</t>
        </is>
      </c>
      <c r="B803" t="inlineStr">
        <is>
          <t>Visma Enterprise (BOOM)</t>
        </is>
      </c>
      <c r="C803" t="n">
        <v>6</v>
      </c>
      <c r="D803" t="n">
        <v>20</v>
      </c>
      <c r="E803" t="n">
        <v>8</v>
      </c>
      <c r="F803" t="n">
        <v>20241001</v>
      </c>
      <c r="G803" t="n">
        <v>0</v>
      </c>
      <c r="H803" t="n">
        <v>0</v>
      </c>
      <c r="I803" t="n">
        <v>4078</v>
      </c>
      <c r="J803" t="n">
        <v>-4078</v>
      </c>
    </row>
    <row r="804">
      <c r="A804" t="inlineStr">
        <is>
          <t>4371404168ffc6d2d0760d7555023adbbef224e16192d6969a4806bc0cd6b0d6</t>
        </is>
      </c>
      <c r="B804" t="inlineStr">
        <is>
          <t>Visma Enterprise (BOOM)</t>
        </is>
      </c>
      <c r="C804" t="n">
        <v>6</v>
      </c>
      <c r="D804" t="n">
        <v>20</v>
      </c>
      <c r="E804" t="n">
        <v>8</v>
      </c>
      <c r="F804" t="n">
        <v>20241101</v>
      </c>
      <c r="G804" t="n">
        <v>0</v>
      </c>
      <c r="H804" t="n">
        <v>0</v>
      </c>
      <c r="I804" t="n">
        <v>4078</v>
      </c>
      <c r="J804" t="n">
        <v>-4078</v>
      </c>
    </row>
    <row r="805">
      <c r="A805" t="inlineStr">
        <is>
          <t>d5dde4d9191bdd5cb2fad6567d6eb15880a70468303635e8e9ac270c1515c36f</t>
        </is>
      </c>
      <c r="B805" t="inlineStr">
        <is>
          <t>Visma Enterprise (BOOM)</t>
        </is>
      </c>
      <c r="C805" t="n">
        <v>6</v>
      </c>
      <c r="D805" t="n">
        <v>20</v>
      </c>
      <c r="E805" t="n">
        <v>8</v>
      </c>
      <c r="F805" t="n">
        <v>20241201</v>
      </c>
      <c r="G805" t="n">
        <v>0</v>
      </c>
      <c r="H805" t="n">
        <v>0</v>
      </c>
      <c r="I805" t="n">
        <v>4142</v>
      </c>
      <c r="J805" t="n">
        <v>-4142</v>
      </c>
    </row>
    <row r="806">
      <c r="A806" t="inlineStr">
        <is>
          <t>011c9e1568dd275818051a3cc7abeb5c563c8733ca6ab94954544cbfc786d591</t>
        </is>
      </c>
      <c r="B806" t="inlineStr">
        <is>
          <t>Visma Enterprise (BOOM)</t>
        </is>
      </c>
      <c r="C806" t="n">
        <v>6</v>
      </c>
      <c r="D806" t="n">
        <v>20</v>
      </c>
      <c r="E806" t="n">
        <v>8</v>
      </c>
      <c r="F806" t="n">
        <v>20240101</v>
      </c>
      <c r="G806" t="n">
        <v>0</v>
      </c>
      <c r="H806" t="n">
        <v>0</v>
      </c>
      <c r="I806" t="n">
        <v>1164</v>
      </c>
      <c r="J806" t="n">
        <v>-1164</v>
      </c>
    </row>
    <row r="807">
      <c r="A807" t="inlineStr">
        <is>
          <t>c0a88e2daf46e90c1adb6d5d2e8a8c1491f76b3e25380a11665cff4b7dcc3487</t>
        </is>
      </c>
      <c r="B807" t="inlineStr">
        <is>
          <t>Visma Enterprise (BOOM)</t>
        </is>
      </c>
      <c r="C807" t="n">
        <v>6</v>
      </c>
      <c r="D807" t="n">
        <v>20</v>
      </c>
      <c r="E807" t="n">
        <v>8</v>
      </c>
      <c r="F807" t="n">
        <v>20240201</v>
      </c>
      <c r="G807" t="n">
        <v>4026</v>
      </c>
      <c r="H807" t="n">
        <v>-4026</v>
      </c>
      <c r="I807" t="n">
        <v>1164</v>
      </c>
      <c r="J807" t="n">
        <v>-5190</v>
      </c>
    </row>
    <row r="808">
      <c r="A808" t="inlineStr">
        <is>
          <t>e37fa0cd5ee6d861283e0d1b58aa2195a0c05177aea3870adf5a70aafc327024</t>
        </is>
      </c>
      <c r="B808" t="inlineStr">
        <is>
          <t>Visma Enterprise (BOOM)</t>
        </is>
      </c>
      <c r="C808" t="n">
        <v>6</v>
      </c>
      <c r="D808" t="n">
        <v>20</v>
      </c>
      <c r="E808" t="n">
        <v>8</v>
      </c>
      <c r="F808" t="n">
        <v>20240301</v>
      </c>
      <c r="G808" t="n">
        <v>0</v>
      </c>
      <c r="H808" t="n">
        <v>0</v>
      </c>
      <c r="I808" t="n">
        <v>1164</v>
      </c>
      <c r="J808" t="n">
        <v>-1164</v>
      </c>
    </row>
    <row r="809">
      <c r="A809" t="inlineStr">
        <is>
          <t>d15f40dddd97478946a5fe1b6926aacfc85b25e8f0564422dedf84e5d31d2ffa</t>
        </is>
      </c>
      <c r="B809" t="inlineStr">
        <is>
          <t>Visma Enterprise (BOOM)</t>
        </is>
      </c>
      <c r="C809" t="n">
        <v>6</v>
      </c>
      <c r="D809" t="n">
        <v>20</v>
      </c>
      <c r="E809" t="n">
        <v>8</v>
      </c>
      <c r="F809" t="n">
        <v>20240401</v>
      </c>
      <c r="G809" t="n">
        <v>0</v>
      </c>
      <c r="H809" t="n">
        <v>0</v>
      </c>
      <c r="I809" t="n">
        <v>1164</v>
      </c>
      <c r="J809" t="n">
        <v>-1164</v>
      </c>
    </row>
    <row r="810">
      <c r="A810" t="inlineStr">
        <is>
          <t>ba30444bfa8284737735b31af6cbc950aae8a227e38d45c666bf75543e512bab</t>
        </is>
      </c>
      <c r="B810" t="inlineStr">
        <is>
          <t>Visma Enterprise (BOOM)</t>
        </is>
      </c>
      <c r="C810" t="n">
        <v>6</v>
      </c>
      <c r="D810" t="n">
        <v>20</v>
      </c>
      <c r="E810" t="n">
        <v>8</v>
      </c>
      <c r="F810" t="n">
        <v>20240501</v>
      </c>
      <c r="G810" t="n">
        <v>0</v>
      </c>
      <c r="H810" t="n">
        <v>0</v>
      </c>
      <c r="I810" t="n">
        <v>1164</v>
      </c>
      <c r="J810" t="n">
        <v>-1164</v>
      </c>
    </row>
    <row r="811">
      <c r="A811" t="inlineStr">
        <is>
          <t>233326e9465dcf8288ecc9b87b61ebfa8a532dc79aec10a84a0e7ff17118841c</t>
        </is>
      </c>
      <c r="B811" t="inlineStr">
        <is>
          <t>Visma Enterprise (BOOM)</t>
        </is>
      </c>
      <c r="C811" t="n">
        <v>6</v>
      </c>
      <c r="D811" t="n">
        <v>20</v>
      </c>
      <c r="E811" t="n">
        <v>8</v>
      </c>
      <c r="F811" t="n">
        <v>20240601</v>
      </c>
      <c r="G811" t="n">
        <v>0</v>
      </c>
      <c r="H811" t="n">
        <v>0</v>
      </c>
      <c r="I811" t="n">
        <v>1164</v>
      </c>
      <c r="J811" t="n">
        <v>-1164</v>
      </c>
    </row>
    <row r="812">
      <c r="A812" t="inlineStr">
        <is>
          <t>ebec2ec6fd28d75de290f663815031af24af172045b62deb0097b76193482423</t>
        </is>
      </c>
      <c r="B812" t="inlineStr">
        <is>
          <t>Visma Enterprise (BOOM)</t>
        </is>
      </c>
      <c r="C812" t="n">
        <v>6</v>
      </c>
      <c r="D812" t="n">
        <v>20</v>
      </c>
      <c r="E812" t="n">
        <v>8</v>
      </c>
      <c r="F812" t="n">
        <v>20240701</v>
      </c>
      <c r="G812" t="n">
        <v>0</v>
      </c>
      <c r="H812" t="n">
        <v>0</v>
      </c>
      <c r="I812" t="n">
        <v>1164</v>
      </c>
      <c r="J812" t="n">
        <v>-1164</v>
      </c>
    </row>
    <row r="813">
      <c r="A813" t="inlineStr">
        <is>
          <t>19d28b0f42c2d3903f14e67745df117cb19e02d4f0fe3d27900e06d8b21f587b</t>
        </is>
      </c>
      <c r="B813" t="inlineStr">
        <is>
          <t>Visma Enterprise (BOOM)</t>
        </is>
      </c>
      <c r="C813" t="n">
        <v>6</v>
      </c>
      <c r="D813" t="n">
        <v>20</v>
      </c>
      <c r="E813" t="n">
        <v>8</v>
      </c>
      <c r="F813" t="n">
        <v>20240801</v>
      </c>
      <c r="G813" t="n">
        <v>11046.27</v>
      </c>
      <c r="H813" t="n">
        <v>-11046.27</v>
      </c>
      <c r="I813" t="n">
        <v>1164</v>
      </c>
      <c r="J813" t="n">
        <v>-12210.27</v>
      </c>
    </row>
    <row r="814">
      <c r="A814" t="inlineStr">
        <is>
          <t>1593324a48b2b9fe4cad81247cd1f8015f8a8f361133c5556daaf7145a1e2f57</t>
        </is>
      </c>
      <c r="B814" t="inlineStr">
        <is>
          <t>Visma Enterprise (BOOM)</t>
        </is>
      </c>
      <c r="C814" t="n">
        <v>6</v>
      </c>
      <c r="D814" t="n">
        <v>20</v>
      </c>
      <c r="E814" t="n">
        <v>8</v>
      </c>
      <c r="F814" t="n">
        <v>20240901</v>
      </c>
      <c r="G814" t="n">
        <v>0</v>
      </c>
      <c r="H814" t="n">
        <v>0</v>
      </c>
      <c r="I814" t="n">
        <v>1164</v>
      </c>
      <c r="J814" t="n">
        <v>-1164</v>
      </c>
    </row>
    <row r="815">
      <c r="A815" t="inlineStr">
        <is>
          <t>6a0e01c6888669a1b0bb7e498c828ce6956d8ff8bf36f05c9b5fdd5c7c4480d7</t>
        </is>
      </c>
      <c r="B815" t="inlineStr">
        <is>
          <t>Visma Enterprise (BOOM)</t>
        </is>
      </c>
      <c r="C815" t="n">
        <v>6</v>
      </c>
      <c r="D815" t="n">
        <v>20</v>
      </c>
      <c r="E815" t="n">
        <v>8</v>
      </c>
      <c r="F815" t="n">
        <v>20241001</v>
      </c>
      <c r="G815" t="n">
        <v>0</v>
      </c>
      <c r="H815" t="n">
        <v>0</v>
      </c>
      <c r="I815" t="n">
        <v>1164</v>
      </c>
      <c r="J815" t="n">
        <v>-1164</v>
      </c>
    </row>
    <row r="816">
      <c r="A816" t="inlineStr">
        <is>
          <t>1dbd8fe5491c771f876916fee99da720b4a725b7bfbacf5704574c9c17fc55cf</t>
        </is>
      </c>
      <c r="B816" t="inlineStr">
        <is>
          <t>Visma Enterprise (BOOM)</t>
        </is>
      </c>
      <c r="C816" t="n">
        <v>6</v>
      </c>
      <c r="D816" t="n">
        <v>20</v>
      </c>
      <c r="E816" t="n">
        <v>8</v>
      </c>
      <c r="F816" t="n">
        <v>20241101</v>
      </c>
      <c r="G816" t="n">
        <v>0</v>
      </c>
      <c r="H816" t="n">
        <v>0</v>
      </c>
      <c r="I816" t="n">
        <v>1164</v>
      </c>
      <c r="J816" t="n">
        <v>-1164</v>
      </c>
    </row>
    <row r="817">
      <c r="A817" t="inlineStr">
        <is>
          <t>3fec2d8b1d231be88f2451720194b1c4af9073550e2bfa4057a6dd9cc9181277</t>
        </is>
      </c>
      <c r="B817" t="inlineStr">
        <is>
          <t>Visma Enterprise (BOOM)</t>
        </is>
      </c>
      <c r="C817" t="n">
        <v>6</v>
      </c>
      <c r="D817" t="n">
        <v>20</v>
      </c>
      <c r="E817" t="n">
        <v>8</v>
      </c>
      <c r="F817" t="n">
        <v>20241201</v>
      </c>
      <c r="G817" t="n">
        <v>0</v>
      </c>
      <c r="H817" t="n">
        <v>0</v>
      </c>
      <c r="I817" t="n">
        <v>1196</v>
      </c>
      <c r="J817" t="n">
        <v>-1196</v>
      </c>
    </row>
    <row r="818">
      <c r="A818" t="inlineStr">
        <is>
          <t>0a0efcb9b596c6a4d104ecdf6beecece653aad10ff02a6ca0e8eef8f3f1e9f94</t>
        </is>
      </c>
      <c r="B818" t="inlineStr">
        <is>
          <t>Visma Enterprise (BOOM)</t>
        </is>
      </c>
      <c r="C818" t="n">
        <v>6</v>
      </c>
      <c r="D818" t="n">
        <v>20</v>
      </c>
      <c r="E818" t="n">
        <v>8</v>
      </c>
      <c r="F818" t="n">
        <v>20240101</v>
      </c>
      <c r="G818" t="n">
        <v>0</v>
      </c>
      <c r="H818" t="n">
        <v>0</v>
      </c>
      <c r="I818" t="n">
        <v>1868</v>
      </c>
      <c r="J818" t="n">
        <v>-1868</v>
      </c>
    </row>
    <row r="819">
      <c r="A819" t="inlineStr">
        <is>
          <t>9e52a957a5fe327e6a1e8de9d40b24322acb7802474b0fdf4b1e2771dc996bad</t>
        </is>
      </c>
      <c r="B819" t="inlineStr">
        <is>
          <t>Visma Enterprise (BOOM)</t>
        </is>
      </c>
      <c r="C819" t="n">
        <v>6</v>
      </c>
      <c r="D819" t="n">
        <v>20</v>
      </c>
      <c r="E819" t="n">
        <v>8</v>
      </c>
      <c r="F819" t="n">
        <v>20240201</v>
      </c>
      <c r="G819" t="n">
        <v>0</v>
      </c>
      <c r="H819" t="n">
        <v>0</v>
      </c>
      <c r="I819" t="n">
        <v>1868</v>
      </c>
      <c r="J819" t="n">
        <v>-1868</v>
      </c>
    </row>
    <row r="820">
      <c r="A820" t="inlineStr">
        <is>
          <t>ab734e92c66bba5b65ef9df7c07155fab4f511c17782dbd9325cbbe20f3ffb9c</t>
        </is>
      </c>
      <c r="B820" t="inlineStr">
        <is>
          <t>Visma Enterprise (BOOM)</t>
        </is>
      </c>
      <c r="C820" t="n">
        <v>6</v>
      </c>
      <c r="D820" t="n">
        <v>20</v>
      </c>
      <c r="E820" t="n">
        <v>8</v>
      </c>
      <c r="F820" t="n">
        <v>20240301</v>
      </c>
      <c r="G820" t="n">
        <v>0</v>
      </c>
      <c r="H820" t="n">
        <v>0</v>
      </c>
      <c r="I820" t="n">
        <v>1868</v>
      </c>
      <c r="J820" t="n">
        <v>-1868</v>
      </c>
    </row>
    <row r="821">
      <c r="A821" t="inlineStr">
        <is>
          <t>f9656f7b5ad2eea4efc89a4dbf7ab5e0e2b3df9abf61010cbf54644aac173e5f</t>
        </is>
      </c>
      <c r="B821" t="inlineStr">
        <is>
          <t>Visma Enterprise (BOOM)</t>
        </is>
      </c>
      <c r="C821" t="n">
        <v>6</v>
      </c>
      <c r="D821" t="n">
        <v>20</v>
      </c>
      <c r="E821" t="n">
        <v>8</v>
      </c>
      <c r="F821" t="n">
        <v>20240401</v>
      </c>
      <c r="G821" t="n">
        <v>5026.2</v>
      </c>
      <c r="H821" t="n">
        <v>-5026.2</v>
      </c>
      <c r="I821" t="n">
        <v>1868</v>
      </c>
      <c r="J821" t="n">
        <v>-6894.2</v>
      </c>
    </row>
    <row r="822">
      <c r="A822" t="inlineStr">
        <is>
          <t>8854852962aba43c544620d43f5d7c42f8f61fe98baacf2b769d3b55c79c95cb</t>
        </is>
      </c>
      <c r="B822" t="inlineStr">
        <is>
          <t>Visma Enterprise (BOOM)</t>
        </is>
      </c>
      <c r="C822" t="n">
        <v>6</v>
      </c>
      <c r="D822" t="n">
        <v>20</v>
      </c>
      <c r="E822" t="n">
        <v>8</v>
      </c>
      <c r="F822" t="n">
        <v>20240501</v>
      </c>
      <c r="G822" t="n">
        <v>0</v>
      </c>
      <c r="H822" t="n">
        <v>0</v>
      </c>
      <c r="I822" t="n">
        <v>1868</v>
      </c>
      <c r="J822" t="n">
        <v>-1868</v>
      </c>
    </row>
    <row r="823">
      <c r="A823" t="inlineStr">
        <is>
          <t>a4133dc1dffeb346b77ea42c3a9136612a928740fbf5b8e9d077c0f0121593fd</t>
        </is>
      </c>
      <c r="B823" t="inlineStr">
        <is>
          <t>Visma Enterprise (BOOM)</t>
        </is>
      </c>
      <c r="C823" t="n">
        <v>6</v>
      </c>
      <c r="D823" t="n">
        <v>20</v>
      </c>
      <c r="E823" t="n">
        <v>8</v>
      </c>
      <c r="F823" t="n">
        <v>20240601</v>
      </c>
      <c r="G823" t="n">
        <v>5760</v>
      </c>
      <c r="H823" t="n">
        <v>-5760</v>
      </c>
      <c r="I823" t="n">
        <v>1868</v>
      </c>
      <c r="J823" t="n">
        <v>-7628</v>
      </c>
    </row>
    <row r="824">
      <c r="A824" t="inlineStr">
        <is>
          <t>1d808d4dc93a9748c20132662904524983e63fe8346b410989bc634d7b1de1f2</t>
        </is>
      </c>
      <c r="B824" t="inlineStr">
        <is>
          <t>Visma Enterprise (BOOM)</t>
        </is>
      </c>
      <c r="C824" t="n">
        <v>6</v>
      </c>
      <c r="D824" t="n">
        <v>20</v>
      </c>
      <c r="E824" t="n">
        <v>8</v>
      </c>
      <c r="F824" t="n">
        <v>20240701</v>
      </c>
      <c r="G824" t="n">
        <v>0</v>
      </c>
      <c r="H824" t="n">
        <v>0</v>
      </c>
      <c r="I824" t="n">
        <v>1868</v>
      </c>
      <c r="J824" t="n">
        <v>-1868</v>
      </c>
    </row>
    <row r="825">
      <c r="A825" t="inlineStr">
        <is>
          <t>0b0c5ef3d2a7de25791c111fbfa6c34317b2293a448ae62b1d7abc0e9cf46f86</t>
        </is>
      </c>
      <c r="B825" t="inlineStr">
        <is>
          <t>Visma Enterprise (BOOM)</t>
        </is>
      </c>
      <c r="C825" t="n">
        <v>6</v>
      </c>
      <c r="D825" t="n">
        <v>20</v>
      </c>
      <c r="E825" t="n">
        <v>8</v>
      </c>
      <c r="F825" t="n">
        <v>20240801</v>
      </c>
      <c r="G825" t="n">
        <v>0</v>
      </c>
      <c r="H825" t="n">
        <v>0</v>
      </c>
      <c r="I825" t="n">
        <v>1868</v>
      </c>
      <c r="J825" t="n">
        <v>-1868</v>
      </c>
    </row>
    <row r="826">
      <c r="A826" t="inlineStr">
        <is>
          <t>8a719bd752252a4c1d5c91a73b51ee5c76927604802dd915b2879c22a8b31d19</t>
        </is>
      </c>
      <c r="B826" t="inlineStr">
        <is>
          <t>Visma Enterprise (BOOM)</t>
        </is>
      </c>
      <c r="C826" t="n">
        <v>6</v>
      </c>
      <c r="D826" t="n">
        <v>20</v>
      </c>
      <c r="E826" t="n">
        <v>8</v>
      </c>
      <c r="F826" t="n">
        <v>20240901</v>
      </c>
      <c r="G826" t="n">
        <v>0</v>
      </c>
      <c r="H826" t="n">
        <v>0</v>
      </c>
      <c r="I826" t="n">
        <v>1868</v>
      </c>
      <c r="J826" t="n">
        <v>-1868</v>
      </c>
    </row>
    <row r="827">
      <c r="A827" t="inlineStr">
        <is>
          <t>731aafa76901802d16a4cc9a80f582904b655fc3e22b735b26a7e30464d6e792</t>
        </is>
      </c>
      <c r="B827" t="inlineStr">
        <is>
          <t>Visma Enterprise (BOOM)</t>
        </is>
      </c>
      <c r="C827" t="n">
        <v>6</v>
      </c>
      <c r="D827" t="n">
        <v>20</v>
      </c>
      <c r="E827" t="n">
        <v>8</v>
      </c>
      <c r="F827" t="n">
        <v>20241001</v>
      </c>
      <c r="G827" t="n">
        <v>0</v>
      </c>
      <c r="H827" t="n">
        <v>0</v>
      </c>
      <c r="I827" t="n">
        <v>1868</v>
      </c>
      <c r="J827" t="n">
        <v>-1868</v>
      </c>
    </row>
    <row r="828">
      <c r="A828" t="inlineStr">
        <is>
          <t>84c51c728fd5550ea841890da7b19cbffc91903069b7e8f1f1322de67ae1f852</t>
        </is>
      </c>
      <c r="B828" t="inlineStr">
        <is>
          <t>Visma Enterprise (BOOM)</t>
        </is>
      </c>
      <c r="C828" t="n">
        <v>6</v>
      </c>
      <c r="D828" t="n">
        <v>20</v>
      </c>
      <c r="E828" t="n">
        <v>8</v>
      </c>
      <c r="F828" t="n">
        <v>20241101</v>
      </c>
      <c r="G828" t="n">
        <v>0</v>
      </c>
      <c r="H828" t="n">
        <v>0</v>
      </c>
      <c r="I828" t="n">
        <v>1868</v>
      </c>
      <c r="J828" t="n">
        <v>-1868</v>
      </c>
    </row>
    <row r="829">
      <c r="A829" t="inlineStr">
        <is>
          <t>bf943d09810799c9db35a5dd524309759f7e066d1fcc799bcec862a225a182d4</t>
        </is>
      </c>
      <c r="B829" t="inlineStr">
        <is>
          <t>Visma Enterprise (BOOM)</t>
        </is>
      </c>
      <c r="C829" t="n">
        <v>6</v>
      </c>
      <c r="D829" t="n">
        <v>20</v>
      </c>
      <c r="E829" t="n">
        <v>8</v>
      </c>
      <c r="F829" t="n">
        <v>20241201</v>
      </c>
      <c r="G829" t="n">
        <v>0</v>
      </c>
      <c r="H829" t="n">
        <v>0</v>
      </c>
      <c r="I829" t="n">
        <v>1452</v>
      </c>
      <c r="J829" t="n">
        <v>-1452</v>
      </c>
    </row>
    <row r="830">
      <c r="A830" t="inlineStr">
        <is>
          <t>01aae3dcb1a1eac731e750f0591f0586375003ff2f8ff788f20878fb80c86dd3</t>
        </is>
      </c>
      <c r="B830" t="inlineStr">
        <is>
          <t>Visma Enterprise (BOOM)</t>
        </is>
      </c>
      <c r="C830" t="n">
        <v>6</v>
      </c>
      <c r="D830" t="n">
        <v>20</v>
      </c>
      <c r="E830" t="n">
        <v>8</v>
      </c>
      <c r="F830" t="n">
        <v>20240101</v>
      </c>
      <c r="G830" t="n">
        <v>0</v>
      </c>
      <c r="H830" t="n">
        <v>0</v>
      </c>
      <c r="I830" t="n">
        <v>0</v>
      </c>
      <c r="J830" t="n">
        <v>0</v>
      </c>
    </row>
    <row r="831">
      <c r="A831" t="inlineStr">
        <is>
          <t>4359fb01cd70d8a6f6844788449638e324d02bb4fefec009230560227367dd12</t>
        </is>
      </c>
      <c r="B831" t="inlineStr">
        <is>
          <t>Visma Enterprise (BOOM)</t>
        </is>
      </c>
      <c r="C831" t="n">
        <v>6</v>
      </c>
      <c r="D831" t="n">
        <v>20</v>
      </c>
      <c r="E831" t="n">
        <v>8</v>
      </c>
      <c r="F831" t="n">
        <v>20240201</v>
      </c>
      <c r="G831" t="n">
        <v>0</v>
      </c>
      <c r="H831" t="n">
        <v>0</v>
      </c>
      <c r="I831" t="n">
        <v>0</v>
      </c>
      <c r="J831" t="n">
        <v>0</v>
      </c>
    </row>
    <row r="832">
      <c r="A832" t="inlineStr">
        <is>
          <t>72a6645237542c824843a9b73007b2c4113887f4e08289fa30f5428b7a38a6f6</t>
        </is>
      </c>
      <c r="B832" t="inlineStr">
        <is>
          <t>Visma Enterprise (BOOM)</t>
        </is>
      </c>
      <c r="C832" t="n">
        <v>6</v>
      </c>
      <c r="D832" t="n">
        <v>20</v>
      </c>
      <c r="E832" t="n">
        <v>8</v>
      </c>
      <c r="F832" t="n">
        <v>20240301</v>
      </c>
      <c r="G832" t="n">
        <v>0</v>
      </c>
      <c r="H832" t="n">
        <v>0</v>
      </c>
      <c r="I832" t="n">
        <v>0</v>
      </c>
      <c r="J832" t="n">
        <v>0</v>
      </c>
    </row>
    <row r="833">
      <c r="A833" t="inlineStr">
        <is>
          <t>f13c7671f2d811b14b2be661c10a67dd505cfe2336e4abdf271d962ca4181820</t>
        </is>
      </c>
      <c r="B833" t="inlineStr">
        <is>
          <t>Visma Enterprise (BOOM)</t>
        </is>
      </c>
      <c r="C833" t="n">
        <v>6</v>
      </c>
      <c r="D833" t="n">
        <v>20</v>
      </c>
      <c r="E833" t="n">
        <v>8</v>
      </c>
      <c r="F833" t="n">
        <v>20240401</v>
      </c>
      <c r="G833" t="n">
        <v>0</v>
      </c>
      <c r="H833" t="n">
        <v>0</v>
      </c>
      <c r="I833" t="n">
        <v>0</v>
      </c>
      <c r="J833" t="n">
        <v>0</v>
      </c>
    </row>
    <row r="834">
      <c r="A834" t="inlineStr">
        <is>
          <t>f7b929e4e16bc36c645ce0119ef7b7d44c0296690971a6c2334e500c5e62cc69</t>
        </is>
      </c>
      <c r="B834" t="inlineStr">
        <is>
          <t>Visma Enterprise (BOOM)</t>
        </is>
      </c>
      <c r="C834" t="n">
        <v>6</v>
      </c>
      <c r="D834" t="n">
        <v>20</v>
      </c>
      <c r="E834" t="n">
        <v>8</v>
      </c>
      <c r="F834" t="n">
        <v>20240501</v>
      </c>
      <c r="G834" t="n">
        <v>0</v>
      </c>
      <c r="H834" t="n">
        <v>0</v>
      </c>
      <c r="I834" t="n">
        <v>0</v>
      </c>
      <c r="J834" t="n">
        <v>0</v>
      </c>
    </row>
    <row r="835">
      <c r="A835" t="inlineStr">
        <is>
          <t>94840273a5a65576a551db3e98810b73b8a7cdd18e8af87a3979dfc5e07320ff</t>
        </is>
      </c>
      <c r="B835" t="inlineStr">
        <is>
          <t>Visma Enterprise (BOOM)</t>
        </is>
      </c>
      <c r="C835" t="n">
        <v>6</v>
      </c>
      <c r="D835" t="n">
        <v>20</v>
      </c>
      <c r="E835" t="n">
        <v>8</v>
      </c>
      <c r="F835" t="n">
        <v>20240601</v>
      </c>
      <c r="G835" t="n">
        <v>0</v>
      </c>
      <c r="H835" t="n">
        <v>0</v>
      </c>
      <c r="I835" t="n">
        <v>0</v>
      </c>
      <c r="J835" t="n">
        <v>0</v>
      </c>
    </row>
    <row r="836">
      <c r="A836" t="inlineStr">
        <is>
          <t>2a60890e98235015420be53ea943bb0aed225a1c8fbf531d17c87ac2b363332d</t>
        </is>
      </c>
      <c r="B836" t="inlineStr">
        <is>
          <t>Visma Enterprise (BOOM)</t>
        </is>
      </c>
      <c r="C836" t="n">
        <v>6</v>
      </c>
      <c r="D836" t="n">
        <v>20</v>
      </c>
      <c r="E836" t="n">
        <v>8</v>
      </c>
      <c r="F836" t="n">
        <v>20240701</v>
      </c>
      <c r="G836" t="n">
        <v>0</v>
      </c>
      <c r="H836" t="n">
        <v>0</v>
      </c>
      <c r="I836" t="n">
        <v>0</v>
      </c>
      <c r="J836" t="n">
        <v>0</v>
      </c>
    </row>
    <row r="837">
      <c r="A837" t="inlineStr">
        <is>
          <t>8c06b3afda82f8964df7f7597089314e849890d5e890613285f4501cf8ee385a</t>
        </is>
      </c>
      <c r="B837" t="inlineStr">
        <is>
          <t>Visma Enterprise (BOOM)</t>
        </is>
      </c>
      <c r="C837" t="n">
        <v>6</v>
      </c>
      <c r="D837" t="n">
        <v>20</v>
      </c>
      <c r="E837" t="n">
        <v>8</v>
      </c>
      <c r="F837" t="n">
        <v>20240801</v>
      </c>
      <c r="G837" t="n">
        <v>0</v>
      </c>
      <c r="H837" t="n">
        <v>0</v>
      </c>
      <c r="I837" t="n">
        <v>0</v>
      </c>
      <c r="J837" t="n">
        <v>0</v>
      </c>
    </row>
    <row r="838">
      <c r="A838" t="inlineStr">
        <is>
          <t>13c15e8844b1dc0190f1eb480f981e02d42fac32e064edba2af25e0bea94c991</t>
        </is>
      </c>
      <c r="B838" t="inlineStr">
        <is>
          <t>Visma Enterprise (BOOM)</t>
        </is>
      </c>
      <c r="C838" t="n">
        <v>6</v>
      </c>
      <c r="D838" t="n">
        <v>20</v>
      </c>
      <c r="E838" t="n">
        <v>8</v>
      </c>
      <c r="F838" t="n">
        <v>20240901</v>
      </c>
      <c r="G838" t="n">
        <v>0</v>
      </c>
      <c r="H838" t="n">
        <v>0</v>
      </c>
      <c r="I838" t="n">
        <v>0</v>
      </c>
      <c r="J838" t="n">
        <v>0</v>
      </c>
    </row>
    <row r="839">
      <c r="A839" t="inlineStr">
        <is>
          <t>ae96db95d2525badfa702df9c0cff8e9e461b0d67e7bb74b803baba900e769c4</t>
        </is>
      </c>
      <c r="B839" t="inlineStr">
        <is>
          <t>Visma Enterprise (BOOM)</t>
        </is>
      </c>
      <c r="C839" t="n">
        <v>6</v>
      </c>
      <c r="D839" t="n">
        <v>20</v>
      </c>
      <c r="E839" t="n">
        <v>8</v>
      </c>
      <c r="F839" t="n">
        <v>20241001</v>
      </c>
      <c r="G839" t="n">
        <v>0</v>
      </c>
      <c r="H839" t="n">
        <v>0</v>
      </c>
      <c r="I839" t="n">
        <v>0</v>
      </c>
      <c r="J839" t="n">
        <v>0</v>
      </c>
    </row>
    <row r="840">
      <c r="A840" t="inlineStr">
        <is>
          <t>8ebf5e7a4d97b9b7a2f205889b058317662a17b5e54140f3ec677572afbb50a5</t>
        </is>
      </c>
      <c r="B840" t="inlineStr">
        <is>
          <t>Visma Enterprise (BOOM)</t>
        </is>
      </c>
      <c r="C840" t="n">
        <v>6</v>
      </c>
      <c r="D840" t="n">
        <v>20</v>
      </c>
      <c r="E840" t="n">
        <v>8</v>
      </c>
      <c r="F840" t="n">
        <v>20241101</v>
      </c>
      <c r="G840" t="n">
        <v>0</v>
      </c>
      <c r="H840" t="n">
        <v>0</v>
      </c>
      <c r="I840" t="n">
        <v>0</v>
      </c>
      <c r="J840" t="n">
        <v>0</v>
      </c>
    </row>
    <row r="841">
      <c r="A841" t="inlineStr">
        <is>
          <t>b7e59029c06bcd2e592630e940c3884e730455f8d899c6aafd11ef2ad9dae746</t>
        </is>
      </c>
      <c r="B841" t="inlineStr">
        <is>
          <t>Visma Enterprise (BOOM)</t>
        </is>
      </c>
      <c r="C841" t="n">
        <v>6</v>
      </c>
      <c r="D841" t="n">
        <v>20</v>
      </c>
      <c r="E841" t="n">
        <v>8</v>
      </c>
      <c r="F841" t="n">
        <v>20241201</v>
      </c>
      <c r="G841" t="n">
        <v>0</v>
      </c>
      <c r="H841" t="n">
        <v>0</v>
      </c>
      <c r="I841" t="n">
        <v>0</v>
      </c>
      <c r="J841" t="n">
        <v>0</v>
      </c>
    </row>
    <row r="842">
      <c r="A842" t="inlineStr">
        <is>
          <t>91472f384c38b46afa1c9373ab604d44d873ad6d13f6f91d959b1f9e0e7f31f6</t>
        </is>
      </c>
      <c r="B842" t="inlineStr">
        <is>
          <t>Visma Enterprise (BOOM)</t>
        </is>
      </c>
      <c r="C842" t="n">
        <v>6</v>
      </c>
      <c r="D842" t="n">
        <v>20</v>
      </c>
      <c r="E842" t="n">
        <v>8</v>
      </c>
      <c r="F842" t="n">
        <v>20240101</v>
      </c>
      <c r="G842" t="n">
        <v>0</v>
      </c>
      <c r="H842" t="n">
        <v>0</v>
      </c>
      <c r="I842" t="n">
        <v>0</v>
      </c>
      <c r="J842" t="n">
        <v>0</v>
      </c>
    </row>
    <row r="843">
      <c r="A843" t="inlineStr">
        <is>
          <t>44aaa8630736e6c18242f0b0fa87e8c6fbd655a9075fe410fa98315ff82e0ca6</t>
        </is>
      </c>
      <c r="B843" t="inlineStr">
        <is>
          <t>Visma Enterprise (BOOM)</t>
        </is>
      </c>
      <c r="C843" t="n">
        <v>6</v>
      </c>
      <c r="D843" t="n">
        <v>20</v>
      </c>
      <c r="E843" t="n">
        <v>8</v>
      </c>
      <c r="F843" t="n">
        <v>20240201</v>
      </c>
      <c r="G843" t="n">
        <v>0</v>
      </c>
      <c r="H843" t="n">
        <v>0</v>
      </c>
      <c r="I843" t="n">
        <v>0</v>
      </c>
      <c r="J843" t="n">
        <v>0</v>
      </c>
    </row>
    <row r="844">
      <c r="A844" t="inlineStr">
        <is>
          <t>52a53f713af8a74bb6f918f5572aa8b9d8248561151c562928ecaf1115d33509</t>
        </is>
      </c>
      <c r="B844" t="inlineStr">
        <is>
          <t>Visma Enterprise (BOOM)</t>
        </is>
      </c>
      <c r="C844" t="n">
        <v>6</v>
      </c>
      <c r="D844" t="n">
        <v>20</v>
      </c>
      <c r="E844" t="n">
        <v>8</v>
      </c>
      <c r="F844" t="n">
        <v>20240301</v>
      </c>
      <c r="G844" t="n">
        <v>0</v>
      </c>
      <c r="H844" t="n">
        <v>0</v>
      </c>
      <c r="I844" t="n">
        <v>0</v>
      </c>
      <c r="J844" t="n">
        <v>0</v>
      </c>
    </row>
    <row r="845">
      <c r="A845" t="inlineStr">
        <is>
          <t>63e89aff6417b627fce49307e82467809e59c2ea2748e5dbc3eb367cdd083c53</t>
        </is>
      </c>
      <c r="B845" t="inlineStr">
        <is>
          <t>Visma Enterprise (BOOM)</t>
        </is>
      </c>
      <c r="C845" t="n">
        <v>6</v>
      </c>
      <c r="D845" t="n">
        <v>20</v>
      </c>
      <c r="E845" t="n">
        <v>8</v>
      </c>
      <c r="F845" t="n">
        <v>20240401</v>
      </c>
      <c r="G845" t="n">
        <v>0</v>
      </c>
      <c r="H845" t="n">
        <v>0</v>
      </c>
      <c r="I845" t="n">
        <v>0</v>
      </c>
      <c r="J845" t="n">
        <v>0</v>
      </c>
    </row>
    <row r="846">
      <c r="A846" t="inlineStr">
        <is>
          <t>2aafba1ccbf9bd03aa37e9d3066825d21494dbee79ed45e9b09a78c1b7382cad</t>
        </is>
      </c>
      <c r="B846" t="inlineStr">
        <is>
          <t>Visma Enterprise (BOOM)</t>
        </is>
      </c>
      <c r="C846" t="n">
        <v>6</v>
      </c>
      <c r="D846" t="n">
        <v>20</v>
      </c>
      <c r="E846" t="n">
        <v>8</v>
      </c>
      <c r="F846" t="n">
        <v>20240501</v>
      </c>
      <c r="G846" t="n">
        <v>0</v>
      </c>
      <c r="H846" t="n">
        <v>0</v>
      </c>
      <c r="I846" t="n">
        <v>0</v>
      </c>
      <c r="J846" t="n">
        <v>0</v>
      </c>
    </row>
    <row r="847">
      <c r="A847" t="inlineStr">
        <is>
          <t>e17f085dd4791780db7f70cd2d02176d962a6ccbdbbdebb0b3329bfcbde78777</t>
        </is>
      </c>
      <c r="B847" t="inlineStr">
        <is>
          <t>Visma Enterprise (BOOM)</t>
        </is>
      </c>
      <c r="C847" t="n">
        <v>6</v>
      </c>
      <c r="D847" t="n">
        <v>20</v>
      </c>
      <c r="E847" t="n">
        <v>8</v>
      </c>
      <c r="F847" t="n">
        <v>20240601</v>
      </c>
      <c r="G847" t="n">
        <v>3314.4</v>
      </c>
      <c r="H847" t="n">
        <v>-3314.4</v>
      </c>
      <c r="I847" t="n">
        <v>0</v>
      </c>
      <c r="J847" t="n">
        <v>-3314.4</v>
      </c>
    </row>
    <row r="848">
      <c r="A848" t="inlineStr">
        <is>
          <t>18ea493018e483272e3326acf2c2166d4b7db4ca27b1be62f8898544fc852ad0</t>
        </is>
      </c>
      <c r="B848" t="inlineStr">
        <is>
          <t>Visma Enterprise (BOOM)</t>
        </is>
      </c>
      <c r="C848" t="n">
        <v>6</v>
      </c>
      <c r="D848" t="n">
        <v>20</v>
      </c>
      <c r="E848" t="n">
        <v>8</v>
      </c>
      <c r="F848" t="n">
        <v>20240701</v>
      </c>
      <c r="G848" t="n">
        <v>0</v>
      </c>
      <c r="H848" t="n">
        <v>0</v>
      </c>
      <c r="I848" t="n">
        <v>0</v>
      </c>
      <c r="J848" t="n">
        <v>0</v>
      </c>
    </row>
    <row r="849">
      <c r="A849" t="inlineStr">
        <is>
          <t>1c12dfc4deb26d46c4e3fdc0bac8d32a7926d70d47c4456ec4272cc0f97d72f3</t>
        </is>
      </c>
      <c r="B849" t="inlineStr">
        <is>
          <t>Visma Enterprise (BOOM)</t>
        </is>
      </c>
      <c r="C849" t="n">
        <v>6</v>
      </c>
      <c r="D849" t="n">
        <v>20</v>
      </c>
      <c r="E849" t="n">
        <v>8</v>
      </c>
      <c r="F849" t="n">
        <v>20240801</v>
      </c>
      <c r="G849" t="n">
        <v>0</v>
      </c>
      <c r="H849" t="n">
        <v>0</v>
      </c>
      <c r="I849" t="n">
        <v>0</v>
      </c>
      <c r="J849" t="n">
        <v>0</v>
      </c>
    </row>
    <row r="850">
      <c r="A850" t="inlineStr">
        <is>
          <t>b94d5c8f154082fdd7c5bf3450771e20801bb757ca87f1f927847ddb54843663</t>
        </is>
      </c>
      <c r="B850" t="inlineStr">
        <is>
          <t>Visma Enterprise (BOOM)</t>
        </is>
      </c>
      <c r="C850" t="n">
        <v>6</v>
      </c>
      <c r="D850" t="n">
        <v>20</v>
      </c>
      <c r="E850" t="n">
        <v>8</v>
      </c>
      <c r="F850" t="n">
        <v>20240901</v>
      </c>
      <c r="G850" t="n">
        <v>0</v>
      </c>
      <c r="H850" t="n">
        <v>0</v>
      </c>
      <c r="I850" t="n">
        <v>0</v>
      </c>
      <c r="J850" t="n">
        <v>0</v>
      </c>
    </row>
    <row r="851">
      <c r="A851" t="inlineStr">
        <is>
          <t>eb78ae0d7d89a8623b36639d389e5123d675e9c407a3ef3669c1f7434fc23235</t>
        </is>
      </c>
      <c r="B851" t="inlineStr">
        <is>
          <t>Visma Enterprise (BOOM)</t>
        </is>
      </c>
      <c r="C851" t="n">
        <v>6</v>
      </c>
      <c r="D851" t="n">
        <v>20</v>
      </c>
      <c r="E851" t="n">
        <v>8</v>
      </c>
      <c r="F851" t="n">
        <v>20241001</v>
      </c>
      <c r="G851" t="n">
        <v>0</v>
      </c>
      <c r="H851" t="n">
        <v>0</v>
      </c>
      <c r="I851" t="n">
        <v>0</v>
      </c>
      <c r="J851" t="n">
        <v>0</v>
      </c>
    </row>
    <row r="852">
      <c r="A852" t="inlineStr">
        <is>
          <t>a044355a87912c5b32abf4f91443ebf080c9d6a4a365b5a66a96705e44030f78</t>
        </is>
      </c>
      <c r="B852" t="inlineStr">
        <is>
          <t>Visma Enterprise (BOOM)</t>
        </is>
      </c>
      <c r="C852" t="n">
        <v>6</v>
      </c>
      <c r="D852" t="n">
        <v>20</v>
      </c>
      <c r="E852" t="n">
        <v>8</v>
      </c>
      <c r="F852" t="n">
        <v>20241101</v>
      </c>
      <c r="G852" t="n">
        <v>0</v>
      </c>
      <c r="H852" t="n">
        <v>0</v>
      </c>
      <c r="I852" t="n">
        <v>0</v>
      </c>
      <c r="J852" t="n">
        <v>0</v>
      </c>
    </row>
    <row r="853">
      <c r="A853" t="inlineStr">
        <is>
          <t>e495884a4aafc547dd2adaf86dbe40a12d898a5852ded12cd979ff82f7b107c9</t>
        </is>
      </c>
      <c r="B853" t="inlineStr">
        <is>
          <t>Visma Enterprise (BOOM)</t>
        </is>
      </c>
      <c r="C853" t="n">
        <v>6</v>
      </c>
      <c r="D853" t="n">
        <v>20</v>
      </c>
      <c r="E853" t="n">
        <v>8</v>
      </c>
      <c r="F853" t="n">
        <v>20241201</v>
      </c>
      <c r="G853" t="n">
        <v>0</v>
      </c>
      <c r="H853" t="n">
        <v>0</v>
      </c>
      <c r="I853" t="n">
        <v>0</v>
      </c>
      <c r="J853" t="n">
        <v>0</v>
      </c>
    </row>
    <row r="854">
      <c r="A854" t="inlineStr">
        <is>
          <t>3cad6d1e0382892ea523eccee025a45084155507e733b73e00ce490d9e96977f</t>
        </is>
      </c>
      <c r="B854" t="inlineStr">
        <is>
          <t>Visma Enterprise (BOOM)</t>
        </is>
      </c>
      <c r="C854" t="n">
        <v>6</v>
      </c>
      <c r="D854" t="n">
        <v>20</v>
      </c>
      <c r="E854" t="n">
        <v>8</v>
      </c>
      <c r="F854" t="n">
        <v>20240101</v>
      </c>
      <c r="G854" t="n">
        <v>0</v>
      </c>
      <c r="H854" t="n">
        <v>0</v>
      </c>
      <c r="I854" t="n">
        <v>0</v>
      </c>
      <c r="J854" t="n">
        <v>0</v>
      </c>
    </row>
    <row r="855">
      <c r="A855" t="inlineStr">
        <is>
          <t>61bcbf1a5e1bd126e34eb909c6fc341239c7e2e134bdf7054c0ce5afeb654737</t>
        </is>
      </c>
      <c r="B855" t="inlineStr">
        <is>
          <t>Visma Enterprise (BOOM)</t>
        </is>
      </c>
      <c r="C855" t="n">
        <v>6</v>
      </c>
      <c r="D855" t="n">
        <v>20</v>
      </c>
      <c r="E855" t="n">
        <v>8</v>
      </c>
      <c r="F855" t="n">
        <v>20240201</v>
      </c>
      <c r="G855" t="n">
        <v>0</v>
      </c>
      <c r="H855" t="n">
        <v>0</v>
      </c>
      <c r="I855" t="n">
        <v>0</v>
      </c>
      <c r="J855" t="n">
        <v>0</v>
      </c>
    </row>
    <row r="856">
      <c r="A856" t="inlineStr">
        <is>
          <t>2da7930d2a404d479f747a630dd5c6ec76008869abfcbd32a79e370cf4385a07</t>
        </is>
      </c>
      <c r="B856" t="inlineStr">
        <is>
          <t>Visma Enterprise (BOOM)</t>
        </is>
      </c>
      <c r="C856" t="n">
        <v>6</v>
      </c>
      <c r="D856" t="n">
        <v>20</v>
      </c>
      <c r="E856" t="n">
        <v>8</v>
      </c>
      <c r="F856" t="n">
        <v>20240301</v>
      </c>
      <c r="G856" t="n">
        <v>0</v>
      </c>
      <c r="H856" t="n">
        <v>0</v>
      </c>
      <c r="I856" t="n">
        <v>0</v>
      </c>
      <c r="J856" t="n">
        <v>0</v>
      </c>
    </row>
    <row r="857">
      <c r="A857" t="inlineStr">
        <is>
          <t>3558db5074b480ec1a411ae2dc182fd57d264724d7994b9fb8b83dfd0eeb0cff</t>
        </is>
      </c>
      <c r="B857" t="inlineStr">
        <is>
          <t>Visma Enterprise (BOOM)</t>
        </is>
      </c>
      <c r="C857" t="n">
        <v>6</v>
      </c>
      <c r="D857" t="n">
        <v>20</v>
      </c>
      <c r="E857" t="n">
        <v>8</v>
      </c>
      <c r="F857" t="n">
        <v>20240401</v>
      </c>
      <c r="G857" t="n">
        <v>0</v>
      </c>
      <c r="H857" t="n">
        <v>0</v>
      </c>
      <c r="I857" t="n">
        <v>0</v>
      </c>
      <c r="J857" t="n">
        <v>0</v>
      </c>
    </row>
    <row r="858">
      <c r="A858" t="inlineStr">
        <is>
          <t>2ba86940f25dd984470999409caf9e9d5832c3b9c335abbf8fb1aa00a1dc9176</t>
        </is>
      </c>
      <c r="B858" t="inlineStr">
        <is>
          <t>Visma Enterprise (BOOM)</t>
        </is>
      </c>
      <c r="C858" t="n">
        <v>6</v>
      </c>
      <c r="D858" t="n">
        <v>20</v>
      </c>
      <c r="E858" t="n">
        <v>8</v>
      </c>
      <c r="F858" t="n">
        <v>20240501</v>
      </c>
      <c r="G858" t="n">
        <v>0</v>
      </c>
      <c r="H858" t="n">
        <v>0</v>
      </c>
      <c r="I858" t="n">
        <v>0</v>
      </c>
      <c r="J858" t="n">
        <v>0</v>
      </c>
    </row>
    <row r="859">
      <c r="A859" t="inlineStr">
        <is>
          <t>0c5bd92c814dcb96e2a7391001ae220fa51e5aa21823ec76b14f87978f6a3165</t>
        </is>
      </c>
      <c r="B859" t="inlineStr">
        <is>
          <t>Visma Enterprise (BOOM)</t>
        </is>
      </c>
      <c r="C859" t="n">
        <v>6</v>
      </c>
      <c r="D859" t="n">
        <v>20</v>
      </c>
      <c r="E859" t="n">
        <v>8</v>
      </c>
      <c r="F859" t="n">
        <v>20240601</v>
      </c>
      <c r="G859" t="n">
        <v>0</v>
      </c>
      <c r="H859" t="n">
        <v>0</v>
      </c>
      <c r="I859" t="n">
        <v>0</v>
      </c>
      <c r="J859" t="n">
        <v>0</v>
      </c>
    </row>
    <row r="860">
      <c r="A860" t="inlineStr">
        <is>
          <t>ffbee665a5a61c7c59f4c834d439ce132a4687d2dd4df1797c067ffad9c413dc</t>
        </is>
      </c>
      <c r="B860" t="inlineStr">
        <is>
          <t>Visma Enterprise (BOOM)</t>
        </is>
      </c>
      <c r="C860" t="n">
        <v>6</v>
      </c>
      <c r="D860" t="n">
        <v>20</v>
      </c>
      <c r="E860" t="n">
        <v>8</v>
      </c>
      <c r="F860" t="n">
        <v>20240701</v>
      </c>
      <c r="G860" t="n">
        <v>0</v>
      </c>
      <c r="H860" t="n">
        <v>0</v>
      </c>
      <c r="I860" t="n">
        <v>0</v>
      </c>
      <c r="J860" t="n">
        <v>0</v>
      </c>
    </row>
    <row r="861">
      <c r="A861" t="inlineStr">
        <is>
          <t>e639771f88bdd587bae5792c7b6dd6a4e6f68e4855174bd60614b363a8755f01</t>
        </is>
      </c>
      <c r="B861" t="inlineStr">
        <is>
          <t>Visma Enterprise (BOOM)</t>
        </is>
      </c>
      <c r="C861" t="n">
        <v>6</v>
      </c>
      <c r="D861" t="n">
        <v>20</v>
      </c>
      <c r="E861" t="n">
        <v>8</v>
      </c>
      <c r="F861" t="n">
        <v>20240801</v>
      </c>
      <c r="G861" t="n">
        <v>0</v>
      </c>
      <c r="H861" t="n">
        <v>0</v>
      </c>
      <c r="I861" t="n">
        <v>0</v>
      </c>
      <c r="J861" t="n">
        <v>0</v>
      </c>
    </row>
    <row r="862">
      <c r="A862" t="inlineStr">
        <is>
          <t>72b22f4a3c16648e3f13c3cbc02bf01dc6b522a40a66240091f83e6ce17ee862</t>
        </is>
      </c>
      <c r="B862" t="inlineStr">
        <is>
          <t>Visma Enterprise (BOOM)</t>
        </is>
      </c>
      <c r="C862" t="n">
        <v>6</v>
      </c>
      <c r="D862" t="n">
        <v>20</v>
      </c>
      <c r="E862" t="n">
        <v>8</v>
      </c>
      <c r="F862" t="n">
        <v>20240901</v>
      </c>
      <c r="G862" t="n">
        <v>0</v>
      </c>
      <c r="H862" t="n">
        <v>0</v>
      </c>
      <c r="I862" t="n">
        <v>0</v>
      </c>
      <c r="J862" t="n">
        <v>0</v>
      </c>
    </row>
    <row r="863">
      <c r="A863" t="inlineStr">
        <is>
          <t>1e57ee4deb6781a5a9bbea49ffb9557fce050c8a6d5d53f98d534e24826cab4b</t>
        </is>
      </c>
      <c r="B863" t="inlineStr">
        <is>
          <t>Visma Enterprise (BOOM)</t>
        </is>
      </c>
      <c r="C863" t="n">
        <v>6</v>
      </c>
      <c r="D863" t="n">
        <v>20</v>
      </c>
      <c r="E863" t="n">
        <v>8</v>
      </c>
      <c r="F863" t="n">
        <v>20241001</v>
      </c>
      <c r="G863" t="n">
        <v>0</v>
      </c>
      <c r="H863" t="n">
        <v>0</v>
      </c>
      <c r="I863" t="n">
        <v>0</v>
      </c>
      <c r="J863" t="n">
        <v>0</v>
      </c>
    </row>
    <row r="864">
      <c r="A864" t="inlineStr">
        <is>
          <t>683fbb5206349195f7eba760f0fcf71d3878793b720b439827c2d6dc57021706</t>
        </is>
      </c>
      <c r="B864" t="inlineStr">
        <is>
          <t>Visma Enterprise (BOOM)</t>
        </is>
      </c>
      <c r="C864" t="n">
        <v>6</v>
      </c>
      <c r="D864" t="n">
        <v>20</v>
      </c>
      <c r="E864" t="n">
        <v>8</v>
      </c>
      <c r="F864" t="n">
        <v>20241101</v>
      </c>
      <c r="G864" t="n">
        <v>0</v>
      </c>
      <c r="H864" t="n">
        <v>0</v>
      </c>
      <c r="I864" t="n">
        <v>0</v>
      </c>
      <c r="J864" t="n">
        <v>0</v>
      </c>
    </row>
    <row r="865">
      <c r="A865" t="inlineStr">
        <is>
          <t>8e0f81ed83cb8a2c1595f3072f482378ca3f743c97b2e6c3ee9dcb1a703b00f7</t>
        </is>
      </c>
      <c r="B865" t="inlineStr">
        <is>
          <t>Visma Enterprise (BOOM)</t>
        </is>
      </c>
      <c r="C865" t="n">
        <v>6</v>
      </c>
      <c r="D865" t="n">
        <v>20</v>
      </c>
      <c r="E865" t="n">
        <v>8</v>
      </c>
      <c r="F865" t="n">
        <v>20241201</v>
      </c>
      <c r="G865" t="n">
        <v>0</v>
      </c>
      <c r="H865" t="n">
        <v>0</v>
      </c>
      <c r="I865" t="n">
        <v>0</v>
      </c>
      <c r="J865" t="n">
        <v>0</v>
      </c>
    </row>
    <row r="866">
      <c r="A866" t="inlineStr">
        <is>
          <t>d406c6d2275b1813defd69466049f5884c574e8f77944be8a47711f524ef5f22</t>
        </is>
      </c>
      <c r="B866" t="inlineStr">
        <is>
          <t>Visma Enterprise (BOOM)</t>
        </is>
      </c>
      <c r="C866" t="n">
        <v>6</v>
      </c>
      <c r="D866" t="n">
        <v>21</v>
      </c>
      <c r="E866" t="n">
        <v>8</v>
      </c>
      <c r="F866" t="n">
        <v>20240101</v>
      </c>
      <c r="G866" t="n">
        <v>221.4</v>
      </c>
      <c r="H866" t="n">
        <v>-221.4</v>
      </c>
      <c r="I866" t="n">
        <v>0</v>
      </c>
      <c r="J866" t="n">
        <v>-221.4</v>
      </c>
    </row>
    <row r="867">
      <c r="A867" t="inlineStr">
        <is>
          <t>8dc301aa5e5cc4f58fddf6ae4140a087714ea94b1b3a1dcb980867446b1cfb75</t>
        </is>
      </c>
      <c r="B867" t="inlineStr">
        <is>
          <t>Visma Enterprise (BOOM)</t>
        </is>
      </c>
      <c r="C867" t="n">
        <v>6</v>
      </c>
      <c r="D867" t="n">
        <v>21</v>
      </c>
      <c r="E867" t="n">
        <v>8</v>
      </c>
      <c r="F867" t="n">
        <v>20240201</v>
      </c>
      <c r="G867" t="n">
        <v>3564.51</v>
      </c>
      <c r="H867" t="n">
        <v>-3564.51</v>
      </c>
      <c r="I867" t="n">
        <v>0</v>
      </c>
      <c r="J867" t="n">
        <v>-3564.51</v>
      </c>
    </row>
    <row r="868">
      <c r="A868" t="inlineStr">
        <is>
          <t>6f126cb28d38c1977d838652be669dee267ccfcb4e3e1748eb84f5e3f9111459</t>
        </is>
      </c>
      <c r="B868" t="inlineStr">
        <is>
          <t>Visma Enterprise (BOOM)</t>
        </is>
      </c>
      <c r="C868" t="n">
        <v>6</v>
      </c>
      <c r="D868" t="n">
        <v>21</v>
      </c>
      <c r="E868" t="n">
        <v>8</v>
      </c>
      <c r="F868" t="n">
        <v>20240301</v>
      </c>
      <c r="G868" t="n">
        <v>3595.97</v>
      </c>
      <c r="H868" t="n">
        <v>-3595.97</v>
      </c>
      <c r="I868" t="n">
        <v>0</v>
      </c>
      <c r="J868" t="n">
        <v>-3595.97</v>
      </c>
    </row>
    <row r="869">
      <c r="A869" t="inlineStr">
        <is>
          <t>447ecf2534f27f7ac2829e031c8b2bd575dcb2f044ce2071b9c21e4575ea5cda</t>
        </is>
      </c>
      <c r="B869" t="inlineStr">
        <is>
          <t>Visma Enterprise (BOOM)</t>
        </is>
      </c>
      <c r="C869" t="n">
        <v>6</v>
      </c>
      <c r="D869" t="n">
        <v>21</v>
      </c>
      <c r="E869" t="n">
        <v>8</v>
      </c>
      <c r="F869" t="n">
        <v>20240401</v>
      </c>
      <c r="G869" t="n">
        <v>3938.21</v>
      </c>
      <c r="H869" t="n">
        <v>-3938.21</v>
      </c>
      <c r="I869" t="n">
        <v>0</v>
      </c>
      <c r="J869" t="n">
        <v>-3938.21</v>
      </c>
    </row>
    <row r="870">
      <c r="A870" t="inlineStr">
        <is>
          <t>bc1555bd62fa8d3d004f244b873554f9b3f32aeb1cd9a1774a75ed10aacc864f</t>
        </is>
      </c>
      <c r="B870" t="inlineStr">
        <is>
          <t>Visma Enterprise (BOOM)</t>
        </is>
      </c>
      <c r="C870" t="n">
        <v>6</v>
      </c>
      <c r="D870" t="n">
        <v>21</v>
      </c>
      <c r="E870" t="n">
        <v>8</v>
      </c>
      <c r="F870" t="n">
        <v>20240501</v>
      </c>
      <c r="G870" t="n">
        <v>4730.22</v>
      </c>
      <c r="H870" t="n">
        <v>-4730.22</v>
      </c>
      <c r="I870" t="n">
        <v>0</v>
      </c>
      <c r="J870" t="n">
        <v>-4730.22</v>
      </c>
    </row>
    <row r="871">
      <c r="A871" t="inlineStr">
        <is>
          <t>0433f6251c20a1ddceb0e3ea73cb7f5d736c5ed898df6a38eda9aa6c47c20632</t>
        </is>
      </c>
      <c r="B871" t="inlineStr">
        <is>
          <t>Visma Enterprise (BOOM)</t>
        </is>
      </c>
      <c r="C871" t="n">
        <v>6</v>
      </c>
      <c r="D871" t="n">
        <v>21</v>
      </c>
      <c r="E871" t="n">
        <v>8</v>
      </c>
      <c r="F871" t="n">
        <v>20240601</v>
      </c>
      <c r="G871" t="n">
        <v>1416.2</v>
      </c>
      <c r="H871" t="n">
        <v>-1416.2</v>
      </c>
      <c r="I871" t="n">
        <v>0</v>
      </c>
      <c r="J871" t="n">
        <v>-1416.2</v>
      </c>
    </row>
    <row r="872">
      <c r="A872" t="inlineStr">
        <is>
          <t>0b5929f6b884562b664ed3ef93afd854ccdc141b0c3e3b2fa90e4788710e8a70</t>
        </is>
      </c>
      <c r="B872" t="inlineStr">
        <is>
          <t>Visma Enterprise (BOOM)</t>
        </is>
      </c>
      <c r="C872" t="n">
        <v>6</v>
      </c>
      <c r="D872" t="n">
        <v>21</v>
      </c>
      <c r="E872" t="n">
        <v>8</v>
      </c>
      <c r="F872" t="n">
        <v>20240701</v>
      </c>
      <c r="G872" t="n">
        <v>3719.8</v>
      </c>
      <c r="H872" t="n">
        <v>-3719.8</v>
      </c>
      <c r="I872" t="n">
        <v>0</v>
      </c>
      <c r="J872" t="n">
        <v>-3719.8</v>
      </c>
    </row>
    <row r="873">
      <c r="A873" t="inlineStr">
        <is>
          <t>4a0b9b0812fd0f9dfa7e938981c8021319b2e66fbb2769da2feab5206e461ba7</t>
        </is>
      </c>
      <c r="B873" t="inlineStr">
        <is>
          <t>Visma Enterprise (BOOM)</t>
        </is>
      </c>
      <c r="C873" t="n">
        <v>6</v>
      </c>
      <c r="D873" t="n">
        <v>21</v>
      </c>
      <c r="E873" t="n">
        <v>8</v>
      </c>
      <c r="F873" t="n">
        <v>20240801</v>
      </c>
      <c r="G873" t="n">
        <v>468.81</v>
      </c>
      <c r="H873" t="n">
        <v>-468.81</v>
      </c>
      <c r="I873" t="n">
        <v>0</v>
      </c>
      <c r="J873" t="n">
        <v>-468.81</v>
      </c>
    </row>
    <row r="874">
      <c r="A874" t="inlineStr">
        <is>
          <t>2c81e66cc86399f12ffc72d20e25f9bae0f8d43b37f2be533c9b50483c1bcbc6</t>
        </is>
      </c>
      <c r="B874" t="inlineStr">
        <is>
          <t>Visma Enterprise (BOOM)</t>
        </is>
      </c>
      <c r="C874" t="n">
        <v>6</v>
      </c>
      <c r="D874" t="n">
        <v>21</v>
      </c>
      <c r="E874" t="n">
        <v>8</v>
      </c>
      <c r="F874" t="n">
        <v>20240901</v>
      </c>
      <c r="G874" t="n">
        <v>0</v>
      </c>
      <c r="H874" t="n">
        <v>0</v>
      </c>
      <c r="I874" t="n">
        <v>0</v>
      </c>
      <c r="J874" t="n">
        <v>0</v>
      </c>
    </row>
    <row r="875">
      <c r="A875" t="inlineStr">
        <is>
          <t>dc2b793b9e7cfda9a6f104a2ea22f1a787972ec6b0f6a34647b30d6fcf4440b0</t>
        </is>
      </c>
      <c r="B875" t="inlineStr">
        <is>
          <t>Visma Enterprise (BOOM)</t>
        </is>
      </c>
      <c r="C875" t="n">
        <v>6</v>
      </c>
      <c r="D875" t="n">
        <v>21</v>
      </c>
      <c r="E875" t="n">
        <v>8</v>
      </c>
      <c r="F875" t="n">
        <v>20241001</v>
      </c>
      <c r="G875" t="n">
        <v>0</v>
      </c>
      <c r="H875" t="n">
        <v>0</v>
      </c>
      <c r="I875" t="n">
        <v>0</v>
      </c>
      <c r="J875" t="n">
        <v>0</v>
      </c>
    </row>
    <row r="876">
      <c r="A876" t="inlineStr">
        <is>
          <t>ba273dae6a746e6cca0f9c4f292d9c1945946323abd709d74927a41909b7ffae</t>
        </is>
      </c>
      <c r="B876" t="inlineStr">
        <is>
          <t>Visma Enterprise (BOOM)</t>
        </is>
      </c>
      <c r="C876" t="n">
        <v>6</v>
      </c>
      <c r="D876" t="n">
        <v>21</v>
      </c>
      <c r="E876" t="n">
        <v>8</v>
      </c>
      <c r="F876" t="n">
        <v>20241101</v>
      </c>
      <c r="G876" t="n">
        <v>0</v>
      </c>
      <c r="H876" t="n">
        <v>0</v>
      </c>
      <c r="I876" t="n">
        <v>0</v>
      </c>
      <c r="J876" t="n">
        <v>0</v>
      </c>
    </row>
    <row r="877">
      <c r="A877" t="inlineStr">
        <is>
          <t>4a9d445e397dc427481489467b3f449b6cfedfc509e0146381906a4127281224</t>
        </is>
      </c>
      <c r="B877" t="inlineStr">
        <is>
          <t>Visma Enterprise (BOOM)</t>
        </is>
      </c>
      <c r="C877" t="n">
        <v>6</v>
      </c>
      <c r="D877" t="n">
        <v>21</v>
      </c>
      <c r="E877" t="n">
        <v>8</v>
      </c>
      <c r="F877" t="n">
        <v>20241201</v>
      </c>
      <c r="G877" t="n">
        <v>0</v>
      </c>
      <c r="H877" t="n">
        <v>0</v>
      </c>
      <c r="I877" t="n">
        <v>0</v>
      </c>
      <c r="J877" t="n">
        <v>0</v>
      </c>
    </row>
    <row r="878">
      <c r="A878" t="inlineStr">
        <is>
          <t>fab33bac4764ea6717fbb359260cc0cff9f4f58d0b95c8713f14889fac9c5b7f</t>
        </is>
      </c>
      <c r="B878" t="inlineStr">
        <is>
          <t>Visma Enterprise (BOOM)</t>
        </is>
      </c>
      <c r="C878" t="n">
        <v>6</v>
      </c>
      <c r="D878" t="n">
        <v>22</v>
      </c>
      <c r="E878" t="n">
        <v>8</v>
      </c>
      <c r="F878" t="n">
        <v>20240101</v>
      </c>
      <c r="G878" t="n">
        <v>2658</v>
      </c>
      <c r="H878" t="n">
        <v>-2658</v>
      </c>
      <c r="I878" t="n">
        <v>1700</v>
      </c>
      <c r="J878" t="n">
        <v>-4358</v>
      </c>
    </row>
    <row r="879">
      <c r="A879" t="inlineStr">
        <is>
          <t>902263aec6d6ba79d669339d60bc7b7460c522ef533cb0abe9ab78c7a33db742</t>
        </is>
      </c>
      <c r="B879" t="inlineStr">
        <is>
          <t>Visma Enterprise (BOOM)</t>
        </is>
      </c>
      <c r="C879" t="n">
        <v>6</v>
      </c>
      <c r="D879" t="n">
        <v>22</v>
      </c>
      <c r="E879" t="n">
        <v>8</v>
      </c>
      <c r="F879" t="n">
        <v>20240201</v>
      </c>
      <c r="G879" t="n">
        <v>0</v>
      </c>
      <c r="H879" t="n">
        <v>0</v>
      </c>
      <c r="I879" t="n">
        <v>1700</v>
      </c>
      <c r="J879" t="n">
        <v>-1700</v>
      </c>
    </row>
    <row r="880">
      <c r="A880" t="inlineStr">
        <is>
          <t>1624cf3fc8968b0a47bb19eb4eb0911712c35311c055b2355d5b547a1f2eb511</t>
        </is>
      </c>
      <c r="B880" t="inlineStr">
        <is>
          <t>Visma Enterprise (BOOM)</t>
        </is>
      </c>
      <c r="C880" t="n">
        <v>6</v>
      </c>
      <c r="D880" t="n">
        <v>22</v>
      </c>
      <c r="E880" t="n">
        <v>8</v>
      </c>
      <c r="F880" t="n">
        <v>20240301</v>
      </c>
      <c r="G880" t="n">
        <v>0</v>
      </c>
      <c r="H880" t="n">
        <v>0</v>
      </c>
      <c r="I880" t="n">
        <v>1700</v>
      </c>
      <c r="J880" t="n">
        <v>-1700</v>
      </c>
    </row>
    <row r="881">
      <c r="A881" t="inlineStr">
        <is>
          <t>a66ad255936c3c441edaa14be2aa6779491af36e95231674a88c586d51bdff66</t>
        </is>
      </c>
      <c r="B881" t="inlineStr">
        <is>
          <t>Visma Enterprise (BOOM)</t>
        </is>
      </c>
      <c r="C881" t="n">
        <v>6</v>
      </c>
      <c r="D881" t="n">
        <v>22</v>
      </c>
      <c r="E881" t="n">
        <v>8</v>
      </c>
      <c r="F881" t="n">
        <v>20240401</v>
      </c>
      <c r="G881" t="n">
        <v>2658</v>
      </c>
      <c r="H881" t="n">
        <v>-2658</v>
      </c>
      <c r="I881" t="n">
        <v>1700</v>
      </c>
      <c r="J881" t="n">
        <v>-4358</v>
      </c>
    </row>
    <row r="882">
      <c r="A882" t="inlineStr">
        <is>
          <t>15c3536c481377d82f7f01e13e46d690ad3b2be67a43e3dbd30e12c5be0f5696</t>
        </is>
      </c>
      <c r="B882" t="inlineStr">
        <is>
          <t>Visma Enterprise (BOOM)</t>
        </is>
      </c>
      <c r="C882" t="n">
        <v>6</v>
      </c>
      <c r="D882" t="n">
        <v>22</v>
      </c>
      <c r="E882" t="n">
        <v>8</v>
      </c>
      <c r="F882" t="n">
        <v>20240501</v>
      </c>
      <c r="G882" t="n">
        <v>0</v>
      </c>
      <c r="H882" t="n">
        <v>0</v>
      </c>
      <c r="I882" t="n">
        <v>1700</v>
      </c>
      <c r="J882" t="n">
        <v>-1700</v>
      </c>
    </row>
    <row r="883">
      <c r="A883" t="inlineStr">
        <is>
          <t>b2f1657acb11cac2fd219addcadb7423574c66ce45e5e8e396cfb7af9496cb85</t>
        </is>
      </c>
      <c r="B883" t="inlineStr">
        <is>
          <t>Visma Enterprise (BOOM)</t>
        </is>
      </c>
      <c r="C883" t="n">
        <v>6</v>
      </c>
      <c r="D883" t="n">
        <v>22</v>
      </c>
      <c r="E883" t="n">
        <v>8</v>
      </c>
      <c r="F883" t="n">
        <v>20240601</v>
      </c>
      <c r="G883" t="n">
        <v>0</v>
      </c>
      <c r="H883" t="n">
        <v>0</v>
      </c>
      <c r="I883" t="n">
        <v>1700</v>
      </c>
      <c r="J883" t="n">
        <v>-1700</v>
      </c>
    </row>
    <row r="884">
      <c r="A884" t="inlineStr">
        <is>
          <t>062e8b5f79cab2ba0ad1f4cfd0d837849325ba3fb1ba970d48fb00928fab585d</t>
        </is>
      </c>
      <c r="B884" t="inlineStr">
        <is>
          <t>Visma Enterprise (BOOM)</t>
        </is>
      </c>
      <c r="C884" t="n">
        <v>6</v>
      </c>
      <c r="D884" t="n">
        <v>22</v>
      </c>
      <c r="E884" t="n">
        <v>8</v>
      </c>
      <c r="F884" t="n">
        <v>20240701</v>
      </c>
      <c r="G884" t="n">
        <v>2658</v>
      </c>
      <c r="H884" t="n">
        <v>-2658</v>
      </c>
      <c r="I884" t="n">
        <v>1700</v>
      </c>
      <c r="J884" t="n">
        <v>-4358</v>
      </c>
    </row>
    <row r="885">
      <c r="A885" t="inlineStr">
        <is>
          <t>ad7e82a8ce2dc9e950c0c05e6856db23cf66c57571a454e6d1c23b23729cfd57</t>
        </is>
      </c>
      <c r="B885" t="inlineStr">
        <is>
          <t>Visma Enterprise (BOOM)</t>
        </is>
      </c>
      <c r="C885" t="n">
        <v>6</v>
      </c>
      <c r="D885" t="n">
        <v>22</v>
      </c>
      <c r="E885" t="n">
        <v>8</v>
      </c>
      <c r="F885" t="n">
        <v>20240801</v>
      </c>
      <c r="G885" t="n">
        <v>0</v>
      </c>
      <c r="H885" t="n">
        <v>0</v>
      </c>
      <c r="I885" t="n">
        <v>1700</v>
      </c>
      <c r="J885" t="n">
        <v>-1700</v>
      </c>
    </row>
    <row r="886">
      <c r="A886" t="inlineStr">
        <is>
          <t>c51a513e2bf69c15f6aa3555c31eb58b6e9098050affdd0ee01a745ff908bb8e</t>
        </is>
      </c>
      <c r="B886" t="inlineStr">
        <is>
          <t>Visma Enterprise (BOOM)</t>
        </is>
      </c>
      <c r="C886" t="n">
        <v>6</v>
      </c>
      <c r="D886" t="n">
        <v>22</v>
      </c>
      <c r="E886" t="n">
        <v>8</v>
      </c>
      <c r="F886" t="n">
        <v>20240901</v>
      </c>
      <c r="G886" t="n">
        <v>0</v>
      </c>
      <c r="H886" t="n">
        <v>0</v>
      </c>
      <c r="I886" t="n">
        <v>1700</v>
      </c>
      <c r="J886" t="n">
        <v>-1700</v>
      </c>
    </row>
    <row r="887">
      <c r="A887" t="inlineStr">
        <is>
          <t>bbf9ee9f03f258673aa1b61cbe997b4253cc26a8a68dbf7824ec72ee8e528d8d</t>
        </is>
      </c>
      <c r="B887" t="inlineStr">
        <is>
          <t>Visma Enterprise (BOOM)</t>
        </is>
      </c>
      <c r="C887" t="n">
        <v>6</v>
      </c>
      <c r="D887" t="n">
        <v>22</v>
      </c>
      <c r="E887" t="n">
        <v>8</v>
      </c>
      <c r="F887" t="n">
        <v>20241001</v>
      </c>
      <c r="G887" t="n">
        <v>0</v>
      </c>
      <c r="H887" t="n">
        <v>0</v>
      </c>
      <c r="I887" t="n">
        <v>1700</v>
      </c>
      <c r="J887" t="n">
        <v>-1700</v>
      </c>
    </row>
    <row r="888">
      <c r="A888" t="inlineStr">
        <is>
          <t>9e67b32f04e03d4a99850ab2566071a0c210d1a7d28c3f90eab08c1fa14ec887</t>
        </is>
      </c>
      <c r="B888" t="inlineStr">
        <is>
          <t>Visma Enterprise (BOOM)</t>
        </is>
      </c>
      <c r="C888" t="n">
        <v>6</v>
      </c>
      <c r="D888" t="n">
        <v>22</v>
      </c>
      <c r="E888" t="n">
        <v>8</v>
      </c>
      <c r="F888" t="n">
        <v>20241101</v>
      </c>
      <c r="G888" t="n">
        <v>0</v>
      </c>
      <c r="H888" t="n">
        <v>0</v>
      </c>
      <c r="I888" t="n">
        <v>1700</v>
      </c>
      <c r="J888" t="n">
        <v>-1700</v>
      </c>
    </row>
    <row r="889">
      <c r="A889" t="inlineStr">
        <is>
          <t>9e200c6c7088e6c74c225123c28d25c49c30e8b6bbd9eba42920a580ac316ae6</t>
        </is>
      </c>
      <c r="B889" t="inlineStr">
        <is>
          <t>Visma Enterprise (BOOM)</t>
        </is>
      </c>
      <c r="C889" t="n">
        <v>6</v>
      </c>
      <c r="D889" t="n">
        <v>22</v>
      </c>
      <c r="E889" t="n">
        <v>8</v>
      </c>
      <c r="F889" t="n">
        <v>20241201</v>
      </c>
      <c r="G889" t="n">
        <v>0</v>
      </c>
      <c r="H889" t="n">
        <v>0</v>
      </c>
      <c r="I889" t="n">
        <v>1300</v>
      </c>
      <c r="J889" t="n">
        <v>-1300</v>
      </c>
    </row>
    <row r="890">
      <c r="A890" t="inlineStr">
        <is>
          <t>c46e17e8eda07349e9304e309f09d517868f0ae6a49e7e3109c4c3f920e60503</t>
        </is>
      </c>
      <c r="B890" t="inlineStr">
        <is>
          <t>Visma Enterprise (BOOM)</t>
        </is>
      </c>
      <c r="C890" t="n">
        <v>6</v>
      </c>
      <c r="D890" t="n">
        <v>23</v>
      </c>
      <c r="E890" t="n">
        <v>8</v>
      </c>
      <c r="F890" t="n">
        <v>20240101</v>
      </c>
      <c r="G890" t="n">
        <v>0</v>
      </c>
      <c r="H890" t="n">
        <v>0</v>
      </c>
      <c r="I890" t="n">
        <v>0</v>
      </c>
      <c r="J890" t="n">
        <v>0</v>
      </c>
    </row>
    <row r="891">
      <c r="A891" t="inlineStr">
        <is>
          <t>5fa80cfe6800368df911e303e503eaef056e1bfea6a5a4061a783e052699f46e</t>
        </is>
      </c>
      <c r="B891" t="inlineStr">
        <is>
          <t>Visma Enterprise (BOOM)</t>
        </is>
      </c>
      <c r="C891" t="n">
        <v>6</v>
      </c>
      <c r="D891" t="n">
        <v>23</v>
      </c>
      <c r="E891" t="n">
        <v>8</v>
      </c>
      <c r="F891" t="n">
        <v>20240201</v>
      </c>
      <c r="G891" t="n">
        <v>0</v>
      </c>
      <c r="H891" t="n">
        <v>0</v>
      </c>
      <c r="I891" t="n">
        <v>0</v>
      </c>
      <c r="J891" t="n">
        <v>0</v>
      </c>
    </row>
    <row r="892">
      <c r="A892" t="inlineStr">
        <is>
          <t>87092548f195aba1f302db1b1cd978363a37183f2f9a64abadd42b2c5adf74a5</t>
        </is>
      </c>
      <c r="B892" t="inlineStr">
        <is>
          <t>Visma Enterprise (BOOM)</t>
        </is>
      </c>
      <c r="C892" t="n">
        <v>6</v>
      </c>
      <c r="D892" t="n">
        <v>23</v>
      </c>
      <c r="E892" t="n">
        <v>8</v>
      </c>
      <c r="F892" t="n">
        <v>20240301</v>
      </c>
      <c r="G892" t="n">
        <v>0</v>
      </c>
      <c r="H892" t="n">
        <v>0</v>
      </c>
      <c r="I892" t="n">
        <v>0</v>
      </c>
      <c r="J892" t="n">
        <v>0</v>
      </c>
    </row>
    <row r="893">
      <c r="A893" t="inlineStr">
        <is>
          <t>b407936f14b342897addfe60eab65497b582e546d1debcd599b43132102fd288</t>
        </is>
      </c>
      <c r="B893" t="inlineStr">
        <is>
          <t>Visma Enterprise (BOOM)</t>
        </is>
      </c>
      <c r="C893" t="n">
        <v>6</v>
      </c>
      <c r="D893" t="n">
        <v>23</v>
      </c>
      <c r="E893" t="n">
        <v>8</v>
      </c>
      <c r="F893" t="n">
        <v>20240401</v>
      </c>
      <c r="G893" t="n">
        <v>0</v>
      </c>
      <c r="H893" t="n">
        <v>0</v>
      </c>
      <c r="I893" t="n">
        <v>0</v>
      </c>
      <c r="J893" t="n">
        <v>0</v>
      </c>
    </row>
    <row r="894">
      <c r="A894" t="inlineStr">
        <is>
          <t>830846add578628c6393ef9f32bd63a5c6168ea69e16b77e704ff5fe75d56d2b</t>
        </is>
      </c>
      <c r="B894" t="inlineStr">
        <is>
          <t>Visma Enterprise (BOOM)</t>
        </is>
      </c>
      <c r="C894" t="n">
        <v>6</v>
      </c>
      <c r="D894" t="n">
        <v>23</v>
      </c>
      <c r="E894" t="n">
        <v>8</v>
      </c>
      <c r="F894" t="n">
        <v>20240501</v>
      </c>
      <c r="G894" t="n">
        <v>0</v>
      </c>
      <c r="H894" t="n">
        <v>0</v>
      </c>
      <c r="I894" t="n">
        <v>0</v>
      </c>
      <c r="J894" t="n">
        <v>0</v>
      </c>
    </row>
    <row r="895">
      <c r="A895" t="inlineStr">
        <is>
          <t>ae85477c18623dc16de470effe9593b9321852a88dbbc2d94bcdeb844c42986f</t>
        </is>
      </c>
      <c r="B895" t="inlineStr">
        <is>
          <t>Visma Enterprise (BOOM)</t>
        </is>
      </c>
      <c r="C895" t="n">
        <v>6</v>
      </c>
      <c r="D895" t="n">
        <v>23</v>
      </c>
      <c r="E895" t="n">
        <v>8</v>
      </c>
      <c r="F895" t="n">
        <v>20240601</v>
      </c>
      <c r="G895" t="n">
        <v>0</v>
      </c>
      <c r="H895" t="n">
        <v>0</v>
      </c>
      <c r="I895" t="n">
        <v>0</v>
      </c>
      <c r="J895" t="n">
        <v>0</v>
      </c>
    </row>
    <row r="896">
      <c r="A896" t="inlineStr">
        <is>
          <t>433c7ccec2039dd30721ba37b085918aa8a0d9771cf9ea2e8156f4e17c883217</t>
        </is>
      </c>
      <c r="B896" t="inlineStr">
        <is>
          <t>Visma Enterprise (BOOM)</t>
        </is>
      </c>
      <c r="C896" t="n">
        <v>6</v>
      </c>
      <c r="D896" t="n">
        <v>23</v>
      </c>
      <c r="E896" t="n">
        <v>8</v>
      </c>
      <c r="F896" t="n">
        <v>20240701</v>
      </c>
      <c r="G896" t="n">
        <v>0</v>
      </c>
      <c r="H896" t="n">
        <v>0</v>
      </c>
      <c r="I896" t="n">
        <v>0</v>
      </c>
      <c r="J896" t="n">
        <v>0</v>
      </c>
    </row>
    <row r="897">
      <c r="A897" t="inlineStr">
        <is>
          <t>afb3e78d65ae45df5a20eb9cc0b79fa6d3ec3bed549d3dcb7660197a96546d99</t>
        </is>
      </c>
      <c r="B897" t="inlineStr">
        <is>
          <t>Visma Enterprise (BOOM)</t>
        </is>
      </c>
      <c r="C897" t="n">
        <v>6</v>
      </c>
      <c r="D897" t="n">
        <v>23</v>
      </c>
      <c r="E897" t="n">
        <v>8</v>
      </c>
      <c r="F897" t="n">
        <v>20240801</v>
      </c>
      <c r="G897" t="n">
        <v>0</v>
      </c>
      <c r="H897" t="n">
        <v>0</v>
      </c>
      <c r="I897" t="n">
        <v>0</v>
      </c>
      <c r="J897" t="n">
        <v>0</v>
      </c>
    </row>
    <row r="898">
      <c r="A898" t="inlineStr">
        <is>
          <t>a48fa40f6f2aa845389e4f7a9a51ffacf59d73486961a78f6309a19f598d560c</t>
        </is>
      </c>
      <c r="B898" t="inlineStr">
        <is>
          <t>Visma Enterprise (BOOM)</t>
        </is>
      </c>
      <c r="C898" t="n">
        <v>6</v>
      </c>
      <c r="D898" t="n">
        <v>23</v>
      </c>
      <c r="E898" t="n">
        <v>8</v>
      </c>
      <c r="F898" t="n">
        <v>20240901</v>
      </c>
      <c r="G898" t="n">
        <v>0</v>
      </c>
      <c r="H898" t="n">
        <v>0</v>
      </c>
      <c r="I898" t="n">
        <v>0</v>
      </c>
      <c r="J898" t="n">
        <v>0</v>
      </c>
    </row>
    <row r="899">
      <c r="A899" t="inlineStr">
        <is>
          <t>d9778c877a3c77da77bc78e58f2a54d426eb225c3dd1063fa4df85ea48ac6d61</t>
        </is>
      </c>
      <c r="B899" t="inlineStr">
        <is>
          <t>Visma Enterprise (BOOM)</t>
        </is>
      </c>
      <c r="C899" t="n">
        <v>6</v>
      </c>
      <c r="D899" t="n">
        <v>23</v>
      </c>
      <c r="E899" t="n">
        <v>8</v>
      </c>
      <c r="F899" t="n">
        <v>20241001</v>
      </c>
      <c r="G899" t="n">
        <v>0</v>
      </c>
      <c r="H899" t="n">
        <v>0</v>
      </c>
      <c r="I899" t="n">
        <v>0</v>
      </c>
      <c r="J899" t="n">
        <v>0</v>
      </c>
    </row>
    <row r="900">
      <c r="A900" t="inlineStr">
        <is>
          <t>beec7001903465d861c9d3e6774ff350b8569d498ee75497c56af1b01b1e4ffe</t>
        </is>
      </c>
      <c r="B900" t="inlineStr">
        <is>
          <t>Visma Enterprise (BOOM)</t>
        </is>
      </c>
      <c r="C900" t="n">
        <v>6</v>
      </c>
      <c r="D900" t="n">
        <v>23</v>
      </c>
      <c r="E900" t="n">
        <v>8</v>
      </c>
      <c r="F900" t="n">
        <v>20241101</v>
      </c>
      <c r="G900" t="n">
        <v>0</v>
      </c>
      <c r="H900" t="n">
        <v>0</v>
      </c>
      <c r="I900" t="n">
        <v>0</v>
      </c>
      <c r="J900" t="n">
        <v>0</v>
      </c>
    </row>
    <row r="901">
      <c r="A901" t="inlineStr">
        <is>
          <t>37e10c0a783aee16c61bfb46de238ea2f33b56e105434423aedb77ce5f779e30</t>
        </is>
      </c>
      <c r="B901" t="inlineStr">
        <is>
          <t>Visma Enterprise (BOOM)</t>
        </is>
      </c>
      <c r="C901" t="n">
        <v>6</v>
      </c>
      <c r="D901" t="n">
        <v>23</v>
      </c>
      <c r="E901" t="n">
        <v>8</v>
      </c>
      <c r="F901" t="n">
        <v>20241201</v>
      </c>
      <c r="G901" t="n">
        <v>0</v>
      </c>
      <c r="H901" t="n">
        <v>0</v>
      </c>
      <c r="I901" t="n">
        <v>0</v>
      </c>
      <c r="J901" t="n">
        <v>0</v>
      </c>
    </row>
    <row r="902">
      <c r="A902" t="inlineStr">
        <is>
          <t>a47fb28091a7a8be7ffea6703e5d6d72512b18fbae4755e7b7cbb6f40cf69c73</t>
        </is>
      </c>
      <c r="B902" t="inlineStr">
        <is>
          <t>Visma Enterprise (BOOM)</t>
        </is>
      </c>
      <c r="C902" t="n">
        <v>6</v>
      </c>
      <c r="D902" t="n">
        <v>23</v>
      </c>
      <c r="E902" t="n">
        <v>8</v>
      </c>
      <c r="F902" t="n">
        <v>20240101</v>
      </c>
      <c r="G902" t="n">
        <v>0</v>
      </c>
      <c r="H902" t="n">
        <v>0</v>
      </c>
      <c r="I902" t="n">
        <v>0</v>
      </c>
      <c r="J902" t="n">
        <v>0</v>
      </c>
    </row>
    <row r="903">
      <c r="A903" t="inlineStr">
        <is>
          <t>1e2c342fab350afc146c683bd168f109a56eea63656375cc2593d874256cdb08</t>
        </is>
      </c>
      <c r="B903" t="inlineStr">
        <is>
          <t>Visma Enterprise (BOOM)</t>
        </is>
      </c>
      <c r="C903" t="n">
        <v>6</v>
      </c>
      <c r="D903" t="n">
        <v>23</v>
      </c>
      <c r="E903" t="n">
        <v>8</v>
      </c>
      <c r="F903" t="n">
        <v>20240201</v>
      </c>
      <c r="G903" t="n">
        <v>9432.57</v>
      </c>
      <c r="H903" t="n">
        <v>-9432.57</v>
      </c>
      <c r="I903" t="n">
        <v>0</v>
      </c>
      <c r="J903" t="n">
        <v>-9432.57</v>
      </c>
    </row>
    <row r="904">
      <c r="A904" t="inlineStr">
        <is>
          <t>1ebbf766cb21fa3fe2540d20c9ecd6d700e7077437741296cc562980fdd047a1</t>
        </is>
      </c>
      <c r="B904" t="inlineStr">
        <is>
          <t>Visma Enterprise (BOOM)</t>
        </is>
      </c>
      <c r="C904" t="n">
        <v>6</v>
      </c>
      <c r="D904" t="n">
        <v>23</v>
      </c>
      <c r="E904" t="n">
        <v>8</v>
      </c>
      <c r="F904" t="n">
        <v>20240301</v>
      </c>
      <c r="G904" t="n">
        <v>0</v>
      </c>
      <c r="H904" t="n">
        <v>0</v>
      </c>
      <c r="I904" t="n">
        <v>0</v>
      </c>
      <c r="J904" t="n">
        <v>0</v>
      </c>
    </row>
    <row r="905">
      <c r="A905" t="inlineStr">
        <is>
          <t>c366abf58bf69dec45968f5e6edf72bd28ca7bc77c584b7ff0b1334cb6ca47f4</t>
        </is>
      </c>
      <c r="B905" t="inlineStr">
        <is>
          <t>Visma Enterprise (BOOM)</t>
        </is>
      </c>
      <c r="C905" t="n">
        <v>6</v>
      </c>
      <c r="D905" t="n">
        <v>23</v>
      </c>
      <c r="E905" t="n">
        <v>8</v>
      </c>
      <c r="F905" t="n">
        <v>20240401</v>
      </c>
      <c r="G905" t="n">
        <v>0</v>
      </c>
      <c r="H905" t="n">
        <v>0</v>
      </c>
      <c r="I905" t="n">
        <v>0</v>
      </c>
      <c r="J905" t="n">
        <v>0</v>
      </c>
    </row>
    <row r="906">
      <c r="A906" t="inlineStr">
        <is>
          <t>1cbf53dea122950369b3ec6d4fa573a17b18588641cc9c483b60308fce6baf23</t>
        </is>
      </c>
      <c r="B906" t="inlineStr">
        <is>
          <t>Visma Enterprise (BOOM)</t>
        </is>
      </c>
      <c r="C906" t="n">
        <v>6</v>
      </c>
      <c r="D906" t="n">
        <v>23</v>
      </c>
      <c r="E906" t="n">
        <v>8</v>
      </c>
      <c r="F906" t="n">
        <v>20240501</v>
      </c>
      <c r="G906" t="n">
        <v>1470</v>
      </c>
      <c r="H906" t="n">
        <v>-1470</v>
      </c>
      <c r="I906" t="n">
        <v>0</v>
      </c>
      <c r="J906" t="n">
        <v>-1470</v>
      </c>
    </row>
    <row r="907">
      <c r="A907" t="inlineStr">
        <is>
          <t>213a4d97c7573c5f4a4718e4e576a3751275944ab8653974e994fd673bfdf5a4</t>
        </is>
      </c>
      <c r="B907" t="inlineStr">
        <is>
          <t>Visma Enterprise (BOOM)</t>
        </is>
      </c>
      <c r="C907" t="n">
        <v>6</v>
      </c>
      <c r="D907" t="n">
        <v>23</v>
      </c>
      <c r="E907" t="n">
        <v>8</v>
      </c>
      <c r="F907" t="n">
        <v>20240601</v>
      </c>
      <c r="G907" t="n">
        <v>0</v>
      </c>
      <c r="H907" t="n">
        <v>0</v>
      </c>
      <c r="I907" t="n">
        <v>0</v>
      </c>
      <c r="J907" t="n">
        <v>0</v>
      </c>
    </row>
    <row r="908">
      <c r="A908" t="inlineStr">
        <is>
          <t>62495b7d05ce315fd8d1fc28c7b1cd4b9b04e4ca271d037d56a77a4c4a6ee485</t>
        </is>
      </c>
      <c r="B908" t="inlineStr">
        <is>
          <t>Visma Enterprise (BOOM)</t>
        </is>
      </c>
      <c r="C908" t="n">
        <v>6</v>
      </c>
      <c r="D908" t="n">
        <v>23</v>
      </c>
      <c r="E908" t="n">
        <v>8</v>
      </c>
      <c r="F908" t="n">
        <v>20240701</v>
      </c>
      <c r="G908" t="n">
        <v>0</v>
      </c>
      <c r="H908" t="n">
        <v>0</v>
      </c>
      <c r="I908" t="n">
        <v>0</v>
      </c>
      <c r="J908" t="n">
        <v>0</v>
      </c>
    </row>
    <row r="909">
      <c r="A909" t="inlineStr">
        <is>
          <t>c5770c3c65458a180b5bd6c7dc7e0c40682b58e2def09f45cf92de0089cfb0df</t>
        </is>
      </c>
      <c r="B909" t="inlineStr">
        <is>
          <t>Visma Enterprise (BOOM)</t>
        </is>
      </c>
      <c r="C909" t="n">
        <v>6</v>
      </c>
      <c r="D909" t="n">
        <v>23</v>
      </c>
      <c r="E909" t="n">
        <v>8</v>
      </c>
      <c r="F909" t="n">
        <v>20240801</v>
      </c>
      <c r="G909" t="n">
        <v>0</v>
      </c>
      <c r="H909" t="n">
        <v>0</v>
      </c>
      <c r="I909" t="n">
        <v>0</v>
      </c>
      <c r="J909" t="n">
        <v>0</v>
      </c>
    </row>
    <row r="910">
      <c r="A910" t="inlineStr">
        <is>
          <t>fb0712095d28344e1bad7f63665390f58d9f2d511e52ce23b4a939b8f690951e</t>
        </is>
      </c>
      <c r="B910" t="inlineStr">
        <is>
          <t>Visma Enterprise (BOOM)</t>
        </is>
      </c>
      <c r="C910" t="n">
        <v>6</v>
      </c>
      <c r="D910" t="n">
        <v>23</v>
      </c>
      <c r="E910" t="n">
        <v>8</v>
      </c>
      <c r="F910" t="n">
        <v>20240901</v>
      </c>
      <c r="G910" t="n">
        <v>0</v>
      </c>
      <c r="H910" t="n">
        <v>0</v>
      </c>
      <c r="I910" t="n">
        <v>0</v>
      </c>
      <c r="J910" t="n">
        <v>0</v>
      </c>
    </row>
    <row r="911">
      <c r="A911" t="inlineStr">
        <is>
          <t>8f8c92c0b6cfc31b20f48cc1bfca82024014122b93860ed07e32d261ba913839</t>
        </is>
      </c>
      <c r="B911" t="inlineStr">
        <is>
          <t>Visma Enterprise (BOOM)</t>
        </is>
      </c>
      <c r="C911" t="n">
        <v>6</v>
      </c>
      <c r="D911" t="n">
        <v>23</v>
      </c>
      <c r="E911" t="n">
        <v>8</v>
      </c>
      <c r="F911" t="n">
        <v>20241001</v>
      </c>
      <c r="G911" t="n">
        <v>0</v>
      </c>
      <c r="H911" t="n">
        <v>0</v>
      </c>
      <c r="I911" t="n">
        <v>0</v>
      </c>
      <c r="J911" t="n">
        <v>0</v>
      </c>
    </row>
    <row r="912">
      <c r="A912" t="inlineStr">
        <is>
          <t>602a852c34a8d636d74f91063fc9a8fb5a339f943df566092569cd1072ebacc9</t>
        </is>
      </c>
      <c r="B912" t="inlineStr">
        <is>
          <t>Visma Enterprise (BOOM)</t>
        </is>
      </c>
      <c r="C912" t="n">
        <v>6</v>
      </c>
      <c r="D912" t="n">
        <v>23</v>
      </c>
      <c r="E912" t="n">
        <v>8</v>
      </c>
      <c r="F912" t="n">
        <v>20241101</v>
      </c>
      <c r="G912" t="n">
        <v>0</v>
      </c>
      <c r="H912" t="n">
        <v>0</v>
      </c>
      <c r="I912" t="n">
        <v>0</v>
      </c>
      <c r="J912" t="n">
        <v>0</v>
      </c>
    </row>
    <row r="913">
      <c r="A913" t="inlineStr">
        <is>
          <t>1f00923c6932212c1fd7d2e62dd13e96ca2fa24e4de9ea233ce7ecc2b3916275</t>
        </is>
      </c>
      <c r="B913" t="inlineStr">
        <is>
          <t>Visma Enterprise (BOOM)</t>
        </is>
      </c>
      <c r="C913" t="n">
        <v>6</v>
      </c>
      <c r="D913" t="n">
        <v>23</v>
      </c>
      <c r="E913" t="n">
        <v>8</v>
      </c>
      <c r="F913" t="n">
        <v>20241201</v>
      </c>
      <c r="G913" t="n">
        <v>0</v>
      </c>
      <c r="H913" t="n">
        <v>0</v>
      </c>
      <c r="I913" t="n">
        <v>0</v>
      </c>
      <c r="J913" t="n">
        <v>0</v>
      </c>
    </row>
    <row r="914">
      <c r="A914" t="inlineStr">
        <is>
          <t>1b3991a411bcbf4996daacfe415afbc20c1ee9f47afcaeee92fc274a65c71cf5</t>
        </is>
      </c>
      <c r="B914" t="inlineStr">
        <is>
          <t>Visma Enterprise (BOOM)</t>
        </is>
      </c>
      <c r="C914" t="n">
        <v>6</v>
      </c>
      <c r="D914" t="n">
        <v>24</v>
      </c>
      <c r="E914" t="n">
        <v>8</v>
      </c>
      <c r="F914" t="n">
        <v>20240101</v>
      </c>
      <c r="G914" t="n">
        <v>557.4</v>
      </c>
      <c r="H914" t="n">
        <v>-557.4</v>
      </c>
      <c r="I914" t="n">
        <v>0</v>
      </c>
      <c r="J914" t="n">
        <v>-557.4</v>
      </c>
    </row>
    <row r="915">
      <c r="A915" t="inlineStr">
        <is>
          <t>21a5b5b576f9727bb945530f14fd0688b44c64ef55be7410a3b9a094a9f4dcdc</t>
        </is>
      </c>
      <c r="B915" t="inlineStr">
        <is>
          <t>Visma Enterprise (BOOM)</t>
        </is>
      </c>
      <c r="C915" t="n">
        <v>6</v>
      </c>
      <c r="D915" t="n">
        <v>24</v>
      </c>
      <c r="E915" t="n">
        <v>8</v>
      </c>
      <c r="F915" t="n">
        <v>20240201</v>
      </c>
      <c r="G915" t="n">
        <v>572.6</v>
      </c>
      <c r="H915" t="n">
        <v>-572.6</v>
      </c>
      <c r="I915" t="n">
        <v>0</v>
      </c>
      <c r="J915" t="n">
        <v>-572.6</v>
      </c>
    </row>
    <row r="916">
      <c r="A916" t="inlineStr">
        <is>
          <t>71cf85c0d8d03b998bf09b72487aa21758189fbe79c0823a563ffdbc4a662bec</t>
        </is>
      </c>
      <c r="B916" t="inlineStr">
        <is>
          <t>Visma Enterprise (BOOM)</t>
        </is>
      </c>
      <c r="C916" t="n">
        <v>6</v>
      </c>
      <c r="D916" t="n">
        <v>24</v>
      </c>
      <c r="E916" t="n">
        <v>8</v>
      </c>
      <c r="F916" t="n">
        <v>20240301</v>
      </c>
      <c r="G916" t="n">
        <v>0</v>
      </c>
      <c r="H916" t="n">
        <v>0</v>
      </c>
      <c r="I916" t="n">
        <v>0</v>
      </c>
      <c r="J916" t="n">
        <v>0</v>
      </c>
    </row>
    <row r="917">
      <c r="A917" t="inlineStr">
        <is>
          <t>a4b606cf3536ffc358e8c8405961385798bdfefd857ba37ed3f30772d6a51440</t>
        </is>
      </c>
      <c r="B917" t="inlineStr">
        <is>
          <t>Visma Enterprise (BOOM)</t>
        </is>
      </c>
      <c r="C917" t="n">
        <v>6</v>
      </c>
      <c r="D917" t="n">
        <v>24</v>
      </c>
      <c r="E917" t="n">
        <v>8</v>
      </c>
      <c r="F917" t="n">
        <v>20240401</v>
      </c>
      <c r="G917" t="n">
        <v>1676.4</v>
      </c>
      <c r="H917" t="n">
        <v>-1676.4</v>
      </c>
      <c r="I917" t="n">
        <v>0</v>
      </c>
      <c r="J917" t="n">
        <v>-1676.4</v>
      </c>
    </row>
    <row r="918">
      <c r="A918" t="inlineStr">
        <is>
          <t>9459881a8a82671de3b409dd119568e29ad9e7329ac276f8a3d58916028b49bd</t>
        </is>
      </c>
      <c r="B918" t="inlineStr">
        <is>
          <t>Visma Enterprise (BOOM)</t>
        </is>
      </c>
      <c r="C918" t="n">
        <v>6</v>
      </c>
      <c r="D918" t="n">
        <v>24</v>
      </c>
      <c r="E918" t="n">
        <v>8</v>
      </c>
      <c r="F918" t="n">
        <v>20240501</v>
      </c>
      <c r="G918" t="n">
        <v>692</v>
      </c>
      <c r="H918" t="n">
        <v>-692</v>
      </c>
      <c r="I918" t="n">
        <v>0</v>
      </c>
      <c r="J918" t="n">
        <v>-692</v>
      </c>
    </row>
    <row r="919">
      <c r="A919" t="inlineStr">
        <is>
          <t>3110561e3bcbaff1b14a92eb968c62fcdc7d4e0199910e0a8c59b9750f5f0f0f</t>
        </is>
      </c>
      <c r="B919" t="inlineStr">
        <is>
          <t>Visma Enterprise (BOOM)</t>
        </is>
      </c>
      <c r="C919" t="n">
        <v>6</v>
      </c>
      <c r="D919" t="n">
        <v>24</v>
      </c>
      <c r="E919" t="n">
        <v>8</v>
      </c>
      <c r="F919" t="n">
        <v>20240601</v>
      </c>
      <c r="G919" t="n">
        <v>0</v>
      </c>
      <c r="H919" t="n">
        <v>0</v>
      </c>
      <c r="I919" t="n">
        <v>0</v>
      </c>
      <c r="J919" t="n">
        <v>0</v>
      </c>
    </row>
    <row r="920">
      <c r="A920" t="inlineStr">
        <is>
          <t>b4d2320865d01e39d68cf9002dafcb6cc1fe1faefe87637f7fe6f4a5a66ce157</t>
        </is>
      </c>
      <c r="B920" t="inlineStr">
        <is>
          <t>Visma Enterprise (BOOM)</t>
        </is>
      </c>
      <c r="C920" t="n">
        <v>6</v>
      </c>
      <c r="D920" t="n">
        <v>24</v>
      </c>
      <c r="E920" t="n">
        <v>8</v>
      </c>
      <c r="F920" t="n">
        <v>20240701</v>
      </c>
      <c r="G920" t="n">
        <v>1515.9</v>
      </c>
      <c r="H920" t="n">
        <v>-1515.9</v>
      </c>
      <c r="I920" t="n">
        <v>0</v>
      </c>
      <c r="J920" t="n">
        <v>-1515.9</v>
      </c>
    </row>
    <row r="921">
      <c r="A921" t="inlineStr">
        <is>
          <t>49587d1408d71fba10acd68c5247fadb1f7169733717e6f0e5a08647f2faa9e8</t>
        </is>
      </c>
      <c r="B921" t="inlineStr">
        <is>
          <t>Visma Enterprise (BOOM)</t>
        </is>
      </c>
      <c r="C921" t="n">
        <v>6</v>
      </c>
      <c r="D921" t="n">
        <v>24</v>
      </c>
      <c r="E921" t="n">
        <v>8</v>
      </c>
      <c r="F921" t="n">
        <v>20240801</v>
      </c>
      <c r="G921" t="n">
        <v>521.2</v>
      </c>
      <c r="H921" t="n">
        <v>-521.2</v>
      </c>
      <c r="I921" t="n">
        <v>0</v>
      </c>
      <c r="J921" t="n">
        <v>-521.2</v>
      </c>
    </row>
    <row r="922">
      <c r="A922" t="inlineStr">
        <is>
          <t>3389c35635bd260fdbda7a358a8ac2291208e77b627a636af2d3fdef128a4423</t>
        </is>
      </c>
      <c r="B922" t="inlineStr">
        <is>
          <t>Visma Enterprise (BOOM)</t>
        </is>
      </c>
      <c r="C922" t="n">
        <v>6</v>
      </c>
      <c r="D922" t="n">
        <v>24</v>
      </c>
      <c r="E922" t="n">
        <v>8</v>
      </c>
      <c r="F922" t="n">
        <v>20240901</v>
      </c>
      <c r="G922" t="n">
        <v>0</v>
      </c>
      <c r="H922" t="n">
        <v>0</v>
      </c>
      <c r="I922" t="n">
        <v>0</v>
      </c>
      <c r="J922" t="n">
        <v>0</v>
      </c>
    </row>
    <row r="923">
      <c r="A923" t="inlineStr">
        <is>
          <t>09f9301e7aea6b48c1a8b88a624c8e52413d691c2c3f1df1124b1aaba05254d6</t>
        </is>
      </c>
      <c r="B923" t="inlineStr">
        <is>
          <t>Visma Enterprise (BOOM)</t>
        </is>
      </c>
      <c r="C923" t="n">
        <v>6</v>
      </c>
      <c r="D923" t="n">
        <v>24</v>
      </c>
      <c r="E923" t="n">
        <v>8</v>
      </c>
      <c r="F923" t="n">
        <v>20241001</v>
      </c>
      <c r="G923" t="n">
        <v>0</v>
      </c>
      <c r="H923" t="n">
        <v>0</v>
      </c>
      <c r="I923" t="n">
        <v>0</v>
      </c>
      <c r="J923" t="n">
        <v>0</v>
      </c>
    </row>
    <row r="924">
      <c r="A924" t="inlineStr">
        <is>
          <t>5e1cff57201fa88f5224278da7c688bef57a1ab84e6dfff48f12bce8ecc9c29c</t>
        </is>
      </c>
      <c r="B924" t="inlineStr">
        <is>
          <t>Visma Enterprise (BOOM)</t>
        </is>
      </c>
      <c r="C924" t="n">
        <v>6</v>
      </c>
      <c r="D924" t="n">
        <v>24</v>
      </c>
      <c r="E924" t="n">
        <v>8</v>
      </c>
      <c r="F924" t="n">
        <v>20241101</v>
      </c>
      <c r="G924" t="n">
        <v>0</v>
      </c>
      <c r="H924" t="n">
        <v>0</v>
      </c>
      <c r="I924" t="n">
        <v>0</v>
      </c>
      <c r="J924" t="n">
        <v>0</v>
      </c>
    </row>
    <row r="925">
      <c r="A925" t="inlineStr">
        <is>
          <t>e40a72fa2689d1a6318057627fd7f640a9ad7a6c00240b796621dc4877fae8c5</t>
        </is>
      </c>
      <c r="B925" t="inlineStr">
        <is>
          <t>Visma Enterprise (BOOM)</t>
        </is>
      </c>
      <c r="C925" t="n">
        <v>6</v>
      </c>
      <c r="D925" t="n">
        <v>24</v>
      </c>
      <c r="E925" t="n">
        <v>8</v>
      </c>
      <c r="F925" t="n">
        <v>20241201</v>
      </c>
      <c r="G925" t="n">
        <v>0</v>
      </c>
      <c r="H925" t="n">
        <v>0</v>
      </c>
      <c r="I925" t="n">
        <v>0</v>
      </c>
      <c r="J925" t="n">
        <v>0</v>
      </c>
    </row>
    <row r="926">
      <c r="A926" t="inlineStr">
        <is>
          <t>7657da7d066abb6da5e594d2ec4524b7df87c597b8bee5f4b7ee227cb24b6e48</t>
        </is>
      </c>
      <c r="B926" t="inlineStr">
        <is>
          <t>Visma Enterprise (BOOM)</t>
        </is>
      </c>
      <c r="C926" t="n">
        <v>6</v>
      </c>
      <c r="D926" t="n">
        <v>24</v>
      </c>
      <c r="E926" t="n">
        <v>8</v>
      </c>
      <c r="F926" t="n">
        <v>20240101</v>
      </c>
      <c r="G926" t="n">
        <v>0</v>
      </c>
      <c r="H926" t="n">
        <v>0</v>
      </c>
      <c r="I926" t="n">
        <v>0</v>
      </c>
      <c r="J926" t="n">
        <v>0</v>
      </c>
    </row>
    <row r="927">
      <c r="A927" t="inlineStr">
        <is>
          <t>d7cdb44c8b605770baf86dd5f74debff4141d7e42fb144565d09e7523fb6a87b</t>
        </is>
      </c>
      <c r="B927" t="inlineStr">
        <is>
          <t>Visma Enterprise (BOOM)</t>
        </is>
      </c>
      <c r="C927" t="n">
        <v>6</v>
      </c>
      <c r="D927" t="n">
        <v>24</v>
      </c>
      <c r="E927" t="n">
        <v>8</v>
      </c>
      <c r="F927" t="n">
        <v>20240201</v>
      </c>
      <c r="G927" t="n">
        <v>0</v>
      </c>
      <c r="H927" t="n">
        <v>0</v>
      </c>
      <c r="I927" t="n">
        <v>0</v>
      </c>
      <c r="J927" t="n">
        <v>0</v>
      </c>
    </row>
    <row r="928">
      <c r="A928" t="inlineStr">
        <is>
          <t>7da9a11e06b48443bfa2a959254d75b7c542070ad23e4a4da4cd06c6841a9089</t>
        </is>
      </c>
      <c r="B928" t="inlineStr">
        <is>
          <t>Visma Enterprise (BOOM)</t>
        </is>
      </c>
      <c r="C928" t="n">
        <v>6</v>
      </c>
      <c r="D928" t="n">
        <v>24</v>
      </c>
      <c r="E928" t="n">
        <v>8</v>
      </c>
      <c r="F928" t="n">
        <v>20240301</v>
      </c>
      <c r="G928" t="n">
        <v>0</v>
      </c>
      <c r="H928" t="n">
        <v>0</v>
      </c>
      <c r="I928" t="n">
        <v>0</v>
      </c>
      <c r="J928" t="n">
        <v>0</v>
      </c>
    </row>
    <row r="929">
      <c r="A929" t="inlineStr">
        <is>
          <t>c96c64458e803505aa95a45267e429c6a1495fbdf4f0541f8a855da7bd6b3450</t>
        </is>
      </c>
      <c r="B929" t="inlineStr">
        <is>
          <t>Visma Enterprise (BOOM)</t>
        </is>
      </c>
      <c r="C929" t="n">
        <v>6</v>
      </c>
      <c r="D929" t="n">
        <v>24</v>
      </c>
      <c r="E929" t="n">
        <v>8</v>
      </c>
      <c r="F929" t="n">
        <v>20240401</v>
      </c>
      <c r="G929" t="n">
        <v>0</v>
      </c>
      <c r="H929" t="n">
        <v>0</v>
      </c>
      <c r="I929" t="n">
        <v>0</v>
      </c>
      <c r="J929" t="n">
        <v>0</v>
      </c>
    </row>
    <row r="930">
      <c r="A930" t="inlineStr">
        <is>
          <t>2fb47d1f1404bb39a86ee5b8ba2b295334360b48803dceaa7c5a2d6270e6f67c</t>
        </is>
      </c>
      <c r="B930" t="inlineStr">
        <is>
          <t>Visma Enterprise (BOOM)</t>
        </is>
      </c>
      <c r="C930" t="n">
        <v>6</v>
      </c>
      <c r="D930" t="n">
        <v>24</v>
      </c>
      <c r="E930" t="n">
        <v>8</v>
      </c>
      <c r="F930" t="n">
        <v>20240501</v>
      </c>
      <c r="G930" t="n">
        <v>0</v>
      </c>
      <c r="H930" t="n">
        <v>0</v>
      </c>
      <c r="I930" t="n">
        <v>0</v>
      </c>
      <c r="J930" t="n">
        <v>0</v>
      </c>
    </row>
    <row r="931">
      <c r="A931" t="inlineStr">
        <is>
          <t>e0465908ab781770ff5b619c9f38929a0c90e1db4f995e7fb8f2c1eccc3b499e</t>
        </is>
      </c>
      <c r="B931" t="inlineStr">
        <is>
          <t>Visma Enterprise (BOOM)</t>
        </is>
      </c>
      <c r="C931" t="n">
        <v>6</v>
      </c>
      <c r="D931" t="n">
        <v>24</v>
      </c>
      <c r="E931" t="n">
        <v>8</v>
      </c>
      <c r="F931" t="n">
        <v>20240601</v>
      </c>
      <c r="G931" t="n">
        <v>0</v>
      </c>
      <c r="H931" t="n">
        <v>0</v>
      </c>
      <c r="I931" t="n">
        <v>0</v>
      </c>
      <c r="J931" t="n">
        <v>0</v>
      </c>
    </row>
    <row r="932">
      <c r="A932" t="inlineStr">
        <is>
          <t>34476f3ecf5354d874a7d39fea6d901aa071a483f672ba2a538fd8fe7f7335e5</t>
        </is>
      </c>
      <c r="B932" t="inlineStr">
        <is>
          <t>Visma Enterprise (BOOM)</t>
        </is>
      </c>
      <c r="C932" t="n">
        <v>6</v>
      </c>
      <c r="D932" t="n">
        <v>24</v>
      </c>
      <c r="E932" t="n">
        <v>8</v>
      </c>
      <c r="F932" t="n">
        <v>20240701</v>
      </c>
      <c r="G932" t="n">
        <v>0</v>
      </c>
      <c r="H932" t="n">
        <v>0</v>
      </c>
      <c r="I932" t="n">
        <v>0</v>
      </c>
      <c r="J932" t="n">
        <v>0</v>
      </c>
    </row>
    <row r="933">
      <c r="A933" t="inlineStr">
        <is>
          <t>2ff8b05001b6a8649adfa9c32ee2848c036729cbe9f2ee2c91c587eb503df77b</t>
        </is>
      </c>
      <c r="B933" t="inlineStr">
        <is>
          <t>Visma Enterprise (BOOM)</t>
        </is>
      </c>
      <c r="C933" t="n">
        <v>6</v>
      </c>
      <c r="D933" t="n">
        <v>24</v>
      </c>
      <c r="E933" t="n">
        <v>8</v>
      </c>
      <c r="F933" t="n">
        <v>20240801</v>
      </c>
      <c r="G933" t="n">
        <v>0</v>
      </c>
      <c r="H933" t="n">
        <v>0</v>
      </c>
      <c r="I933" t="n">
        <v>0</v>
      </c>
      <c r="J933" t="n">
        <v>0</v>
      </c>
    </row>
    <row r="934">
      <c r="A934" t="inlineStr">
        <is>
          <t>5d0da48fefb203fc8a575247626c303f42632129be8892b2e0d68706ef45798e</t>
        </is>
      </c>
      <c r="B934" t="inlineStr">
        <is>
          <t>Visma Enterprise (BOOM)</t>
        </is>
      </c>
      <c r="C934" t="n">
        <v>6</v>
      </c>
      <c r="D934" t="n">
        <v>24</v>
      </c>
      <c r="E934" t="n">
        <v>8</v>
      </c>
      <c r="F934" t="n">
        <v>20240901</v>
      </c>
      <c r="G934" t="n">
        <v>0</v>
      </c>
      <c r="H934" t="n">
        <v>0</v>
      </c>
      <c r="I934" t="n">
        <v>0</v>
      </c>
      <c r="J934" t="n">
        <v>0</v>
      </c>
    </row>
    <row r="935">
      <c r="A935" t="inlineStr">
        <is>
          <t>725604f16a5021a09917916ab44183b15a1befbff64baf522bfd3737d941606b</t>
        </is>
      </c>
      <c r="B935" t="inlineStr">
        <is>
          <t>Visma Enterprise (BOOM)</t>
        </is>
      </c>
      <c r="C935" t="n">
        <v>6</v>
      </c>
      <c r="D935" t="n">
        <v>24</v>
      </c>
      <c r="E935" t="n">
        <v>8</v>
      </c>
      <c r="F935" t="n">
        <v>20241001</v>
      </c>
      <c r="G935" t="n">
        <v>0</v>
      </c>
      <c r="H935" t="n">
        <v>0</v>
      </c>
      <c r="I935" t="n">
        <v>0</v>
      </c>
      <c r="J935" t="n">
        <v>0</v>
      </c>
    </row>
    <row r="936">
      <c r="A936" t="inlineStr">
        <is>
          <t>00015ab6e0a89a8cb2407e801e7a25f965915f02c37af73e9142768377c009cd</t>
        </is>
      </c>
      <c r="B936" t="inlineStr">
        <is>
          <t>Visma Enterprise (BOOM)</t>
        </is>
      </c>
      <c r="C936" t="n">
        <v>6</v>
      </c>
      <c r="D936" t="n">
        <v>24</v>
      </c>
      <c r="E936" t="n">
        <v>8</v>
      </c>
      <c r="F936" t="n">
        <v>20241101</v>
      </c>
      <c r="G936" t="n">
        <v>0</v>
      </c>
      <c r="H936" t="n">
        <v>0</v>
      </c>
      <c r="I936" t="n">
        <v>0</v>
      </c>
      <c r="J936" t="n">
        <v>0</v>
      </c>
    </row>
    <row r="937">
      <c r="A937" t="inlineStr">
        <is>
          <t>32d3e7301f2bea087d84b44c3b36bffc9e59d59b5e71c4b7aa4e4bbb1a95dd10</t>
        </is>
      </c>
      <c r="B937" t="inlineStr">
        <is>
          <t>Visma Enterprise (BOOM)</t>
        </is>
      </c>
      <c r="C937" t="n">
        <v>6</v>
      </c>
      <c r="D937" t="n">
        <v>24</v>
      </c>
      <c r="E937" t="n">
        <v>8</v>
      </c>
      <c r="F937" t="n">
        <v>20241201</v>
      </c>
      <c r="G937" t="n">
        <v>0</v>
      </c>
      <c r="H937" t="n">
        <v>0</v>
      </c>
      <c r="I937" t="n">
        <v>0</v>
      </c>
      <c r="J937" t="n">
        <v>0</v>
      </c>
    </row>
    <row r="938">
      <c r="A938" t="inlineStr">
        <is>
          <t>f22c76a8869e9e7ed2d4621b175257847368be6298aa872ba6d37985228a493e</t>
        </is>
      </c>
      <c r="B938" t="inlineStr">
        <is>
          <t>Visma Enterprise (BOOM)</t>
        </is>
      </c>
      <c r="C938" t="n">
        <v>6</v>
      </c>
      <c r="D938" t="n">
        <v>25</v>
      </c>
      <c r="E938" t="n">
        <v>8</v>
      </c>
      <c r="F938" t="n">
        <v>20240101</v>
      </c>
      <c r="G938" t="n">
        <v>0</v>
      </c>
      <c r="H938" t="n">
        <v>0</v>
      </c>
      <c r="I938" t="n">
        <v>0</v>
      </c>
      <c r="J938" t="n">
        <v>0</v>
      </c>
    </row>
    <row r="939">
      <c r="A939" t="inlineStr">
        <is>
          <t>3fddc0a1d8a27a5d165af4a02478da45b9482dd62ecba7ee0f2ebcd4a143b9e3</t>
        </is>
      </c>
      <c r="B939" t="inlineStr">
        <is>
          <t>Visma Enterprise (BOOM)</t>
        </is>
      </c>
      <c r="C939" t="n">
        <v>6</v>
      </c>
      <c r="D939" t="n">
        <v>25</v>
      </c>
      <c r="E939" t="n">
        <v>8</v>
      </c>
      <c r="F939" t="n">
        <v>20240201</v>
      </c>
      <c r="G939" t="n">
        <v>0</v>
      </c>
      <c r="H939" t="n">
        <v>0</v>
      </c>
      <c r="I939" t="n">
        <v>0</v>
      </c>
      <c r="J939" t="n">
        <v>0</v>
      </c>
    </row>
    <row r="940">
      <c r="A940" t="inlineStr">
        <is>
          <t>7fbcefb59bb0f6f6661348cfa2e34ba3581bf1f7f4e33127e3914ac5b677b66a</t>
        </is>
      </c>
      <c r="B940" t="inlineStr">
        <is>
          <t>Visma Enterprise (BOOM)</t>
        </is>
      </c>
      <c r="C940" t="n">
        <v>6</v>
      </c>
      <c r="D940" t="n">
        <v>25</v>
      </c>
      <c r="E940" t="n">
        <v>8</v>
      </c>
      <c r="F940" t="n">
        <v>20240301</v>
      </c>
      <c r="G940" t="n">
        <v>0</v>
      </c>
      <c r="H940" t="n">
        <v>0</v>
      </c>
      <c r="I940" t="n">
        <v>0</v>
      </c>
      <c r="J940" t="n">
        <v>0</v>
      </c>
    </row>
    <row r="941">
      <c r="A941" t="inlineStr">
        <is>
          <t>f1cdd6b03a270a7199b7aae4dba4bf79dd640b52ff12f277c3c5ced02ceb80d6</t>
        </is>
      </c>
      <c r="B941" t="inlineStr">
        <is>
          <t>Visma Enterprise (BOOM)</t>
        </is>
      </c>
      <c r="C941" t="n">
        <v>6</v>
      </c>
      <c r="D941" t="n">
        <v>25</v>
      </c>
      <c r="E941" t="n">
        <v>8</v>
      </c>
      <c r="F941" t="n">
        <v>20240401</v>
      </c>
      <c r="G941" t="n">
        <v>0</v>
      </c>
      <c r="H941" t="n">
        <v>0</v>
      </c>
      <c r="I941" t="n">
        <v>0</v>
      </c>
      <c r="J941" t="n">
        <v>0</v>
      </c>
    </row>
    <row r="942">
      <c r="A942" t="inlineStr">
        <is>
          <t>0ca625a52a6d53e33b361174ccb60cbf2722311305cbf7eabd232df7b8037b19</t>
        </is>
      </c>
      <c r="B942" t="inlineStr">
        <is>
          <t>Visma Enterprise (BOOM)</t>
        </is>
      </c>
      <c r="C942" t="n">
        <v>6</v>
      </c>
      <c r="D942" t="n">
        <v>25</v>
      </c>
      <c r="E942" t="n">
        <v>8</v>
      </c>
      <c r="F942" t="n">
        <v>20240501</v>
      </c>
      <c r="G942" t="n">
        <v>0</v>
      </c>
      <c r="H942" t="n">
        <v>0</v>
      </c>
      <c r="I942" t="n">
        <v>0</v>
      </c>
      <c r="J942" t="n">
        <v>0</v>
      </c>
    </row>
    <row r="943">
      <c r="A943" t="inlineStr">
        <is>
          <t>c38777bf7bf74b8693b29436cea7afe9180f3e38a3a70cdd5830fd7fb63a4c50</t>
        </is>
      </c>
      <c r="B943" t="inlineStr">
        <is>
          <t>Visma Enterprise (BOOM)</t>
        </is>
      </c>
      <c r="C943" t="n">
        <v>6</v>
      </c>
      <c r="D943" t="n">
        <v>25</v>
      </c>
      <c r="E943" t="n">
        <v>8</v>
      </c>
      <c r="F943" t="n">
        <v>20240601</v>
      </c>
      <c r="G943" t="n">
        <v>0</v>
      </c>
      <c r="H943" t="n">
        <v>0</v>
      </c>
      <c r="I943" t="n">
        <v>0</v>
      </c>
      <c r="J943" t="n">
        <v>0</v>
      </c>
    </row>
    <row r="944">
      <c r="A944" t="inlineStr">
        <is>
          <t>605733107880273c70b87d16ac238d2b6b46744fe0166e5f41d935759a841ab4</t>
        </is>
      </c>
      <c r="B944" t="inlineStr">
        <is>
          <t>Visma Enterprise (BOOM)</t>
        </is>
      </c>
      <c r="C944" t="n">
        <v>6</v>
      </c>
      <c r="D944" t="n">
        <v>25</v>
      </c>
      <c r="E944" t="n">
        <v>8</v>
      </c>
      <c r="F944" t="n">
        <v>20240701</v>
      </c>
      <c r="G944" t="n">
        <v>0</v>
      </c>
      <c r="H944" t="n">
        <v>0</v>
      </c>
      <c r="I944" t="n">
        <v>0</v>
      </c>
      <c r="J944" t="n">
        <v>0</v>
      </c>
    </row>
    <row r="945">
      <c r="A945" t="inlineStr">
        <is>
          <t>8f3223ddfc5a51da483766fc2c50293d219e77732498b01b8e45155e22bffdf2</t>
        </is>
      </c>
      <c r="B945" t="inlineStr">
        <is>
          <t>Visma Enterprise (BOOM)</t>
        </is>
      </c>
      <c r="C945" t="n">
        <v>6</v>
      </c>
      <c r="D945" t="n">
        <v>25</v>
      </c>
      <c r="E945" t="n">
        <v>8</v>
      </c>
      <c r="F945" t="n">
        <v>20240801</v>
      </c>
      <c r="G945" t="n">
        <v>0</v>
      </c>
      <c r="H945" t="n">
        <v>0</v>
      </c>
      <c r="I945" t="n">
        <v>0</v>
      </c>
      <c r="J945" t="n">
        <v>0</v>
      </c>
    </row>
    <row r="946">
      <c r="A946" t="inlineStr">
        <is>
          <t>4efcb109ae6245489abda88b2d5a64c14d8509681d5f7e89ffefb452461414bd</t>
        </is>
      </c>
      <c r="B946" t="inlineStr">
        <is>
          <t>Visma Enterprise (BOOM)</t>
        </is>
      </c>
      <c r="C946" t="n">
        <v>6</v>
      </c>
      <c r="D946" t="n">
        <v>25</v>
      </c>
      <c r="E946" t="n">
        <v>8</v>
      </c>
      <c r="F946" t="n">
        <v>20240901</v>
      </c>
      <c r="G946" t="n">
        <v>0</v>
      </c>
      <c r="H946" t="n">
        <v>0</v>
      </c>
      <c r="I946" t="n">
        <v>0</v>
      </c>
      <c r="J946" t="n">
        <v>0</v>
      </c>
    </row>
    <row r="947">
      <c r="A947" t="inlineStr">
        <is>
          <t>ab35936848608b7ff7fc39ac424b17aac16a14592c8f92fb8c64e7dfce3da9d2</t>
        </is>
      </c>
      <c r="B947" t="inlineStr">
        <is>
          <t>Visma Enterprise (BOOM)</t>
        </is>
      </c>
      <c r="C947" t="n">
        <v>6</v>
      </c>
      <c r="D947" t="n">
        <v>25</v>
      </c>
      <c r="E947" t="n">
        <v>8</v>
      </c>
      <c r="F947" t="n">
        <v>20241001</v>
      </c>
      <c r="G947" t="n">
        <v>0</v>
      </c>
      <c r="H947" t="n">
        <v>0</v>
      </c>
      <c r="I947" t="n">
        <v>0</v>
      </c>
      <c r="J947" t="n">
        <v>0</v>
      </c>
    </row>
    <row r="948">
      <c r="A948" t="inlineStr">
        <is>
          <t>5f1445c059529716238640ab92681acb2bcde954a27c17b6a3108e8989c95d05</t>
        </is>
      </c>
      <c r="B948" t="inlineStr">
        <is>
          <t>Visma Enterprise (BOOM)</t>
        </is>
      </c>
      <c r="C948" t="n">
        <v>6</v>
      </c>
      <c r="D948" t="n">
        <v>25</v>
      </c>
      <c r="E948" t="n">
        <v>8</v>
      </c>
      <c r="F948" t="n">
        <v>20241101</v>
      </c>
      <c r="G948" t="n">
        <v>0</v>
      </c>
      <c r="H948" t="n">
        <v>0</v>
      </c>
      <c r="I948" t="n">
        <v>0</v>
      </c>
      <c r="J948" t="n">
        <v>0</v>
      </c>
    </row>
    <row r="949">
      <c r="A949" t="inlineStr">
        <is>
          <t>1fa08b47c37fb75a09a56995aefce67aded1f5960852b5bec049518bec917011</t>
        </is>
      </c>
      <c r="B949" t="inlineStr">
        <is>
          <t>Visma Enterprise (BOOM)</t>
        </is>
      </c>
      <c r="C949" t="n">
        <v>6</v>
      </c>
      <c r="D949" t="n">
        <v>25</v>
      </c>
      <c r="E949" t="n">
        <v>8</v>
      </c>
      <c r="F949" t="n">
        <v>20241201</v>
      </c>
      <c r="G949" t="n">
        <v>0</v>
      </c>
      <c r="H949" t="n">
        <v>0</v>
      </c>
      <c r="I949" t="n">
        <v>0</v>
      </c>
      <c r="J949" t="n">
        <v>0</v>
      </c>
    </row>
    <row r="950">
      <c r="A950" t="inlineStr">
        <is>
          <t>e90b67dabd18d84502d4fda406dec1ededf5bf8b0d3b08e0e03fdfa5c01782d3</t>
        </is>
      </c>
      <c r="B950" t="inlineStr">
        <is>
          <t>Visma Enterprise (BOOM)</t>
        </is>
      </c>
      <c r="C950" t="n">
        <v>6</v>
      </c>
      <c r="D950" t="n">
        <v>26</v>
      </c>
      <c r="E950" t="n">
        <v>8</v>
      </c>
      <c r="F950" t="n">
        <v>20240101</v>
      </c>
      <c r="G950" t="n">
        <v>0</v>
      </c>
      <c r="H950" t="n">
        <v>0</v>
      </c>
      <c r="I950" t="n">
        <v>0</v>
      </c>
      <c r="J950" t="n">
        <v>0</v>
      </c>
    </row>
    <row r="951">
      <c r="A951" t="inlineStr">
        <is>
          <t>15854735f57bd6f9a739852851fe112dc2472b9e228abebed72c015f00ce930e</t>
        </is>
      </c>
      <c r="B951" t="inlineStr">
        <is>
          <t>Visma Enterprise (BOOM)</t>
        </is>
      </c>
      <c r="C951" t="n">
        <v>6</v>
      </c>
      <c r="D951" t="n">
        <v>26</v>
      </c>
      <c r="E951" t="n">
        <v>8</v>
      </c>
      <c r="F951" t="n">
        <v>20240201</v>
      </c>
      <c r="G951" t="n">
        <v>0</v>
      </c>
      <c r="H951" t="n">
        <v>0</v>
      </c>
      <c r="I951" t="n">
        <v>0</v>
      </c>
      <c r="J951" t="n">
        <v>0</v>
      </c>
    </row>
    <row r="952">
      <c r="A952" t="inlineStr">
        <is>
          <t>c749194ff49230fb9f7c6d475bd49627905a20e2a823c8fa48be81ab762b3c07</t>
        </is>
      </c>
      <c r="B952" t="inlineStr">
        <is>
          <t>Visma Enterprise (BOOM)</t>
        </is>
      </c>
      <c r="C952" t="n">
        <v>6</v>
      </c>
      <c r="D952" t="n">
        <v>26</v>
      </c>
      <c r="E952" t="n">
        <v>8</v>
      </c>
      <c r="F952" t="n">
        <v>20240301</v>
      </c>
      <c r="G952" t="n">
        <v>0</v>
      </c>
      <c r="H952" t="n">
        <v>0</v>
      </c>
      <c r="I952" t="n">
        <v>0</v>
      </c>
      <c r="J952" t="n">
        <v>0</v>
      </c>
    </row>
    <row r="953">
      <c r="A953" t="inlineStr">
        <is>
          <t>b5fee1aa6c6b36411bc7d24e01926aa76d24d81d55ec40a285f10e1b98f8694b</t>
        </is>
      </c>
      <c r="B953" t="inlineStr">
        <is>
          <t>Visma Enterprise (BOOM)</t>
        </is>
      </c>
      <c r="C953" t="n">
        <v>6</v>
      </c>
      <c r="D953" t="n">
        <v>26</v>
      </c>
      <c r="E953" t="n">
        <v>8</v>
      </c>
      <c r="F953" t="n">
        <v>20240401</v>
      </c>
      <c r="G953" t="n">
        <v>0</v>
      </c>
      <c r="H953" t="n">
        <v>0</v>
      </c>
      <c r="I953" t="n">
        <v>0</v>
      </c>
      <c r="J953" t="n">
        <v>0</v>
      </c>
    </row>
    <row r="954">
      <c r="A954" t="inlineStr">
        <is>
          <t>7dd1b3a01f640c8913f21435218f2eec172ce9ea4e01b629634ea5e135814f66</t>
        </is>
      </c>
      <c r="B954" t="inlineStr">
        <is>
          <t>Visma Enterprise (BOOM)</t>
        </is>
      </c>
      <c r="C954" t="n">
        <v>6</v>
      </c>
      <c r="D954" t="n">
        <v>26</v>
      </c>
      <c r="E954" t="n">
        <v>8</v>
      </c>
      <c r="F954" t="n">
        <v>20240501</v>
      </c>
      <c r="G954" t="n">
        <v>0</v>
      </c>
      <c r="H954" t="n">
        <v>0</v>
      </c>
      <c r="I954" t="n">
        <v>0</v>
      </c>
      <c r="J954" t="n">
        <v>0</v>
      </c>
    </row>
    <row r="955">
      <c r="A955" t="inlineStr">
        <is>
          <t>31e64eaf84c1acdfc592662d515d772b95c4e280d95c4c064155673bfc72fa8e</t>
        </is>
      </c>
      <c r="B955" t="inlineStr">
        <is>
          <t>Visma Enterprise (BOOM)</t>
        </is>
      </c>
      <c r="C955" t="n">
        <v>6</v>
      </c>
      <c r="D955" t="n">
        <v>26</v>
      </c>
      <c r="E955" t="n">
        <v>8</v>
      </c>
      <c r="F955" t="n">
        <v>20240601</v>
      </c>
      <c r="G955" t="n">
        <v>0</v>
      </c>
      <c r="H955" t="n">
        <v>0</v>
      </c>
      <c r="I955" t="n">
        <v>0</v>
      </c>
      <c r="J955" t="n">
        <v>0</v>
      </c>
    </row>
    <row r="956">
      <c r="A956" t="inlineStr">
        <is>
          <t>ef114fdaf2fe63ae60018eb9219ada367c9d7bb16cf2a2fe0498d7d7fe6569b1</t>
        </is>
      </c>
      <c r="B956" t="inlineStr">
        <is>
          <t>Visma Enterprise (BOOM)</t>
        </is>
      </c>
      <c r="C956" t="n">
        <v>6</v>
      </c>
      <c r="D956" t="n">
        <v>26</v>
      </c>
      <c r="E956" t="n">
        <v>8</v>
      </c>
      <c r="F956" t="n">
        <v>20240701</v>
      </c>
      <c r="G956" t="n">
        <v>129480</v>
      </c>
      <c r="H956" t="n">
        <v>-129480</v>
      </c>
      <c r="I956" t="n">
        <v>0</v>
      </c>
      <c r="J956" t="n">
        <v>-129480</v>
      </c>
    </row>
    <row r="957">
      <c r="A957" t="inlineStr">
        <is>
          <t>7d785471f8207d36a716cf61557cab49961f5d937d74edbaf7ca03ced1abed68</t>
        </is>
      </c>
      <c r="B957" t="inlineStr">
        <is>
          <t>Visma Enterprise (BOOM)</t>
        </is>
      </c>
      <c r="C957" t="n">
        <v>6</v>
      </c>
      <c r="D957" t="n">
        <v>26</v>
      </c>
      <c r="E957" t="n">
        <v>8</v>
      </c>
      <c r="F957" t="n">
        <v>20240801</v>
      </c>
      <c r="G957" t="n">
        <v>253176</v>
      </c>
      <c r="H957" t="n">
        <v>-253176</v>
      </c>
      <c r="I957" t="n">
        <v>0</v>
      </c>
      <c r="J957" t="n">
        <v>-253176</v>
      </c>
    </row>
    <row r="958">
      <c r="A958" t="inlineStr">
        <is>
          <t>5e0d2d68c22a8b1e85388f366841b23c1510f761d84af2b51fb1ea9de92969ea</t>
        </is>
      </c>
      <c r="B958" t="inlineStr">
        <is>
          <t>Visma Enterprise (BOOM)</t>
        </is>
      </c>
      <c r="C958" t="n">
        <v>6</v>
      </c>
      <c r="D958" t="n">
        <v>26</v>
      </c>
      <c r="E958" t="n">
        <v>8</v>
      </c>
      <c r="F958" t="n">
        <v>20240901</v>
      </c>
      <c r="G958" t="n">
        <v>0</v>
      </c>
      <c r="H958" t="n">
        <v>0</v>
      </c>
      <c r="I958" t="n">
        <v>0</v>
      </c>
      <c r="J958" t="n">
        <v>0</v>
      </c>
    </row>
    <row r="959">
      <c r="A959" t="inlineStr">
        <is>
          <t>e704aa58f6bf92d433c08a1f15fba8884fbe3019aaa35c0e4781fcc6314f833b</t>
        </is>
      </c>
      <c r="B959" t="inlineStr">
        <is>
          <t>Visma Enterprise (BOOM)</t>
        </is>
      </c>
      <c r="C959" t="n">
        <v>6</v>
      </c>
      <c r="D959" t="n">
        <v>26</v>
      </c>
      <c r="E959" t="n">
        <v>8</v>
      </c>
      <c r="F959" t="n">
        <v>20241001</v>
      </c>
      <c r="G959" t="n">
        <v>0</v>
      </c>
      <c r="H959" t="n">
        <v>0</v>
      </c>
      <c r="I959" t="n">
        <v>0</v>
      </c>
      <c r="J959" t="n">
        <v>0</v>
      </c>
    </row>
    <row r="960">
      <c r="A960" t="inlineStr">
        <is>
          <t>8dc15a2f3ffb0add605038f6e1d76dff4413f48801ce6c4711d9516e1e2278f2</t>
        </is>
      </c>
      <c r="B960" t="inlineStr">
        <is>
          <t>Visma Enterprise (BOOM)</t>
        </is>
      </c>
      <c r="C960" t="n">
        <v>6</v>
      </c>
      <c r="D960" t="n">
        <v>26</v>
      </c>
      <c r="E960" t="n">
        <v>8</v>
      </c>
      <c r="F960" t="n">
        <v>20241101</v>
      </c>
      <c r="G960" t="n">
        <v>0</v>
      </c>
      <c r="H960" t="n">
        <v>0</v>
      </c>
      <c r="I960" t="n">
        <v>0</v>
      </c>
      <c r="J960" t="n">
        <v>0</v>
      </c>
    </row>
    <row r="961">
      <c r="A961" t="inlineStr">
        <is>
          <t>74529472d84d3e5fc1b75cf8747ec09044f27ebb83251f7cc0d9b947c23fa88d</t>
        </is>
      </c>
      <c r="B961" t="inlineStr">
        <is>
          <t>Visma Enterprise (BOOM)</t>
        </is>
      </c>
      <c r="C961" t="n">
        <v>6</v>
      </c>
      <c r="D961" t="n">
        <v>26</v>
      </c>
      <c r="E961" t="n">
        <v>8</v>
      </c>
      <c r="F961" t="n">
        <v>20241201</v>
      </c>
      <c r="G961" t="n">
        <v>0</v>
      </c>
      <c r="H961" t="n">
        <v>0</v>
      </c>
      <c r="I961" t="n">
        <v>0</v>
      </c>
      <c r="J961" t="n">
        <v>0</v>
      </c>
    </row>
    <row r="962">
      <c r="A962" t="inlineStr">
        <is>
          <t>51b0c735bd144a6f4901d0d1ce344d9d47a8bd3fe2ae1d1809acec265d777b28</t>
        </is>
      </c>
      <c r="B962" t="inlineStr">
        <is>
          <t>Visma Enterprise (BOOM)</t>
        </is>
      </c>
      <c r="C962" t="n">
        <v>6</v>
      </c>
      <c r="D962" t="n">
        <v>27</v>
      </c>
      <c r="E962" t="n">
        <v>8</v>
      </c>
      <c r="F962" t="n">
        <v>20240101</v>
      </c>
      <c r="G962" t="n">
        <v>0</v>
      </c>
      <c r="H962" t="n">
        <v>0</v>
      </c>
      <c r="I962" t="n">
        <v>0</v>
      </c>
      <c r="J962" t="n">
        <v>0</v>
      </c>
    </row>
    <row r="963">
      <c r="A963" t="inlineStr">
        <is>
          <t>c0ba7d1f7c3f3dc9bd73db25a316ee95801932c7655a818f935518cc4ae8c145</t>
        </is>
      </c>
      <c r="B963" t="inlineStr">
        <is>
          <t>Visma Enterprise (BOOM)</t>
        </is>
      </c>
      <c r="C963" t="n">
        <v>6</v>
      </c>
      <c r="D963" t="n">
        <v>27</v>
      </c>
      <c r="E963" t="n">
        <v>8</v>
      </c>
      <c r="F963" t="n">
        <v>20240201</v>
      </c>
      <c r="G963" t="n">
        <v>0</v>
      </c>
      <c r="H963" t="n">
        <v>0</v>
      </c>
      <c r="I963" t="n">
        <v>0</v>
      </c>
      <c r="J963" t="n">
        <v>0</v>
      </c>
    </row>
    <row r="964">
      <c r="A964" t="inlineStr">
        <is>
          <t>5cc5acd3bb0749e9361bf27506827396daa437ebbe83896404d17d6b649e3550</t>
        </is>
      </c>
      <c r="B964" t="inlineStr">
        <is>
          <t>Visma Enterprise (BOOM)</t>
        </is>
      </c>
      <c r="C964" t="n">
        <v>6</v>
      </c>
      <c r="D964" t="n">
        <v>27</v>
      </c>
      <c r="E964" t="n">
        <v>8</v>
      </c>
      <c r="F964" t="n">
        <v>20240301</v>
      </c>
      <c r="G964" t="n">
        <v>0</v>
      </c>
      <c r="H964" t="n">
        <v>0</v>
      </c>
      <c r="I964" t="n">
        <v>0</v>
      </c>
      <c r="J964" t="n">
        <v>0</v>
      </c>
    </row>
    <row r="965">
      <c r="A965" t="inlineStr">
        <is>
          <t>deb9e1708c4e4313ef089a936adf0ce001ba9a7e9c55defa717b039a9012cfd2</t>
        </is>
      </c>
      <c r="B965" t="inlineStr">
        <is>
          <t>Visma Enterprise (BOOM)</t>
        </is>
      </c>
      <c r="C965" t="n">
        <v>6</v>
      </c>
      <c r="D965" t="n">
        <v>27</v>
      </c>
      <c r="E965" t="n">
        <v>8</v>
      </c>
      <c r="F965" t="n">
        <v>20240401</v>
      </c>
      <c r="G965" t="n">
        <v>400</v>
      </c>
      <c r="H965" t="n">
        <v>-400</v>
      </c>
      <c r="I965" t="n">
        <v>0</v>
      </c>
      <c r="J965" t="n">
        <v>-400</v>
      </c>
    </row>
    <row r="966">
      <c r="A966" t="inlineStr">
        <is>
          <t>ea01e3ab30be49f1ea9620c7967c50f50c94d2ae65974d87501d2890222adadb</t>
        </is>
      </c>
      <c r="B966" t="inlineStr">
        <is>
          <t>Visma Enterprise (BOOM)</t>
        </is>
      </c>
      <c r="C966" t="n">
        <v>6</v>
      </c>
      <c r="D966" t="n">
        <v>27</v>
      </c>
      <c r="E966" t="n">
        <v>8</v>
      </c>
      <c r="F966" t="n">
        <v>20240501</v>
      </c>
      <c r="G966" t="n">
        <v>0</v>
      </c>
      <c r="H966" t="n">
        <v>0</v>
      </c>
      <c r="I966" t="n">
        <v>0</v>
      </c>
      <c r="J966" t="n">
        <v>0</v>
      </c>
    </row>
    <row r="967">
      <c r="A967" t="inlineStr">
        <is>
          <t>281b32154e363cde8d66bc3c143c454002a3cef474d56dc776267b9af9387ffe</t>
        </is>
      </c>
      <c r="B967" t="inlineStr">
        <is>
          <t>Visma Enterprise (BOOM)</t>
        </is>
      </c>
      <c r="C967" t="n">
        <v>6</v>
      </c>
      <c r="D967" t="n">
        <v>27</v>
      </c>
      <c r="E967" t="n">
        <v>8</v>
      </c>
      <c r="F967" t="n">
        <v>20240601</v>
      </c>
      <c r="G967" t="n">
        <v>0</v>
      </c>
      <c r="H967" t="n">
        <v>0</v>
      </c>
      <c r="I967" t="n">
        <v>0</v>
      </c>
      <c r="J967" t="n">
        <v>0</v>
      </c>
    </row>
    <row r="968">
      <c r="A968" t="inlineStr">
        <is>
          <t>511dfb7c6f3aac27b47cf4a444c95930340d8fff4cd61bb0bbf196a87ecc23c8</t>
        </is>
      </c>
      <c r="B968" t="inlineStr">
        <is>
          <t>Visma Enterprise (BOOM)</t>
        </is>
      </c>
      <c r="C968" t="n">
        <v>6</v>
      </c>
      <c r="D968" t="n">
        <v>27</v>
      </c>
      <c r="E968" t="n">
        <v>8</v>
      </c>
      <c r="F968" t="n">
        <v>20240701</v>
      </c>
      <c r="G968" t="n">
        <v>0</v>
      </c>
      <c r="H968" t="n">
        <v>0</v>
      </c>
      <c r="I968" t="n">
        <v>0</v>
      </c>
      <c r="J968" t="n">
        <v>0</v>
      </c>
    </row>
    <row r="969">
      <c r="A969" t="inlineStr">
        <is>
          <t>f49e1c9f2de11256f0eb1701cd490632341c425b46b12f319e4d8b1d03e84aed</t>
        </is>
      </c>
      <c r="B969" t="inlineStr">
        <is>
          <t>Visma Enterprise (BOOM)</t>
        </is>
      </c>
      <c r="C969" t="n">
        <v>6</v>
      </c>
      <c r="D969" t="n">
        <v>27</v>
      </c>
      <c r="E969" t="n">
        <v>8</v>
      </c>
      <c r="F969" t="n">
        <v>20240801</v>
      </c>
      <c r="G969" t="n">
        <v>0</v>
      </c>
      <c r="H969" t="n">
        <v>0</v>
      </c>
      <c r="I969" t="n">
        <v>0</v>
      </c>
      <c r="J969" t="n">
        <v>0</v>
      </c>
    </row>
    <row r="970">
      <c r="A970" t="inlineStr">
        <is>
          <t>66c2354d8ee3274e11e3e38f0d42510b053849cfb17f285ba729b0f6d9068fc9</t>
        </is>
      </c>
      <c r="B970" t="inlineStr">
        <is>
          <t>Visma Enterprise (BOOM)</t>
        </is>
      </c>
      <c r="C970" t="n">
        <v>6</v>
      </c>
      <c r="D970" t="n">
        <v>27</v>
      </c>
      <c r="E970" t="n">
        <v>8</v>
      </c>
      <c r="F970" t="n">
        <v>20240901</v>
      </c>
      <c r="G970" t="n">
        <v>0</v>
      </c>
      <c r="H970" t="n">
        <v>0</v>
      </c>
      <c r="I970" t="n">
        <v>0</v>
      </c>
      <c r="J970" t="n">
        <v>0</v>
      </c>
    </row>
    <row r="971">
      <c r="A971" t="inlineStr">
        <is>
          <t>eaafd747dbce66248336e4d4e38abff3099820240da25e7763f7dd6f24b160ea</t>
        </is>
      </c>
      <c r="B971" t="inlineStr">
        <is>
          <t>Visma Enterprise (BOOM)</t>
        </is>
      </c>
      <c r="C971" t="n">
        <v>6</v>
      </c>
      <c r="D971" t="n">
        <v>27</v>
      </c>
      <c r="E971" t="n">
        <v>8</v>
      </c>
      <c r="F971" t="n">
        <v>20241001</v>
      </c>
      <c r="G971" t="n">
        <v>0</v>
      </c>
      <c r="H971" t="n">
        <v>0</v>
      </c>
      <c r="I971" t="n">
        <v>0</v>
      </c>
      <c r="J971" t="n">
        <v>0</v>
      </c>
    </row>
    <row r="972">
      <c r="A972" t="inlineStr">
        <is>
          <t>7e6e180e6e17c83eb2274b16f8f0d4e624d66902b9630d8be25c5d6676b0322f</t>
        </is>
      </c>
      <c r="B972" t="inlineStr">
        <is>
          <t>Visma Enterprise (BOOM)</t>
        </is>
      </c>
      <c r="C972" t="n">
        <v>6</v>
      </c>
      <c r="D972" t="n">
        <v>27</v>
      </c>
      <c r="E972" t="n">
        <v>8</v>
      </c>
      <c r="F972" t="n">
        <v>20241101</v>
      </c>
      <c r="G972" t="n">
        <v>0</v>
      </c>
      <c r="H972" t="n">
        <v>0</v>
      </c>
      <c r="I972" t="n">
        <v>0</v>
      </c>
      <c r="J972" t="n">
        <v>0</v>
      </c>
    </row>
    <row r="973">
      <c r="A973" t="inlineStr">
        <is>
          <t>0c698657b17778a92d6da957364e196975450934ed3fded37cee2bb363b980a7</t>
        </is>
      </c>
      <c r="B973" t="inlineStr">
        <is>
          <t>Visma Enterprise (BOOM)</t>
        </is>
      </c>
      <c r="C973" t="n">
        <v>6</v>
      </c>
      <c r="D973" t="n">
        <v>27</v>
      </c>
      <c r="E973" t="n">
        <v>8</v>
      </c>
      <c r="F973" t="n">
        <v>20241201</v>
      </c>
      <c r="G973" t="n">
        <v>0</v>
      </c>
      <c r="H973" t="n">
        <v>0</v>
      </c>
      <c r="I973" t="n">
        <v>0</v>
      </c>
      <c r="J973" t="n">
        <v>0</v>
      </c>
    </row>
    <row r="974">
      <c r="A974" t="inlineStr">
        <is>
          <t>65c0339a0b534b02872fa388428c0dfcda67f5504d1f649cff1a02f55c8ed647</t>
        </is>
      </c>
      <c r="B974" t="inlineStr">
        <is>
          <t>Visma Enterprise (BOOM)</t>
        </is>
      </c>
      <c r="C974" t="n">
        <v>6</v>
      </c>
      <c r="D974" t="n">
        <v>26</v>
      </c>
      <c r="E974" t="n">
        <v>8</v>
      </c>
      <c r="F974" t="n">
        <v>20240101</v>
      </c>
      <c r="G974" t="n">
        <v>0</v>
      </c>
      <c r="H974" t="n">
        <v>0</v>
      </c>
      <c r="I974" t="n">
        <v>0</v>
      </c>
      <c r="J974" t="n">
        <v>0</v>
      </c>
    </row>
    <row r="975">
      <c r="A975" t="inlineStr">
        <is>
          <t>4c19951df42e97df6296f68613b2d8add5d0fb5e34875c9572ed51893b2c860b</t>
        </is>
      </c>
      <c r="B975" t="inlineStr">
        <is>
          <t>Visma Enterprise (BOOM)</t>
        </is>
      </c>
      <c r="C975" t="n">
        <v>6</v>
      </c>
      <c r="D975" t="n">
        <v>26</v>
      </c>
      <c r="E975" t="n">
        <v>8</v>
      </c>
      <c r="F975" t="n">
        <v>20240201</v>
      </c>
      <c r="G975" t="n">
        <v>0</v>
      </c>
      <c r="H975" t="n">
        <v>0</v>
      </c>
      <c r="I975" t="n">
        <v>0</v>
      </c>
      <c r="J975" t="n">
        <v>0</v>
      </c>
    </row>
    <row r="976">
      <c r="A976" t="inlineStr">
        <is>
          <t>ddff037db639675da60a8459dd608ea4c7a71bf8bba517d398c1c9c147ee67f2</t>
        </is>
      </c>
      <c r="B976" t="inlineStr">
        <is>
          <t>Visma Enterprise (BOOM)</t>
        </is>
      </c>
      <c r="C976" t="n">
        <v>6</v>
      </c>
      <c r="D976" t="n">
        <v>26</v>
      </c>
      <c r="E976" t="n">
        <v>8</v>
      </c>
      <c r="F976" t="n">
        <v>20240301</v>
      </c>
      <c r="G976" t="n">
        <v>0</v>
      </c>
      <c r="H976" t="n">
        <v>0</v>
      </c>
      <c r="I976" t="n">
        <v>0</v>
      </c>
      <c r="J976" t="n">
        <v>0</v>
      </c>
    </row>
    <row r="977">
      <c r="A977" t="inlineStr">
        <is>
          <t>12787a7ad555e0bb7d45dbc843b8fed3e1840b12df093e3f393ff167c5da4d85</t>
        </is>
      </c>
      <c r="B977" t="inlineStr">
        <is>
          <t>Visma Enterprise (BOOM)</t>
        </is>
      </c>
      <c r="C977" t="n">
        <v>6</v>
      </c>
      <c r="D977" t="n">
        <v>26</v>
      </c>
      <c r="E977" t="n">
        <v>8</v>
      </c>
      <c r="F977" t="n">
        <v>20240401</v>
      </c>
      <c r="G977" t="n">
        <v>0</v>
      </c>
      <c r="H977" t="n">
        <v>0</v>
      </c>
      <c r="I977" t="n">
        <v>0</v>
      </c>
      <c r="J977" t="n">
        <v>0</v>
      </c>
    </row>
    <row r="978">
      <c r="A978" t="inlineStr">
        <is>
          <t>8812c17964d68bf1e7fcb36849b669f36316fb10a2934a6206b42a82f4cd2c39</t>
        </is>
      </c>
      <c r="B978" t="inlineStr">
        <is>
          <t>Visma Enterprise (BOOM)</t>
        </is>
      </c>
      <c r="C978" t="n">
        <v>6</v>
      </c>
      <c r="D978" t="n">
        <v>26</v>
      </c>
      <c r="E978" t="n">
        <v>8</v>
      </c>
      <c r="F978" t="n">
        <v>20240501</v>
      </c>
      <c r="G978" t="n">
        <v>0</v>
      </c>
      <c r="H978" t="n">
        <v>0</v>
      </c>
      <c r="I978" t="n">
        <v>0</v>
      </c>
      <c r="J978" t="n">
        <v>0</v>
      </c>
    </row>
    <row r="979">
      <c r="A979" t="inlineStr">
        <is>
          <t>7a083387d3766d7ba7ce2ee5a8ad95dd7a00112357cb7fdb59ed55fa7a906c8b</t>
        </is>
      </c>
      <c r="B979" t="inlineStr">
        <is>
          <t>Visma Enterprise (BOOM)</t>
        </is>
      </c>
      <c r="C979" t="n">
        <v>6</v>
      </c>
      <c r="D979" t="n">
        <v>26</v>
      </c>
      <c r="E979" t="n">
        <v>8</v>
      </c>
      <c r="F979" t="n">
        <v>20240601</v>
      </c>
      <c r="G979" t="n">
        <v>0</v>
      </c>
      <c r="H979" t="n">
        <v>0</v>
      </c>
      <c r="I979" t="n">
        <v>0</v>
      </c>
      <c r="J979" t="n">
        <v>0</v>
      </c>
    </row>
    <row r="980">
      <c r="A980" t="inlineStr">
        <is>
          <t>3fe9cf8c08e152236cbc4731d3dfc052bcbbd251a28c8c126e8350f0fea3e47e</t>
        </is>
      </c>
      <c r="B980" t="inlineStr">
        <is>
          <t>Visma Enterprise (BOOM)</t>
        </is>
      </c>
      <c r="C980" t="n">
        <v>6</v>
      </c>
      <c r="D980" t="n">
        <v>26</v>
      </c>
      <c r="E980" t="n">
        <v>8</v>
      </c>
      <c r="F980" t="n">
        <v>20240701</v>
      </c>
      <c r="G980" t="n">
        <v>0</v>
      </c>
      <c r="H980" t="n">
        <v>0</v>
      </c>
      <c r="I980" t="n">
        <v>0</v>
      </c>
      <c r="J980" t="n">
        <v>0</v>
      </c>
    </row>
    <row r="981">
      <c r="A981" t="inlineStr">
        <is>
          <t>450dde37689ff8579437431605291f49089a5b02b0390211cec7a62782eb86f4</t>
        </is>
      </c>
      <c r="B981" t="inlineStr">
        <is>
          <t>Visma Enterprise (BOOM)</t>
        </is>
      </c>
      <c r="C981" t="n">
        <v>6</v>
      </c>
      <c r="D981" t="n">
        <v>26</v>
      </c>
      <c r="E981" t="n">
        <v>8</v>
      </c>
      <c r="F981" t="n">
        <v>20240801</v>
      </c>
      <c r="G981" t="n">
        <v>0</v>
      </c>
      <c r="H981" t="n">
        <v>0</v>
      </c>
      <c r="I981" t="n">
        <v>0</v>
      </c>
      <c r="J981" t="n">
        <v>0</v>
      </c>
    </row>
    <row r="982">
      <c r="A982" t="inlineStr">
        <is>
          <t>06719c1c412bd05c316a505b61bdc6dba1137ee57a4d99f3a37befcad5855462</t>
        </is>
      </c>
      <c r="B982" t="inlineStr">
        <is>
          <t>Visma Enterprise (BOOM)</t>
        </is>
      </c>
      <c r="C982" t="n">
        <v>6</v>
      </c>
      <c r="D982" t="n">
        <v>26</v>
      </c>
      <c r="E982" t="n">
        <v>8</v>
      </c>
      <c r="F982" t="n">
        <v>20240901</v>
      </c>
      <c r="G982" t="n">
        <v>0</v>
      </c>
      <c r="H982" t="n">
        <v>0</v>
      </c>
      <c r="I982" t="n">
        <v>0</v>
      </c>
      <c r="J982" t="n">
        <v>0</v>
      </c>
    </row>
    <row r="983">
      <c r="A983" t="inlineStr">
        <is>
          <t>3d0abf299d45005ff6d61cc532e481f146328235afa8abde9429c67726a555c5</t>
        </is>
      </c>
      <c r="B983" t="inlineStr">
        <is>
          <t>Visma Enterprise (BOOM)</t>
        </is>
      </c>
      <c r="C983" t="n">
        <v>6</v>
      </c>
      <c r="D983" t="n">
        <v>26</v>
      </c>
      <c r="E983" t="n">
        <v>8</v>
      </c>
      <c r="F983" t="n">
        <v>20241001</v>
      </c>
      <c r="G983" t="n">
        <v>0</v>
      </c>
      <c r="H983" t="n">
        <v>0</v>
      </c>
      <c r="I983" t="n">
        <v>0</v>
      </c>
      <c r="J983" t="n">
        <v>0</v>
      </c>
    </row>
    <row r="984">
      <c r="A984" t="inlineStr">
        <is>
          <t>08f5bf0eb51ac637f3d2d2a49f958a252dc887de9bd8fb0fc7dfe96f891e7ad9</t>
        </is>
      </c>
      <c r="B984" t="inlineStr">
        <is>
          <t>Visma Enterprise (BOOM)</t>
        </is>
      </c>
      <c r="C984" t="n">
        <v>6</v>
      </c>
      <c r="D984" t="n">
        <v>26</v>
      </c>
      <c r="E984" t="n">
        <v>8</v>
      </c>
      <c r="F984" t="n">
        <v>20241101</v>
      </c>
      <c r="G984" t="n">
        <v>0</v>
      </c>
      <c r="H984" t="n">
        <v>0</v>
      </c>
      <c r="I984" t="n">
        <v>0</v>
      </c>
      <c r="J984" t="n">
        <v>0</v>
      </c>
    </row>
    <row r="985">
      <c r="A985" t="inlineStr">
        <is>
          <t>8c074ae88c9e7f8c27fbb76be4e7643c1f005afcb4722109b9db81edba5c942f</t>
        </is>
      </c>
      <c r="B985" t="inlineStr">
        <is>
          <t>Visma Enterprise (BOOM)</t>
        </is>
      </c>
      <c r="C985" t="n">
        <v>6</v>
      </c>
      <c r="D985" t="n">
        <v>26</v>
      </c>
      <c r="E985" t="n">
        <v>8</v>
      </c>
      <c r="F985" t="n">
        <v>20241201</v>
      </c>
      <c r="G985" t="n">
        <v>0</v>
      </c>
      <c r="H985" t="n">
        <v>0</v>
      </c>
      <c r="I985" t="n">
        <v>0</v>
      </c>
      <c r="J985" t="n">
        <v>0</v>
      </c>
    </row>
    <row r="986">
      <c r="A986" t="inlineStr">
        <is>
          <t>b227cfb425e7f329b0a0190b2ed1a0b879754dbd01b551ba623b0efbed4d3bf9</t>
        </is>
      </c>
      <c r="B986" t="inlineStr">
        <is>
          <t>Visma Enterprise (BOOM)</t>
        </is>
      </c>
      <c r="C986" t="n">
        <v>6</v>
      </c>
      <c r="D986" t="n">
        <v>28</v>
      </c>
      <c r="E986" t="n">
        <v>8</v>
      </c>
      <c r="F986" t="n">
        <v>20240101</v>
      </c>
      <c r="G986" t="n">
        <v>5070.82</v>
      </c>
      <c r="H986" t="n">
        <v>5070.82</v>
      </c>
      <c r="I986" t="n">
        <v>11662</v>
      </c>
      <c r="J986" t="n">
        <v>-6591.18</v>
      </c>
    </row>
    <row r="987">
      <c r="A987" t="inlineStr">
        <is>
          <t>859a7dbada5e4913bbdd3bb1a84a2c7f69081c2c3f6115916034f32052046b43</t>
        </is>
      </c>
      <c r="B987" t="inlineStr">
        <is>
          <t>Visma Enterprise (BOOM)</t>
        </is>
      </c>
      <c r="C987" t="n">
        <v>6</v>
      </c>
      <c r="D987" t="n">
        <v>28</v>
      </c>
      <c r="E987" t="n">
        <v>8</v>
      </c>
      <c r="F987" t="n">
        <v>20240201</v>
      </c>
      <c r="G987" t="n">
        <v>7325.59</v>
      </c>
      <c r="H987" t="n">
        <v>7325.59</v>
      </c>
      <c r="I987" t="n">
        <v>11662</v>
      </c>
      <c r="J987" t="n">
        <v>-4336.41</v>
      </c>
    </row>
    <row r="988">
      <c r="A988" t="inlineStr">
        <is>
          <t>503c7184918154e26c09a7844d653ef9d5db5ca609071a8db4ad2f8d070d7dd4</t>
        </is>
      </c>
      <c r="B988" t="inlineStr">
        <is>
          <t>Visma Enterprise (BOOM)</t>
        </is>
      </c>
      <c r="C988" t="n">
        <v>6</v>
      </c>
      <c r="D988" t="n">
        <v>28</v>
      </c>
      <c r="E988" t="n">
        <v>8</v>
      </c>
      <c r="F988" t="n">
        <v>20240301</v>
      </c>
      <c r="G988" t="n">
        <v>854.99</v>
      </c>
      <c r="H988" t="n">
        <v>854.99</v>
      </c>
      <c r="I988" t="n">
        <v>11662</v>
      </c>
      <c r="J988" t="n">
        <v>-10807.01</v>
      </c>
    </row>
    <row r="989">
      <c r="A989" t="inlineStr">
        <is>
          <t>6ec3674c5a40c045cc87793b3ca2e830afbd7cda3113339f7a51756bd27e5c01</t>
        </is>
      </c>
      <c r="B989" t="inlineStr">
        <is>
          <t>Visma Enterprise (BOOM)</t>
        </is>
      </c>
      <c r="C989" t="n">
        <v>6</v>
      </c>
      <c r="D989" t="n">
        <v>28</v>
      </c>
      <c r="E989" t="n">
        <v>8</v>
      </c>
      <c r="F989" t="n">
        <v>20240401</v>
      </c>
      <c r="G989" t="n">
        <v>6710.36</v>
      </c>
      <c r="H989" t="n">
        <v>6710.36</v>
      </c>
      <c r="I989" t="n">
        <v>11662</v>
      </c>
      <c r="J989" t="n">
        <v>-4951.64</v>
      </c>
    </row>
    <row r="990">
      <c r="A990" t="inlineStr">
        <is>
          <t>a5211e880545c49f582926531f084fc05c2c8bcdc11207a166ec87e797b1d85c</t>
        </is>
      </c>
      <c r="B990" t="inlineStr">
        <is>
          <t>Visma Enterprise (BOOM)</t>
        </is>
      </c>
      <c r="C990" t="n">
        <v>6</v>
      </c>
      <c r="D990" t="n">
        <v>28</v>
      </c>
      <c r="E990" t="n">
        <v>8</v>
      </c>
      <c r="F990" t="n">
        <v>20240501</v>
      </c>
      <c r="G990" t="n">
        <v>3213.92</v>
      </c>
      <c r="H990" t="n">
        <v>3213.92</v>
      </c>
      <c r="I990" t="n">
        <v>11662</v>
      </c>
      <c r="J990" t="n">
        <v>-8448.08</v>
      </c>
    </row>
    <row r="991">
      <c r="A991" t="inlineStr">
        <is>
          <t>8cc72cc5b2f11393868bca29cfe3f35954082a1789b7c1f8cdd0081238cd8939</t>
        </is>
      </c>
      <c r="B991" t="inlineStr">
        <is>
          <t>Visma Enterprise (BOOM)</t>
        </is>
      </c>
      <c r="C991" t="n">
        <v>6</v>
      </c>
      <c r="D991" t="n">
        <v>28</v>
      </c>
      <c r="E991" t="n">
        <v>8</v>
      </c>
      <c r="F991" t="n">
        <v>20240601</v>
      </c>
      <c r="G991" t="n">
        <v>7138.93</v>
      </c>
      <c r="H991" t="n">
        <v>7138.93</v>
      </c>
      <c r="I991" t="n">
        <v>11662</v>
      </c>
      <c r="J991" t="n">
        <v>-4523.07</v>
      </c>
    </row>
    <row r="992">
      <c r="A992" t="inlineStr">
        <is>
          <t>01a10ef91dc50d2269b83ba61e356251587f5bb35f6c38f8ae0d6640c784c0f4</t>
        </is>
      </c>
      <c r="B992" t="inlineStr">
        <is>
          <t>Visma Enterprise (BOOM)</t>
        </is>
      </c>
      <c r="C992" t="n">
        <v>6</v>
      </c>
      <c r="D992" t="n">
        <v>28</v>
      </c>
      <c r="E992" t="n">
        <v>8</v>
      </c>
      <c r="F992" t="n">
        <v>20240701</v>
      </c>
      <c r="G992" t="n">
        <v>1353.12</v>
      </c>
      <c r="H992" t="n">
        <v>1353.12</v>
      </c>
      <c r="I992" t="n">
        <v>11662</v>
      </c>
      <c r="J992" t="n">
        <v>-10308.88</v>
      </c>
    </row>
    <row r="993">
      <c r="A993" t="inlineStr">
        <is>
          <t>794cf0b79b534733eb5e9550451f2df9d31383087a43f61d7e312c41a4a768e5</t>
        </is>
      </c>
      <c r="B993" t="inlineStr">
        <is>
          <t>Visma Enterprise (BOOM)</t>
        </is>
      </c>
      <c r="C993" t="n">
        <v>6</v>
      </c>
      <c r="D993" t="n">
        <v>28</v>
      </c>
      <c r="E993" t="n">
        <v>8</v>
      </c>
      <c r="F993" t="n">
        <v>20240801</v>
      </c>
      <c r="G993" t="n">
        <v>3549.55</v>
      </c>
      <c r="H993" t="n">
        <v>3549.55</v>
      </c>
      <c r="I993" t="n">
        <v>11662</v>
      </c>
      <c r="J993" t="n">
        <v>-8112.45</v>
      </c>
    </row>
    <row r="994">
      <c r="A994" t="inlineStr">
        <is>
          <t>9789ee8f5044197c79065c25402a78781838faacc168f5b629444665f3360eaa</t>
        </is>
      </c>
      <c r="B994" t="inlineStr">
        <is>
          <t>Visma Enterprise (BOOM)</t>
        </is>
      </c>
      <c r="C994" t="n">
        <v>6</v>
      </c>
      <c r="D994" t="n">
        <v>28</v>
      </c>
      <c r="E994" t="n">
        <v>8</v>
      </c>
      <c r="F994" t="n">
        <v>20240901</v>
      </c>
      <c r="G994" t="n">
        <v>0</v>
      </c>
      <c r="H994" t="n">
        <v>0</v>
      </c>
      <c r="I994" t="n">
        <v>11662</v>
      </c>
      <c r="J994" t="n">
        <v>-11662</v>
      </c>
    </row>
    <row r="995">
      <c r="A995" t="inlineStr">
        <is>
          <t>d20a6c8e86cb1bb197e8c4a36ae1879fc96b26166a93dca87b3e7b3c850ccc28</t>
        </is>
      </c>
      <c r="B995" t="inlineStr">
        <is>
          <t>Visma Enterprise (BOOM)</t>
        </is>
      </c>
      <c r="C995" t="n">
        <v>6</v>
      </c>
      <c r="D995" t="n">
        <v>28</v>
      </c>
      <c r="E995" t="n">
        <v>8</v>
      </c>
      <c r="F995" t="n">
        <v>20241001</v>
      </c>
      <c r="G995" t="n">
        <v>0</v>
      </c>
      <c r="H995" t="n">
        <v>0</v>
      </c>
      <c r="I995" t="n">
        <v>11662</v>
      </c>
      <c r="J995" t="n">
        <v>-11662</v>
      </c>
    </row>
    <row r="996">
      <c r="A996" t="inlineStr">
        <is>
          <t>887b9ab327f0cfa060d07af894080efb21aa90394dcd923541e4dade39b8fdd4</t>
        </is>
      </c>
      <c r="B996" t="inlineStr">
        <is>
          <t>Visma Enterprise (BOOM)</t>
        </is>
      </c>
      <c r="C996" t="n">
        <v>6</v>
      </c>
      <c r="D996" t="n">
        <v>28</v>
      </c>
      <c r="E996" t="n">
        <v>8</v>
      </c>
      <c r="F996" t="n">
        <v>20241101</v>
      </c>
      <c r="G996" t="n">
        <v>0</v>
      </c>
      <c r="H996" t="n">
        <v>0</v>
      </c>
      <c r="I996" t="n">
        <v>11662</v>
      </c>
      <c r="J996" t="n">
        <v>-11662</v>
      </c>
    </row>
    <row r="997">
      <c r="A997" t="inlineStr">
        <is>
          <t>137269dc8198c9942d2afc8f2ed5fcb729a93020f266cf33b346c51e8887e194</t>
        </is>
      </c>
      <c r="B997" t="inlineStr">
        <is>
          <t>Visma Enterprise (BOOM)</t>
        </is>
      </c>
      <c r="C997" t="n">
        <v>6</v>
      </c>
      <c r="D997" t="n">
        <v>28</v>
      </c>
      <c r="E997" t="n">
        <v>8</v>
      </c>
      <c r="F997" t="n">
        <v>20241201</v>
      </c>
      <c r="G997" t="n">
        <v>0</v>
      </c>
      <c r="H997" t="n">
        <v>0</v>
      </c>
      <c r="I997" t="n">
        <v>11718</v>
      </c>
      <c r="J997" t="n">
        <v>-11718</v>
      </c>
    </row>
    <row r="998">
      <c r="A998" t="inlineStr">
        <is>
          <t>b8ef1120e5030f3fd027da6b3924450fdb5cff9aab81ce9fa4085781a9f64bd4</t>
        </is>
      </c>
      <c r="B998" t="inlineStr">
        <is>
          <t>Visma Enterprise (BOOM)</t>
        </is>
      </c>
      <c r="C998" t="n">
        <v>6</v>
      </c>
      <c r="D998" t="n">
        <v>29</v>
      </c>
      <c r="E998" t="n">
        <v>8</v>
      </c>
      <c r="F998" t="n">
        <v>20240101</v>
      </c>
      <c r="G998" t="n">
        <v>-5070.82</v>
      </c>
      <c r="H998" t="n">
        <v>-5070.82</v>
      </c>
      <c r="I998" t="n">
        <v>-11662</v>
      </c>
      <c r="J998" t="n">
        <v>6591.18</v>
      </c>
    </row>
    <row r="999">
      <c r="A999" t="inlineStr">
        <is>
          <t>0df0a88cbfca125e2d9301b7a957bbbe40433a4f69684c453764cb72fc4109d4</t>
        </is>
      </c>
      <c r="B999" t="inlineStr">
        <is>
          <t>Visma Enterprise (BOOM)</t>
        </is>
      </c>
      <c r="C999" t="n">
        <v>6</v>
      </c>
      <c r="D999" t="n">
        <v>29</v>
      </c>
      <c r="E999" t="n">
        <v>8</v>
      </c>
      <c r="F999" t="n">
        <v>20240201</v>
      </c>
      <c r="G999" t="n">
        <v>-7325.59</v>
      </c>
      <c r="H999" t="n">
        <v>-7325.59</v>
      </c>
      <c r="I999" t="n">
        <v>-11662</v>
      </c>
      <c r="J999" t="n">
        <v>4336.41</v>
      </c>
    </row>
    <row r="1000">
      <c r="A1000" t="inlineStr">
        <is>
          <t>dc4ae7929c8cca6f3af3736809bee4587f81178984b76e15bdb27c2b74f5540c</t>
        </is>
      </c>
      <c r="B1000" t="inlineStr">
        <is>
          <t>Visma Enterprise (BOOM)</t>
        </is>
      </c>
      <c r="C1000" t="n">
        <v>6</v>
      </c>
      <c r="D1000" t="n">
        <v>29</v>
      </c>
      <c r="E1000" t="n">
        <v>8</v>
      </c>
      <c r="F1000" t="n">
        <v>20240301</v>
      </c>
      <c r="G1000" t="n">
        <v>-854.99</v>
      </c>
      <c r="H1000" t="n">
        <v>-854.99</v>
      </c>
      <c r="I1000" t="n">
        <v>-11662</v>
      </c>
      <c r="J1000" t="n">
        <v>10807.01</v>
      </c>
    </row>
    <row r="1001">
      <c r="A1001" t="inlineStr">
        <is>
          <t>a11e82b614530be2e9d3ba2ef4fd84a648c9948c02df87681ad5d6e23b8951e2</t>
        </is>
      </c>
      <c r="B1001" t="inlineStr">
        <is>
          <t>Visma Enterprise (BOOM)</t>
        </is>
      </c>
      <c r="C1001" t="n">
        <v>6</v>
      </c>
      <c r="D1001" t="n">
        <v>29</v>
      </c>
      <c r="E1001" t="n">
        <v>8</v>
      </c>
      <c r="F1001" t="n">
        <v>20240401</v>
      </c>
      <c r="G1001" t="n">
        <v>-6710.36</v>
      </c>
      <c r="H1001" t="n">
        <v>-6710.36</v>
      </c>
      <c r="I1001" t="n">
        <v>-11662</v>
      </c>
      <c r="J1001" t="n">
        <v>4951.64</v>
      </c>
    </row>
    <row r="1002">
      <c r="A1002" t="inlineStr">
        <is>
          <t>61c8c5cdd74a241a957278f827b11a18321dfc3a960adb64e58ee5e1b1d39b28</t>
        </is>
      </c>
      <c r="B1002" t="inlineStr">
        <is>
          <t>Visma Enterprise (BOOM)</t>
        </is>
      </c>
      <c r="C1002" t="n">
        <v>6</v>
      </c>
      <c r="D1002" t="n">
        <v>29</v>
      </c>
      <c r="E1002" t="n">
        <v>8</v>
      </c>
      <c r="F1002" t="n">
        <v>20240501</v>
      </c>
      <c r="G1002" t="n">
        <v>-3213.92</v>
      </c>
      <c r="H1002" t="n">
        <v>-3213.92</v>
      </c>
      <c r="I1002" t="n">
        <v>-11662</v>
      </c>
      <c r="J1002" t="n">
        <v>8448.08</v>
      </c>
    </row>
    <row r="1003">
      <c r="A1003" t="inlineStr">
        <is>
          <t>22ea601576b4da4c39aacbb9cf49ce8ead87da0f0bf6d48eeb9fd984d58f8b61</t>
        </is>
      </c>
      <c r="B1003" t="inlineStr">
        <is>
          <t>Visma Enterprise (BOOM)</t>
        </is>
      </c>
      <c r="C1003" t="n">
        <v>6</v>
      </c>
      <c r="D1003" t="n">
        <v>29</v>
      </c>
      <c r="E1003" t="n">
        <v>8</v>
      </c>
      <c r="F1003" t="n">
        <v>20240601</v>
      </c>
      <c r="G1003" t="n">
        <v>-7138.93</v>
      </c>
      <c r="H1003" t="n">
        <v>-7138.93</v>
      </c>
      <c r="I1003" t="n">
        <v>-11662</v>
      </c>
      <c r="J1003" t="n">
        <v>4523.07</v>
      </c>
    </row>
    <row r="1004">
      <c r="A1004" t="inlineStr">
        <is>
          <t>e4fd17503d4a1a5ca3822f2d59fcd082b84f16c8bcc0197ec3f9883ba81ba8bf</t>
        </is>
      </c>
      <c r="B1004" t="inlineStr">
        <is>
          <t>Visma Enterprise (BOOM)</t>
        </is>
      </c>
      <c r="C1004" t="n">
        <v>6</v>
      </c>
      <c r="D1004" t="n">
        <v>29</v>
      </c>
      <c r="E1004" t="n">
        <v>8</v>
      </c>
      <c r="F1004" t="n">
        <v>20240701</v>
      </c>
      <c r="G1004" t="n">
        <v>-1353.12</v>
      </c>
      <c r="H1004" t="n">
        <v>-1353.12</v>
      </c>
      <c r="I1004" t="n">
        <v>-11662</v>
      </c>
      <c r="J1004" t="n">
        <v>10308.88</v>
      </c>
    </row>
    <row r="1005">
      <c r="A1005" t="inlineStr">
        <is>
          <t>7fb85c24d7929a19de550582e9f3d8dcc4a8ba3875b5d6a5a010b28cc0101104</t>
        </is>
      </c>
      <c r="B1005" t="inlineStr">
        <is>
          <t>Visma Enterprise (BOOM)</t>
        </is>
      </c>
      <c r="C1005" t="n">
        <v>6</v>
      </c>
      <c r="D1005" t="n">
        <v>29</v>
      </c>
      <c r="E1005" t="n">
        <v>8</v>
      </c>
      <c r="F1005" t="n">
        <v>20240801</v>
      </c>
      <c r="G1005" t="n">
        <v>-3549.55</v>
      </c>
      <c r="H1005" t="n">
        <v>-3549.55</v>
      </c>
      <c r="I1005" t="n">
        <v>-11662</v>
      </c>
      <c r="J1005" t="n">
        <v>8112.45</v>
      </c>
    </row>
    <row r="1006">
      <c r="A1006" t="inlineStr">
        <is>
          <t>c5226520434932d3df32a5ae2f0473fcc9b311403ac25231dba026fefd9c4d7f</t>
        </is>
      </c>
      <c r="B1006" t="inlineStr">
        <is>
          <t>Visma Enterprise (BOOM)</t>
        </is>
      </c>
      <c r="C1006" t="n">
        <v>6</v>
      </c>
      <c r="D1006" t="n">
        <v>29</v>
      </c>
      <c r="E1006" t="n">
        <v>8</v>
      </c>
      <c r="F1006" t="n">
        <v>20240901</v>
      </c>
      <c r="G1006" t="n">
        <v>0</v>
      </c>
      <c r="H1006" t="n">
        <v>0</v>
      </c>
      <c r="I1006" t="n">
        <v>-11662</v>
      </c>
      <c r="J1006" t="n">
        <v>11662</v>
      </c>
    </row>
    <row r="1007">
      <c r="A1007" t="inlineStr">
        <is>
          <t>09008d461b1c18f74be01f8aca1ab3070f7561c80ea6907b9c01c9bc7ce4fa68</t>
        </is>
      </c>
      <c r="B1007" t="inlineStr">
        <is>
          <t>Visma Enterprise (BOOM)</t>
        </is>
      </c>
      <c r="C1007" t="n">
        <v>6</v>
      </c>
      <c r="D1007" t="n">
        <v>29</v>
      </c>
      <c r="E1007" t="n">
        <v>8</v>
      </c>
      <c r="F1007" t="n">
        <v>20241001</v>
      </c>
      <c r="G1007" t="n">
        <v>0</v>
      </c>
      <c r="H1007" t="n">
        <v>0</v>
      </c>
      <c r="I1007" t="n">
        <v>-11662</v>
      </c>
      <c r="J1007" t="n">
        <v>11662</v>
      </c>
    </row>
    <row r="1008">
      <c r="A1008" t="inlineStr">
        <is>
          <t>a16f7791f1b1a2938f1d9d5673b05f0a9e461beaa8c1a1d544f6f9917137248c</t>
        </is>
      </c>
      <c r="B1008" t="inlineStr">
        <is>
          <t>Visma Enterprise (BOOM)</t>
        </is>
      </c>
      <c r="C1008" t="n">
        <v>6</v>
      </c>
      <c r="D1008" t="n">
        <v>29</v>
      </c>
      <c r="E1008" t="n">
        <v>8</v>
      </c>
      <c r="F1008" t="n">
        <v>20241101</v>
      </c>
      <c r="G1008" t="n">
        <v>0</v>
      </c>
      <c r="H1008" t="n">
        <v>0</v>
      </c>
      <c r="I1008" t="n">
        <v>-11662</v>
      </c>
      <c r="J1008" t="n">
        <v>11662</v>
      </c>
    </row>
    <row r="1009">
      <c r="A1009" t="inlineStr">
        <is>
          <t>60250b67d11121717646a3166165436a1179e1f45ec0c2db3d4d3e3f8054a93d</t>
        </is>
      </c>
      <c r="B1009" t="inlineStr">
        <is>
          <t>Visma Enterprise (BOOM)</t>
        </is>
      </c>
      <c r="C1009" t="n">
        <v>6</v>
      </c>
      <c r="D1009" t="n">
        <v>29</v>
      </c>
      <c r="E1009" t="n">
        <v>8</v>
      </c>
      <c r="F1009" t="n">
        <v>20241201</v>
      </c>
      <c r="G1009" t="n">
        <v>0</v>
      </c>
      <c r="H1009" t="n">
        <v>0</v>
      </c>
      <c r="I1009" t="n">
        <v>-11718</v>
      </c>
      <c r="J1009" t="n">
        <v>11718</v>
      </c>
    </row>
    <row r="1010">
      <c r="A1010" t="inlineStr">
        <is>
          <t>f2855ac5dd195e6661d7fe1784b82885d424b2eb88166821b94be234e8a6cd25</t>
        </is>
      </c>
      <c r="B1010" t="inlineStr">
        <is>
          <t>Visma Enterprise (BOOM)</t>
        </is>
      </c>
      <c r="C1010" t="n">
        <v>6</v>
      </c>
      <c r="D1010" t="n">
        <v>30</v>
      </c>
      <c r="E1010" t="n">
        <v>8</v>
      </c>
      <c r="F1010" t="n">
        <v>20240101</v>
      </c>
      <c r="G1010" t="n">
        <v>0</v>
      </c>
      <c r="H1010" t="n">
        <v>0</v>
      </c>
      <c r="I1010" t="n">
        <v>0</v>
      </c>
      <c r="J1010" t="n">
        <v>0</v>
      </c>
    </row>
    <row r="1011">
      <c r="A1011" t="inlineStr">
        <is>
          <t>9fcf9f7793fa56253f27cc07135727739a05aa39fbaee5672e91c8e20bad9ad5</t>
        </is>
      </c>
      <c r="B1011" t="inlineStr">
        <is>
          <t>Visma Enterprise (BOOM)</t>
        </is>
      </c>
      <c r="C1011" t="n">
        <v>6</v>
      </c>
      <c r="D1011" t="n">
        <v>30</v>
      </c>
      <c r="E1011" t="n">
        <v>8</v>
      </c>
      <c r="F1011" t="n">
        <v>20240201</v>
      </c>
      <c r="G1011" t="n">
        <v>0</v>
      </c>
      <c r="H1011" t="n">
        <v>0</v>
      </c>
      <c r="I1011" t="n">
        <v>0</v>
      </c>
      <c r="J1011" t="n">
        <v>0</v>
      </c>
    </row>
    <row r="1012">
      <c r="A1012" t="inlineStr">
        <is>
          <t>19b9c8b4e3391adae117becb64af5bcae03609d823aea836c6f6eca134bf6f30</t>
        </is>
      </c>
      <c r="B1012" t="inlineStr">
        <is>
          <t>Visma Enterprise (BOOM)</t>
        </is>
      </c>
      <c r="C1012" t="n">
        <v>6</v>
      </c>
      <c r="D1012" t="n">
        <v>30</v>
      </c>
      <c r="E1012" t="n">
        <v>8</v>
      </c>
      <c r="F1012" t="n">
        <v>20240301</v>
      </c>
      <c r="G1012" t="n">
        <v>9.27</v>
      </c>
      <c r="H1012" t="n">
        <v>9.27</v>
      </c>
      <c r="I1012" t="n">
        <v>0</v>
      </c>
      <c r="J1012" t="n">
        <v>9.27</v>
      </c>
    </row>
    <row r="1013">
      <c r="A1013" t="inlineStr">
        <is>
          <t>7ac2fa542df69768d697a76312bf4ad4b6aa3e8173299ccdc79e7d540ea6efe5</t>
        </is>
      </c>
      <c r="B1013" t="inlineStr">
        <is>
          <t>Visma Enterprise (BOOM)</t>
        </is>
      </c>
      <c r="C1013" t="n">
        <v>6</v>
      </c>
      <c r="D1013" t="n">
        <v>30</v>
      </c>
      <c r="E1013" t="n">
        <v>8</v>
      </c>
      <c r="F1013" t="n">
        <v>20240401</v>
      </c>
      <c r="G1013" t="n">
        <v>0</v>
      </c>
      <c r="H1013" t="n">
        <v>0</v>
      </c>
      <c r="I1013" t="n">
        <v>0</v>
      </c>
      <c r="J1013" t="n">
        <v>0</v>
      </c>
    </row>
    <row r="1014">
      <c r="A1014" t="inlineStr">
        <is>
          <t>a63b7b62cbdd69d99502b9db2985439a4b769e581451755eaa92c0a6bf606934</t>
        </is>
      </c>
      <c r="B1014" t="inlineStr">
        <is>
          <t>Visma Enterprise (BOOM)</t>
        </is>
      </c>
      <c r="C1014" t="n">
        <v>6</v>
      </c>
      <c r="D1014" t="n">
        <v>30</v>
      </c>
      <c r="E1014" t="n">
        <v>8</v>
      </c>
      <c r="F1014" t="n">
        <v>20240501</v>
      </c>
      <c r="G1014" t="n">
        <v>0</v>
      </c>
      <c r="H1014" t="n">
        <v>0</v>
      </c>
      <c r="I1014" t="n">
        <v>0</v>
      </c>
      <c r="J1014" t="n">
        <v>0</v>
      </c>
    </row>
    <row r="1015">
      <c r="A1015" t="inlineStr">
        <is>
          <t>ce63d07d0a17f334e4a511c833f8a66d2b437736c10c455aaaa07226d34ff70a</t>
        </is>
      </c>
      <c r="B1015" t="inlineStr">
        <is>
          <t>Visma Enterprise (BOOM)</t>
        </is>
      </c>
      <c r="C1015" t="n">
        <v>6</v>
      </c>
      <c r="D1015" t="n">
        <v>30</v>
      </c>
      <c r="E1015" t="n">
        <v>8</v>
      </c>
      <c r="F1015" t="n">
        <v>20240601</v>
      </c>
      <c r="G1015" t="n">
        <v>0</v>
      </c>
      <c r="H1015" t="n">
        <v>0</v>
      </c>
      <c r="I1015" t="n">
        <v>0</v>
      </c>
      <c r="J1015" t="n">
        <v>0</v>
      </c>
    </row>
    <row r="1016">
      <c r="A1016" t="inlineStr">
        <is>
          <t>fd6839d9fcc3275707395f7f4eb52cc4a10c414e19fac40bab61a7ac2c875f5f</t>
        </is>
      </c>
      <c r="B1016" t="inlineStr">
        <is>
          <t>Visma Enterprise (BOOM)</t>
        </is>
      </c>
      <c r="C1016" t="n">
        <v>6</v>
      </c>
      <c r="D1016" t="n">
        <v>30</v>
      </c>
      <c r="E1016" t="n">
        <v>8</v>
      </c>
      <c r="F1016" t="n">
        <v>20240701</v>
      </c>
      <c r="G1016" t="n">
        <v>0</v>
      </c>
      <c r="H1016" t="n">
        <v>0</v>
      </c>
      <c r="I1016" t="n">
        <v>0</v>
      </c>
      <c r="J1016" t="n">
        <v>0</v>
      </c>
    </row>
    <row r="1017">
      <c r="A1017" t="inlineStr">
        <is>
          <t>a182954f7a9c510a790b863abba90dcb22868a21725b6d4d602a69e3eb080c87</t>
        </is>
      </c>
      <c r="B1017" t="inlineStr">
        <is>
          <t>Visma Enterprise (BOOM)</t>
        </is>
      </c>
      <c r="C1017" t="n">
        <v>6</v>
      </c>
      <c r="D1017" t="n">
        <v>30</v>
      </c>
      <c r="E1017" t="n">
        <v>8</v>
      </c>
      <c r="F1017" t="n">
        <v>20240801</v>
      </c>
      <c r="G1017" t="n">
        <v>0</v>
      </c>
      <c r="H1017" t="n">
        <v>0</v>
      </c>
      <c r="I1017" t="n">
        <v>0</v>
      </c>
      <c r="J1017" t="n">
        <v>0</v>
      </c>
    </row>
    <row r="1018">
      <c r="A1018" t="inlineStr">
        <is>
          <t>825df96472523aceb6d80292a92e345566964e0b92d3319263c57371366bae44</t>
        </is>
      </c>
      <c r="B1018" t="inlineStr">
        <is>
          <t>Visma Enterprise (BOOM)</t>
        </is>
      </c>
      <c r="C1018" t="n">
        <v>6</v>
      </c>
      <c r="D1018" t="n">
        <v>30</v>
      </c>
      <c r="E1018" t="n">
        <v>8</v>
      </c>
      <c r="F1018" t="n">
        <v>20240901</v>
      </c>
      <c r="G1018" t="n">
        <v>0</v>
      </c>
      <c r="H1018" t="n">
        <v>0</v>
      </c>
      <c r="I1018" t="n">
        <v>0</v>
      </c>
      <c r="J1018" t="n">
        <v>0</v>
      </c>
    </row>
    <row r="1019">
      <c r="A1019" t="inlineStr">
        <is>
          <t>f9a72ce38b2fd8b64542b03f3e798bb587245ea825f0c886ec2c390a17fab104</t>
        </is>
      </c>
      <c r="B1019" t="inlineStr">
        <is>
          <t>Visma Enterprise (BOOM)</t>
        </is>
      </c>
      <c r="C1019" t="n">
        <v>6</v>
      </c>
      <c r="D1019" t="n">
        <v>30</v>
      </c>
      <c r="E1019" t="n">
        <v>8</v>
      </c>
      <c r="F1019" t="n">
        <v>20241001</v>
      </c>
      <c r="G1019" t="n">
        <v>0</v>
      </c>
      <c r="H1019" t="n">
        <v>0</v>
      </c>
      <c r="I1019" t="n">
        <v>0</v>
      </c>
      <c r="J1019" t="n">
        <v>0</v>
      </c>
    </row>
    <row r="1020">
      <c r="A1020" t="inlineStr">
        <is>
          <t>8210e5383d55b084d0c031dbe3ef8596861693ba0db835127dd305f81a66cc4d</t>
        </is>
      </c>
      <c r="B1020" t="inlineStr">
        <is>
          <t>Visma Enterprise (BOOM)</t>
        </is>
      </c>
      <c r="C1020" t="n">
        <v>6</v>
      </c>
      <c r="D1020" t="n">
        <v>30</v>
      </c>
      <c r="E1020" t="n">
        <v>8</v>
      </c>
      <c r="F1020" t="n">
        <v>20241101</v>
      </c>
      <c r="G1020" t="n">
        <v>0</v>
      </c>
      <c r="H1020" t="n">
        <v>0</v>
      </c>
      <c r="I1020" t="n">
        <v>0</v>
      </c>
      <c r="J1020" t="n">
        <v>0</v>
      </c>
    </row>
    <row r="1021">
      <c r="A1021" t="inlineStr">
        <is>
          <t>34b30515ae70f159c55a5e4ba9cbbf4a24ed80cef1eb5300251c167bb652ae00</t>
        </is>
      </c>
      <c r="B1021" t="inlineStr">
        <is>
          <t>Visma Enterprise (BOOM)</t>
        </is>
      </c>
      <c r="C1021" t="n">
        <v>6</v>
      </c>
      <c r="D1021" t="n">
        <v>30</v>
      </c>
      <c r="E1021" t="n">
        <v>8</v>
      </c>
      <c r="F1021" t="n">
        <v>20241201</v>
      </c>
      <c r="G1021" t="n">
        <v>0</v>
      </c>
      <c r="H1021" t="n">
        <v>0</v>
      </c>
      <c r="I1021" t="n">
        <v>0</v>
      </c>
      <c r="J1021" t="n">
        <v>0</v>
      </c>
    </row>
    <row r="1022">
      <c r="A1022" t="inlineStr">
        <is>
          <t>cb53b077a913d2db4e1fb6d3460bfe60194321daf521dbe0585cb80aa012a506</t>
        </is>
      </c>
      <c r="B1022" t="inlineStr">
        <is>
          <t>Visma Enterprise (BOOM)</t>
        </is>
      </c>
      <c r="C1022" t="n">
        <v>6</v>
      </c>
      <c r="D1022" t="n">
        <v>31</v>
      </c>
      <c r="E1022" t="n">
        <v>8</v>
      </c>
      <c r="F1022" t="n">
        <v>20240101</v>
      </c>
      <c r="G1022" t="n">
        <v>0</v>
      </c>
      <c r="H1022" t="n">
        <v>0</v>
      </c>
      <c r="I1022" t="n">
        <v>14</v>
      </c>
      <c r="J1022" t="n">
        <v>-14</v>
      </c>
    </row>
    <row r="1023">
      <c r="A1023" t="inlineStr">
        <is>
          <t>9eb7035f2cc7ad6dc0359ce8717eda33438dbdea524d7adbefd917a950cc548f</t>
        </is>
      </c>
      <c r="B1023" t="inlineStr">
        <is>
          <t>Visma Enterprise (BOOM)</t>
        </is>
      </c>
      <c r="C1023" t="n">
        <v>6</v>
      </c>
      <c r="D1023" t="n">
        <v>31</v>
      </c>
      <c r="E1023" t="n">
        <v>8</v>
      </c>
      <c r="F1023" t="n">
        <v>20240201</v>
      </c>
      <c r="G1023" t="n">
        <v>0</v>
      </c>
      <c r="H1023" t="n">
        <v>0</v>
      </c>
      <c r="I1023" t="n">
        <v>14</v>
      </c>
      <c r="J1023" t="n">
        <v>-14</v>
      </c>
    </row>
    <row r="1024">
      <c r="A1024" t="inlineStr">
        <is>
          <t>25ce0cf375cb5ddfb31273cbbcd14064002b26cd287d837712c6f5f5d32d3c94</t>
        </is>
      </c>
      <c r="B1024" t="inlineStr">
        <is>
          <t>Visma Enterprise (BOOM)</t>
        </is>
      </c>
      <c r="C1024" t="n">
        <v>6</v>
      </c>
      <c r="D1024" t="n">
        <v>31</v>
      </c>
      <c r="E1024" t="n">
        <v>8</v>
      </c>
      <c r="F1024" t="n">
        <v>20240301</v>
      </c>
      <c r="G1024" t="n">
        <v>0</v>
      </c>
      <c r="H1024" t="n">
        <v>0</v>
      </c>
      <c r="I1024" t="n">
        <v>14</v>
      </c>
      <c r="J1024" t="n">
        <v>-14</v>
      </c>
    </row>
    <row r="1025">
      <c r="A1025" t="inlineStr">
        <is>
          <t>70627c55be47352cbaed25b43b40ca2fe992ccd99eb5b10e964232bbcf094347</t>
        </is>
      </c>
      <c r="B1025" t="inlineStr">
        <is>
          <t>Visma Enterprise (BOOM)</t>
        </is>
      </c>
      <c r="C1025" t="n">
        <v>6</v>
      </c>
      <c r="D1025" t="n">
        <v>31</v>
      </c>
      <c r="E1025" t="n">
        <v>8</v>
      </c>
      <c r="F1025" t="n">
        <v>20240401</v>
      </c>
      <c r="G1025" t="n">
        <v>0</v>
      </c>
      <c r="H1025" t="n">
        <v>0</v>
      </c>
      <c r="I1025" t="n">
        <v>14</v>
      </c>
      <c r="J1025" t="n">
        <v>-14</v>
      </c>
    </row>
    <row r="1026">
      <c r="A1026" t="inlineStr">
        <is>
          <t>1945e254b276f1b44d91d6142f8b847a8a462f996ac2121e5e1634b6c0c7294c</t>
        </is>
      </c>
      <c r="B1026" t="inlineStr">
        <is>
          <t>Visma Enterprise (BOOM)</t>
        </is>
      </c>
      <c r="C1026" t="n">
        <v>6</v>
      </c>
      <c r="D1026" t="n">
        <v>31</v>
      </c>
      <c r="E1026" t="n">
        <v>8</v>
      </c>
      <c r="F1026" t="n">
        <v>20240501</v>
      </c>
      <c r="G1026" t="n">
        <v>0</v>
      </c>
      <c r="H1026" t="n">
        <v>0</v>
      </c>
      <c r="I1026" t="n">
        <v>14</v>
      </c>
      <c r="J1026" t="n">
        <v>-14</v>
      </c>
    </row>
    <row r="1027">
      <c r="A1027" t="inlineStr">
        <is>
          <t>ccfb53dfce1d18adb43ac5710c895a31ba60a3568960759cbb0da64faf7b1c39</t>
        </is>
      </c>
      <c r="B1027" t="inlineStr">
        <is>
          <t>Visma Enterprise (BOOM)</t>
        </is>
      </c>
      <c r="C1027" t="n">
        <v>6</v>
      </c>
      <c r="D1027" t="n">
        <v>31</v>
      </c>
      <c r="E1027" t="n">
        <v>8</v>
      </c>
      <c r="F1027" t="n">
        <v>20240601</v>
      </c>
      <c r="G1027" t="n">
        <v>0</v>
      </c>
      <c r="H1027" t="n">
        <v>0</v>
      </c>
      <c r="I1027" t="n">
        <v>14</v>
      </c>
      <c r="J1027" t="n">
        <v>-14</v>
      </c>
    </row>
    <row r="1028">
      <c r="A1028" t="inlineStr">
        <is>
          <t>5b8b0ea925cef29c6a08d605890da0fd32cd6fdfb9dad1ab2edd60b9f7dd57c3</t>
        </is>
      </c>
      <c r="B1028" t="inlineStr">
        <is>
          <t>Visma Enterprise (BOOM)</t>
        </is>
      </c>
      <c r="C1028" t="n">
        <v>6</v>
      </c>
      <c r="D1028" t="n">
        <v>31</v>
      </c>
      <c r="E1028" t="n">
        <v>8</v>
      </c>
      <c r="F1028" t="n">
        <v>20240701</v>
      </c>
      <c r="G1028" t="n">
        <v>0</v>
      </c>
      <c r="H1028" t="n">
        <v>0</v>
      </c>
      <c r="I1028" t="n">
        <v>14</v>
      </c>
      <c r="J1028" t="n">
        <v>-14</v>
      </c>
    </row>
    <row r="1029">
      <c r="A1029" t="inlineStr">
        <is>
          <t>de474c3ca14fcc22f2433c6da811d4b150234d6d2df0e6ebd4924fe021efae70</t>
        </is>
      </c>
      <c r="B1029" t="inlineStr">
        <is>
          <t>Visma Enterprise (BOOM)</t>
        </is>
      </c>
      <c r="C1029" t="n">
        <v>6</v>
      </c>
      <c r="D1029" t="n">
        <v>31</v>
      </c>
      <c r="E1029" t="n">
        <v>8</v>
      </c>
      <c r="F1029" t="n">
        <v>20240801</v>
      </c>
      <c r="G1029" t="n">
        <v>0</v>
      </c>
      <c r="H1029" t="n">
        <v>0</v>
      </c>
      <c r="I1029" t="n">
        <v>14</v>
      </c>
      <c r="J1029" t="n">
        <v>-14</v>
      </c>
    </row>
    <row r="1030">
      <c r="A1030" t="inlineStr">
        <is>
          <t>a60bf6de464dc0840f29d7ab415cda9893db55b479da6af2178264db43fba938</t>
        </is>
      </c>
      <c r="B1030" t="inlineStr">
        <is>
          <t>Visma Enterprise (BOOM)</t>
        </is>
      </c>
      <c r="C1030" t="n">
        <v>6</v>
      </c>
      <c r="D1030" t="n">
        <v>31</v>
      </c>
      <c r="E1030" t="n">
        <v>8</v>
      </c>
      <c r="F1030" t="n">
        <v>20240901</v>
      </c>
      <c r="G1030" t="n">
        <v>0</v>
      </c>
      <c r="H1030" t="n">
        <v>0</v>
      </c>
      <c r="I1030" t="n">
        <v>14</v>
      </c>
      <c r="J1030" t="n">
        <v>-14</v>
      </c>
    </row>
    <row r="1031">
      <c r="A1031" t="inlineStr">
        <is>
          <t>6414eba009235486f6fc6afd41d861574744de47a50e43d31595c66207a4b46c</t>
        </is>
      </c>
      <c r="B1031" t="inlineStr">
        <is>
          <t>Visma Enterprise (BOOM)</t>
        </is>
      </c>
      <c r="C1031" t="n">
        <v>6</v>
      </c>
      <c r="D1031" t="n">
        <v>31</v>
      </c>
      <c r="E1031" t="n">
        <v>8</v>
      </c>
      <c r="F1031" t="n">
        <v>20241001</v>
      </c>
      <c r="G1031" t="n">
        <v>0</v>
      </c>
      <c r="H1031" t="n">
        <v>0</v>
      </c>
      <c r="I1031" t="n">
        <v>14</v>
      </c>
      <c r="J1031" t="n">
        <v>-14</v>
      </c>
    </row>
    <row r="1032">
      <c r="A1032" t="inlineStr">
        <is>
          <t>73ab0798ca9a1d795a9a02c88f139d3f0c1afbe67a856c111be00820ea18dad0</t>
        </is>
      </c>
      <c r="B1032" t="inlineStr">
        <is>
          <t>Visma Enterprise (BOOM)</t>
        </is>
      </c>
      <c r="C1032" t="n">
        <v>6</v>
      </c>
      <c r="D1032" t="n">
        <v>31</v>
      </c>
      <c r="E1032" t="n">
        <v>8</v>
      </c>
      <c r="F1032" t="n">
        <v>20241101</v>
      </c>
      <c r="G1032" t="n">
        <v>0</v>
      </c>
      <c r="H1032" t="n">
        <v>0</v>
      </c>
      <c r="I1032" t="n">
        <v>14</v>
      </c>
      <c r="J1032" t="n">
        <v>-14</v>
      </c>
    </row>
    <row r="1033">
      <c r="A1033" t="inlineStr">
        <is>
          <t>463a32dead5b2e466dce89be53c720db0cee315068f2024f59e5150eca9546e9</t>
        </is>
      </c>
      <c r="B1033" t="inlineStr">
        <is>
          <t>Visma Enterprise (BOOM)</t>
        </is>
      </c>
      <c r="C1033" t="n">
        <v>6</v>
      </c>
      <c r="D1033" t="n">
        <v>31</v>
      </c>
      <c r="E1033" t="n">
        <v>8</v>
      </c>
      <c r="F1033" t="n">
        <v>20241201</v>
      </c>
      <c r="G1033" t="n">
        <v>0</v>
      </c>
      <c r="H1033" t="n">
        <v>0</v>
      </c>
      <c r="I1033" t="n">
        <v>-154</v>
      </c>
      <c r="J1033" t="n">
        <v>154</v>
      </c>
    </row>
    <row r="1034">
      <c r="A1034" t="inlineStr">
        <is>
          <t>abac1327beb70b010108d66ea7f677fde070ccec499df4b5de03733c11b0dc22</t>
        </is>
      </c>
      <c r="B1034" t="inlineStr">
        <is>
          <t>Visma Enterprise (BOOM)</t>
        </is>
      </c>
      <c r="C1034" t="n">
        <v>6</v>
      </c>
      <c r="D1034" t="n">
        <v>32</v>
      </c>
      <c r="E1034" t="n">
        <v>8</v>
      </c>
      <c r="F1034" t="n">
        <v>20240101</v>
      </c>
      <c r="G1034" t="n">
        <v>0</v>
      </c>
      <c r="H1034" t="n">
        <v>0</v>
      </c>
      <c r="I1034" t="n">
        <v>0</v>
      </c>
      <c r="J1034" t="n">
        <v>0</v>
      </c>
    </row>
    <row r="1035">
      <c r="A1035" t="inlineStr">
        <is>
          <t>df47a7664dfe26deda06facd705842db5c9c45754d4f3edb05e09828cc8eacb1</t>
        </is>
      </c>
      <c r="B1035" t="inlineStr">
        <is>
          <t>Visma Enterprise (BOOM)</t>
        </is>
      </c>
      <c r="C1035" t="n">
        <v>6</v>
      </c>
      <c r="D1035" t="n">
        <v>32</v>
      </c>
      <c r="E1035" t="n">
        <v>8</v>
      </c>
      <c r="F1035" t="n">
        <v>20240201</v>
      </c>
      <c r="G1035" t="n">
        <v>0</v>
      </c>
      <c r="H1035" t="n">
        <v>0</v>
      </c>
      <c r="I1035" t="n">
        <v>0</v>
      </c>
      <c r="J1035" t="n">
        <v>0</v>
      </c>
    </row>
    <row r="1036">
      <c r="A1036" t="inlineStr">
        <is>
          <t>65f23033d76c6ed3009c987032824d7c21a362ecc9cd3baa2f2538c4832591c7</t>
        </is>
      </c>
      <c r="B1036" t="inlineStr">
        <is>
          <t>Visma Enterprise (BOOM)</t>
        </is>
      </c>
      <c r="C1036" t="n">
        <v>6</v>
      </c>
      <c r="D1036" t="n">
        <v>32</v>
      </c>
      <c r="E1036" t="n">
        <v>8</v>
      </c>
      <c r="F1036" t="n">
        <v>20240301</v>
      </c>
      <c r="G1036" t="n">
        <v>0</v>
      </c>
      <c r="H1036" t="n">
        <v>0</v>
      </c>
      <c r="I1036" t="n">
        <v>0</v>
      </c>
      <c r="J1036" t="n">
        <v>0</v>
      </c>
    </row>
    <row r="1037">
      <c r="A1037" t="inlineStr">
        <is>
          <t>1cd3c44a600e7173526ee790d0faaad6f5a25f5915b1b6ded0ba24cd49c71015</t>
        </is>
      </c>
      <c r="B1037" t="inlineStr">
        <is>
          <t>Visma Enterprise (BOOM)</t>
        </is>
      </c>
      <c r="C1037" t="n">
        <v>6</v>
      </c>
      <c r="D1037" t="n">
        <v>32</v>
      </c>
      <c r="E1037" t="n">
        <v>8</v>
      </c>
      <c r="F1037" t="n">
        <v>20240401</v>
      </c>
      <c r="G1037" t="n">
        <v>0</v>
      </c>
      <c r="H1037" t="n">
        <v>0</v>
      </c>
      <c r="I1037" t="n">
        <v>0</v>
      </c>
      <c r="J1037" t="n">
        <v>0</v>
      </c>
    </row>
    <row r="1038">
      <c r="A1038" t="inlineStr">
        <is>
          <t>267daed0faf2ad58ddb06fdc5bdf7ccc39ad1e8f60fb972e6630127f63905f3f</t>
        </is>
      </c>
      <c r="B1038" t="inlineStr">
        <is>
          <t>Visma Enterprise (BOOM)</t>
        </is>
      </c>
      <c r="C1038" t="n">
        <v>6</v>
      </c>
      <c r="D1038" t="n">
        <v>32</v>
      </c>
      <c r="E1038" t="n">
        <v>8</v>
      </c>
      <c r="F1038" t="n">
        <v>20240501</v>
      </c>
      <c r="G1038" t="n">
        <v>0</v>
      </c>
      <c r="H1038" t="n">
        <v>0</v>
      </c>
      <c r="I1038" t="n">
        <v>0</v>
      </c>
      <c r="J1038" t="n">
        <v>0</v>
      </c>
    </row>
    <row r="1039">
      <c r="A1039" t="inlineStr">
        <is>
          <t>9f54262013a64c3147a5faf79ee033f103367819b3673242fb267f8d4b9b6430</t>
        </is>
      </c>
      <c r="B1039" t="inlineStr">
        <is>
          <t>Visma Enterprise (BOOM)</t>
        </is>
      </c>
      <c r="C1039" t="n">
        <v>6</v>
      </c>
      <c r="D1039" t="n">
        <v>32</v>
      </c>
      <c r="E1039" t="n">
        <v>8</v>
      </c>
      <c r="F1039" t="n">
        <v>20240601</v>
      </c>
      <c r="G1039" t="n">
        <v>0</v>
      </c>
      <c r="H1039" t="n">
        <v>0</v>
      </c>
      <c r="I1039" t="n">
        <v>0</v>
      </c>
      <c r="J1039" t="n">
        <v>0</v>
      </c>
    </row>
    <row r="1040">
      <c r="A1040" t="inlineStr">
        <is>
          <t>e10d4b6dc4c5b70f1ffdc738e26bc18d4deb6056fbd3dddf020567fdd611c2e4</t>
        </is>
      </c>
      <c r="B1040" t="inlineStr">
        <is>
          <t>Visma Enterprise (BOOM)</t>
        </is>
      </c>
      <c r="C1040" t="n">
        <v>6</v>
      </c>
      <c r="D1040" t="n">
        <v>32</v>
      </c>
      <c r="E1040" t="n">
        <v>8</v>
      </c>
      <c r="F1040" t="n">
        <v>20240701</v>
      </c>
      <c r="G1040" t="n">
        <v>0</v>
      </c>
      <c r="H1040" t="n">
        <v>0</v>
      </c>
      <c r="I1040" t="n">
        <v>0</v>
      </c>
      <c r="J1040" t="n">
        <v>0</v>
      </c>
    </row>
    <row r="1041">
      <c r="A1041" t="inlineStr">
        <is>
          <t>faf2b34feca09aa39ff9104c13a56f560bee032bd7ed0c2d6fb2a9f8109f28b9</t>
        </is>
      </c>
      <c r="B1041" t="inlineStr">
        <is>
          <t>Visma Enterprise (BOOM)</t>
        </is>
      </c>
      <c r="C1041" t="n">
        <v>6</v>
      </c>
      <c r="D1041" t="n">
        <v>32</v>
      </c>
      <c r="E1041" t="n">
        <v>8</v>
      </c>
      <c r="F1041" t="n">
        <v>20240801</v>
      </c>
      <c r="G1041" t="n">
        <v>-7100</v>
      </c>
      <c r="H1041" t="n">
        <v>7100</v>
      </c>
      <c r="I1041" t="n">
        <v>0</v>
      </c>
      <c r="J1041" t="n">
        <v>7100</v>
      </c>
    </row>
    <row r="1042">
      <c r="A1042" t="inlineStr">
        <is>
          <t>0e060d35b54f50f6b2688efdf6fe242668b2f88521eef0d858b0a02bfe617ecd</t>
        </is>
      </c>
      <c r="B1042" t="inlineStr">
        <is>
          <t>Visma Enterprise (BOOM)</t>
        </is>
      </c>
      <c r="C1042" t="n">
        <v>6</v>
      </c>
      <c r="D1042" t="n">
        <v>32</v>
      </c>
      <c r="E1042" t="n">
        <v>8</v>
      </c>
      <c r="F1042" t="n">
        <v>20240901</v>
      </c>
      <c r="G1042" t="n">
        <v>0</v>
      </c>
      <c r="H1042" t="n">
        <v>0</v>
      </c>
      <c r="I1042" t="n">
        <v>0</v>
      </c>
      <c r="J1042" t="n">
        <v>0</v>
      </c>
    </row>
    <row r="1043">
      <c r="A1043" t="inlineStr">
        <is>
          <t>47a04b58696816929b33fe118e68f5694bce20d1a5c513f99e33587032458d38</t>
        </is>
      </c>
      <c r="B1043" t="inlineStr">
        <is>
          <t>Visma Enterprise (BOOM)</t>
        </is>
      </c>
      <c r="C1043" t="n">
        <v>6</v>
      </c>
      <c r="D1043" t="n">
        <v>32</v>
      </c>
      <c r="E1043" t="n">
        <v>8</v>
      </c>
      <c r="F1043" t="n">
        <v>20241001</v>
      </c>
      <c r="G1043" t="n">
        <v>0</v>
      </c>
      <c r="H1043" t="n">
        <v>0</v>
      </c>
      <c r="I1043" t="n">
        <v>0</v>
      </c>
      <c r="J1043" t="n">
        <v>0</v>
      </c>
    </row>
    <row r="1044">
      <c r="A1044" t="inlineStr">
        <is>
          <t>3d3eff64878a5dc2551256cf618d6eefbf76bfedf11c3d0ad27e35a810768b2d</t>
        </is>
      </c>
      <c r="B1044" t="inlineStr">
        <is>
          <t>Visma Enterprise (BOOM)</t>
        </is>
      </c>
      <c r="C1044" t="n">
        <v>6</v>
      </c>
      <c r="D1044" t="n">
        <v>32</v>
      </c>
      <c r="E1044" t="n">
        <v>8</v>
      </c>
      <c r="F1044" t="n">
        <v>20241101</v>
      </c>
      <c r="G1044" t="n">
        <v>0</v>
      </c>
      <c r="H1044" t="n">
        <v>0</v>
      </c>
      <c r="I1044" t="n">
        <v>0</v>
      </c>
      <c r="J1044" t="n">
        <v>0</v>
      </c>
    </row>
    <row r="1045">
      <c r="A1045" t="inlineStr">
        <is>
          <t>4439163275e19c2a14ba10f47b3d493e70b4672a35a682b6643a594d21b17165</t>
        </is>
      </c>
      <c r="B1045" t="inlineStr">
        <is>
          <t>Visma Enterprise (BOOM)</t>
        </is>
      </c>
      <c r="C1045" t="n">
        <v>6</v>
      </c>
      <c r="D1045" t="n">
        <v>32</v>
      </c>
      <c r="E1045" t="n">
        <v>8</v>
      </c>
      <c r="F1045" t="n">
        <v>20241201</v>
      </c>
      <c r="G1045" t="n">
        <v>0</v>
      </c>
      <c r="H1045" t="n">
        <v>0</v>
      </c>
      <c r="I1045" t="n">
        <v>0</v>
      </c>
      <c r="J1045" t="n">
        <v>0</v>
      </c>
    </row>
    <row r="1046">
      <c r="A1046" t="inlineStr">
        <is>
          <t>d971e89fbeb1ea5bc185c1119ba793a65dbbb4b319684c6e7e0d6dd1fc6ad5b9</t>
        </is>
      </c>
      <c r="B1046" t="inlineStr">
        <is>
          <t>Visma Enterprise (BOOM)</t>
        </is>
      </c>
      <c r="C1046" t="n">
        <v>6</v>
      </c>
      <c r="D1046" t="n">
        <v>33</v>
      </c>
      <c r="E1046" t="n">
        <v>8</v>
      </c>
      <c r="F1046" t="n">
        <v>20240101</v>
      </c>
      <c r="G1046" t="n">
        <v>0</v>
      </c>
      <c r="H1046" t="n">
        <v>0</v>
      </c>
      <c r="I1046" t="n">
        <v>0</v>
      </c>
      <c r="J1046" t="n">
        <v>0</v>
      </c>
    </row>
    <row r="1047">
      <c r="A1047" t="inlineStr">
        <is>
          <t>b8b2d6a82bc49ff230af267b5438a31fd6cf0a6ed6aec688720c287f218689c8</t>
        </is>
      </c>
      <c r="B1047" t="inlineStr">
        <is>
          <t>Visma Enterprise (BOOM)</t>
        </is>
      </c>
      <c r="C1047" t="n">
        <v>6</v>
      </c>
      <c r="D1047" t="n">
        <v>33</v>
      </c>
      <c r="E1047" t="n">
        <v>8</v>
      </c>
      <c r="F1047" t="n">
        <v>20240201</v>
      </c>
      <c r="G1047" t="n">
        <v>0</v>
      </c>
      <c r="H1047" t="n">
        <v>0</v>
      </c>
      <c r="I1047" t="n">
        <v>0</v>
      </c>
      <c r="J1047" t="n">
        <v>0</v>
      </c>
    </row>
    <row r="1048">
      <c r="A1048" t="inlineStr">
        <is>
          <t>00a25d106324bae3b444eeaecb473a084a9180cf7b74fb034afba6fae7b40a7c</t>
        </is>
      </c>
      <c r="B1048" t="inlineStr">
        <is>
          <t>Visma Enterprise (BOOM)</t>
        </is>
      </c>
      <c r="C1048" t="n">
        <v>6</v>
      </c>
      <c r="D1048" t="n">
        <v>33</v>
      </c>
      <c r="E1048" t="n">
        <v>8</v>
      </c>
      <c r="F1048" t="n">
        <v>20240301</v>
      </c>
      <c r="G1048" t="n">
        <v>0</v>
      </c>
      <c r="H1048" t="n">
        <v>0</v>
      </c>
      <c r="I1048" t="n">
        <v>0</v>
      </c>
      <c r="J1048" t="n">
        <v>0</v>
      </c>
    </row>
    <row r="1049">
      <c r="A1049" t="inlineStr">
        <is>
          <t>f60df25c00c5bedeaf688dc96df9a1f0efaa5c0af170c494be85adde92f66d72</t>
        </is>
      </c>
      <c r="B1049" t="inlineStr">
        <is>
          <t>Visma Enterprise (BOOM)</t>
        </is>
      </c>
      <c r="C1049" t="n">
        <v>6</v>
      </c>
      <c r="D1049" t="n">
        <v>33</v>
      </c>
      <c r="E1049" t="n">
        <v>8</v>
      </c>
      <c r="F1049" t="n">
        <v>20240401</v>
      </c>
      <c r="G1049" t="n">
        <v>0</v>
      </c>
      <c r="H1049" t="n">
        <v>0</v>
      </c>
      <c r="I1049" t="n">
        <v>0</v>
      </c>
      <c r="J1049" t="n">
        <v>0</v>
      </c>
    </row>
    <row r="1050">
      <c r="A1050" t="inlineStr">
        <is>
          <t>1292fbc5ca3b64f4a78c98552af7b40d370d7ba42d763c2c90bc11a246621811</t>
        </is>
      </c>
      <c r="B1050" t="inlineStr">
        <is>
          <t>Visma Enterprise (BOOM)</t>
        </is>
      </c>
      <c r="C1050" t="n">
        <v>6</v>
      </c>
      <c r="D1050" t="n">
        <v>33</v>
      </c>
      <c r="E1050" t="n">
        <v>8</v>
      </c>
      <c r="F1050" t="n">
        <v>20240501</v>
      </c>
      <c r="G1050" t="n">
        <v>0</v>
      </c>
      <c r="H1050" t="n">
        <v>0</v>
      </c>
      <c r="I1050" t="n">
        <v>0</v>
      </c>
      <c r="J1050" t="n">
        <v>0</v>
      </c>
    </row>
    <row r="1051">
      <c r="A1051" t="inlineStr">
        <is>
          <t>1ac18a6aae93eceaf4a0aead1b007be11d409d28f9f56c2b7de4cd1b9ab8c111</t>
        </is>
      </c>
      <c r="B1051" t="inlineStr">
        <is>
          <t>Visma Enterprise (BOOM)</t>
        </is>
      </c>
      <c r="C1051" t="n">
        <v>6</v>
      </c>
      <c r="D1051" t="n">
        <v>33</v>
      </c>
      <c r="E1051" t="n">
        <v>8</v>
      </c>
      <c r="F1051" t="n">
        <v>20240601</v>
      </c>
      <c r="G1051" t="n">
        <v>0</v>
      </c>
      <c r="H1051" t="n">
        <v>0</v>
      </c>
      <c r="I1051" t="n">
        <v>0</v>
      </c>
      <c r="J1051" t="n">
        <v>0</v>
      </c>
    </row>
    <row r="1052">
      <c r="A1052" t="inlineStr">
        <is>
          <t>d11eb55efe27f33e29eeb693e2721b0a02a929edd50beb72416fa984bb00e382</t>
        </is>
      </c>
      <c r="B1052" t="inlineStr">
        <is>
          <t>Visma Enterprise (BOOM)</t>
        </is>
      </c>
      <c r="C1052" t="n">
        <v>6</v>
      </c>
      <c r="D1052" t="n">
        <v>33</v>
      </c>
      <c r="E1052" t="n">
        <v>8</v>
      </c>
      <c r="F1052" t="n">
        <v>20240701</v>
      </c>
      <c r="G1052" t="n">
        <v>0</v>
      </c>
      <c r="H1052" t="n">
        <v>0</v>
      </c>
      <c r="I1052" t="n">
        <v>0</v>
      </c>
      <c r="J1052" t="n">
        <v>0</v>
      </c>
    </row>
    <row r="1053">
      <c r="A1053" t="inlineStr">
        <is>
          <t>059125ce2c2f8d04d95801427cf7cbf6ecb85e39c03b384f1732896a009ecb8a</t>
        </is>
      </c>
      <c r="B1053" t="inlineStr">
        <is>
          <t>Visma Enterprise (BOOM)</t>
        </is>
      </c>
      <c r="C1053" t="n">
        <v>6</v>
      </c>
      <c r="D1053" t="n">
        <v>33</v>
      </c>
      <c r="E1053" t="n">
        <v>8</v>
      </c>
      <c r="F1053" t="n">
        <v>20240801</v>
      </c>
      <c r="G1053" t="n">
        <v>-960</v>
      </c>
      <c r="H1053" t="n">
        <v>960</v>
      </c>
      <c r="I1053" t="n">
        <v>0</v>
      </c>
      <c r="J1053" t="n">
        <v>960</v>
      </c>
    </row>
    <row r="1054">
      <c r="A1054" t="inlineStr">
        <is>
          <t>73df98f811f140d0be4de4c93d998491ce7b3dc695d613a37495d50491a6117e</t>
        </is>
      </c>
      <c r="B1054" t="inlineStr">
        <is>
          <t>Visma Enterprise (BOOM)</t>
        </is>
      </c>
      <c r="C1054" t="n">
        <v>6</v>
      </c>
      <c r="D1054" t="n">
        <v>33</v>
      </c>
      <c r="E1054" t="n">
        <v>8</v>
      </c>
      <c r="F1054" t="n">
        <v>20240901</v>
      </c>
      <c r="G1054" t="n">
        <v>0</v>
      </c>
      <c r="H1054" t="n">
        <v>0</v>
      </c>
      <c r="I1054" t="n">
        <v>0</v>
      </c>
      <c r="J1054" t="n">
        <v>0</v>
      </c>
    </row>
    <row r="1055">
      <c r="A1055" t="inlineStr">
        <is>
          <t>98a2f9f5266283b3b026a8a0ed1b039ff074c4f2794ae269ffaf5fee9ef50174</t>
        </is>
      </c>
      <c r="B1055" t="inlineStr">
        <is>
          <t>Visma Enterprise (BOOM)</t>
        </is>
      </c>
      <c r="C1055" t="n">
        <v>6</v>
      </c>
      <c r="D1055" t="n">
        <v>33</v>
      </c>
      <c r="E1055" t="n">
        <v>8</v>
      </c>
      <c r="F1055" t="n">
        <v>20241001</v>
      </c>
      <c r="G1055" t="n">
        <v>0</v>
      </c>
      <c r="H1055" t="n">
        <v>0</v>
      </c>
      <c r="I1055" t="n">
        <v>0</v>
      </c>
      <c r="J1055" t="n">
        <v>0</v>
      </c>
    </row>
    <row r="1056">
      <c r="A1056" t="inlineStr">
        <is>
          <t>3b19168ed56e5a3d6db73e366f61108c3b3d243d91ff4396a204429cc0726f27</t>
        </is>
      </c>
      <c r="B1056" t="inlineStr">
        <is>
          <t>Visma Enterprise (BOOM)</t>
        </is>
      </c>
      <c r="C1056" t="n">
        <v>6</v>
      </c>
      <c r="D1056" t="n">
        <v>33</v>
      </c>
      <c r="E1056" t="n">
        <v>8</v>
      </c>
      <c r="F1056" t="n">
        <v>20241101</v>
      </c>
      <c r="G1056" t="n">
        <v>0</v>
      </c>
      <c r="H1056" t="n">
        <v>0</v>
      </c>
      <c r="I1056" t="n">
        <v>0</v>
      </c>
      <c r="J1056" t="n">
        <v>0</v>
      </c>
    </row>
    <row r="1057">
      <c r="A1057" t="inlineStr">
        <is>
          <t>f7d1cc1b0832049b1b09c58a09b8f0ce80ec57d185fb2e663c687664b9ded34c</t>
        </is>
      </c>
      <c r="B1057" t="inlineStr">
        <is>
          <t>Visma Enterprise (BOOM)</t>
        </is>
      </c>
      <c r="C1057" t="n">
        <v>6</v>
      </c>
      <c r="D1057" t="n">
        <v>33</v>
      </c>
      <c r="E1057" t="n">
        <v>8</v>
      </c>
      <c r="F1057" t="n">
        <v>20241201</v>
      </c>
      <c r="G1057" t="n">
        <v>0</v>
      </c>
      <c r="H1057" t="n">
        <v>0</v>
      </c>
      <c r="I1057" t="n">
        <v>0</v>
      </c>
      <c r="J1057" t="n">
        <v>0</v>
      </c>
    </row>
    <row r="1058">
      <c r="A1058" t="inlineStr">
        <is>
          <t>085c722c7b4d519389824b20c2df2c79a97c0e43feb9c63728a185947101efc0</t>
        </is>
      </c>
      <c r="B1058" t="inlineStr">
        <is>
          <t>Framsikt / Visma (Skole)</t>
        </is>
      </c>
      <c r="C1058" t="n">
        <v>1</v>
      </c>
      <c r="D1058" t="n">
        <v>1</v>
      </c>
      <c r="E1058" t="n">
        <v>1</v>
      </c>
      <c r="F1058" t="n">
        <v>20250801</v>
      </c>
      <c r="G1058" t="n">
        <v>357000</v>
      </c>
      <c r="H1058" t="n">
        <v>357000</v>
      </c>
      <c r="I1058" t="n">
        <v>358000</v>
      </c>
      <c r="J1058" t="n">
        <v>-1000</v>
      </c>
    </row>
    <row r="1059">
      <c r="A1059" t="inlineStr">
        <is>
          <t>14a2eb20dcf2dc8b454cd6563d0def92e459a28eb6053be3451eb6466055c4cf</t>
        </is>
      </c>
      <c r="B1059" t="inlineStr">
        <is>
          <t>Framsikt / Visma (Skole)</t>
        </is>
      </c>
      <c r="C1059" t="n">
        <v>1</v>
      </c>
      <c r="D1059" t="n">
        <v>1</v>
      </c>
      <c r="E1059" t="n">
        <v>1</v>
      </c>
      <c r="F1059" t="n">
        <v>20250801</v>
      </c>
      <c r="G1059" t="n">
        <v>988000</v>
      </c>
      <c r="H1059" t="n">
        <v>988000</v>
      </c>
      <c r="I1059" t="n">
        <v>1068000</v>
      </c>
      <c r="J1059" t="n">
        <v>-80000</v>
      </c>
    </row>
    <row r="1060">
      <c r="A1060" t="inlineStr">
        <is>
          <t>272a2c5da6de9b4da899206487ab1e1a40890461c2b75d5cc79fc51e0570b8e7</t>
        </is>
      </c>
      <c r="B1060" t="inlineStr">
        <is>
          <t>Framsikt / Visma (Skole)</t>
        </is>
      </c>
      <c r="C1060" t="n">
        <v>1</v>
      </c>
      <c r="D1060" t="n">
        <v>2</v>
      </c>
      <c r="E1060" t="n">
        <v>1</v>
      </c>
      <c r="F1060" t="n">
        <v>20250801</v>
      </c>
      <c r="G1060" t="n">
        <v>0</v>
      </c>
      <c r="H1060" t="n">
        <v>0</v>
      </c>
      <c r="I1060" t="n">
        <v>0</v>
      </c>
      <c r="J1060" t="n">
        <v>0</v>
      </c>
    </row>
    <row r="1061">
      <c r="A1061" t="inlineStr">
        <is>
          <t>f541b6db2ac5c7d38fb9c6ed53cd3d7cc96a8243793f95fdab1619b7bd98e9fe</t>
        </is>
      </c>
      <c r="B1061" t="inlineStr">
        <is>
          <t>Framsikt / Visma (Skole)</t>
        </is>
      </c>
      <c r="C1061" t="n">
        <v>1</v>
      </c>
      <c r="D1061" t="n">
        <v>3</v>
      </c>
      <c r="E1061" t="n">
        <v>1</v>
      </c>
      <c r="F1061" t="n">
        <v>20250801</v>
      </c>
      <c r="G1061" t="n">
        <v>15000</v>
      </c>
      <c r="H1061" t="n">
        <v>15000</v>
      </c>
      <c r="I1061" t="n">
        <v>0</v>
      </c>
      <c r="J1061" t="n">
        <v>15000</v>
      </c>
    </row>
    <row r="1062">
      <c r="A1062" t="inlineStr">
        <is>
          <t>b0e004ce81458df125722186491d1ecdbba0fc489d2f2dc0238cf02a32a3d87c</t>
        </is>
      </c>
      <c r="B1062" t="inlineStr">
        <is>
          <t>Framsikt / Visma (Skole)</t>
        </is>
      </c>
      <c r="C1062" t="n">
        <v>1</v>
      </c>
      <c r="D1062" t="n">
        <v>4</v>
      </c>
      <c r="E1062" t="n">
        <v>1</v>
      </c>
      <c r="F1062" t="n">
        <v>20250801</v>
      </c>
      <c r="G1062" t="n">
        <v>18000</v>
      </c>
      <c r="H1062" t="n">
        <v>18000</v>
      </c>
      <c r="I1062" t="n">
        <v>0</v>
      </c>
      <c r="J1062" t="n">
        <v>18000</v>
      </c>
    </row>
    <row r="1063">
      <c r="A1063" t="inlineStr">
        <is>
          <t>409106cc403c69ce5b26dff3634671d758c14b730077bd2891be544ba54946fc</t>
        </is>
      </c>
      <c r="B1063" t="inlineStr">
        <is>
          <t>Framsikt / Visma (Skole)</t>
        </is>
      </c>
      <c r="C1063" t="n">
        <v>1</v>
      </c>
      <c r="D1063" t="n">
        <v>5</v>
      </c>
      <c r="E1063" t="n">
        <v>1</v>
      </c>
      <c r="F1063" t="n">
        <v>20250801</v>
      </c>
      <c r="G1063" t="n">
        <v>2000</v>
      </c>
      <c r="H1063" t="n">
        <v>2000</v>
      </c>
      <c r="I1063" t="n">
        <v>0</v>
      </c>
      <c r="J1063" t="n">
        <v>2000</v>
      </c>
    </row>
    <row r="1064">
      <c r="A1064" t="inlineStr">
        <is>
          <t>ffd8924961bf3cafa29f98a8b025942a224edd72e1fe7eee9607c2ae039928e2</t>
        </is>
      </c>
      <c r="B1064" t="inlineStr">
        <is>
          <t>Framsikt / Visma (Skole)</t>
        </is>
      </c>
      <c r="C1064" t="n">
        <v>1</v>
      </c>
      <c r="D1064" t="n">
        <v>5</v>
      </c>
      <c r="E1064" t="n">
        <v>1</v>
      </c>
      <c r="F1064" t="n">
        <v>20250801</v>
      </c>
      <c r="G1064" t="n">
        <v>1000</v>
      </c>
      <c r="H1064" t="n">
        <v>1000</v>
      </c>
      <c r="I1064" t="n">
        <v>0</v>
      </c>
      <c r="J1064" t="n">
        <v>1000</v>
      </c>
    </row>
    <row r="1065">
      <c r="A1065" t="inlineStr">
        <is>
          <t>92c4e78586b2c4222f2c0b5a10045728f6d997df95bc530b0bcd5cf3cb858ee5</t>
        </is>
      </c>
      <c r="B1065" t="inlineStr">
        <is>
          <t>Framsikt / Visma (Skole)</t>
        </is>
      </c>
      <c r="C1065" t="n">
        <v>1</v>
      </c>
      <c r="D1065" t="n">
        <v>6</v>
      </c>
      <c r="E1065" t="n">
        <v>1</v>
      </c>
      <c r="F1065" t="n">
        <v>20250801</v>
      </c>
      <c r="G1065" t="n">
        <v>66000</v>
      </c>
      <c r="H1065" t="n">
        <v>66000</v>
      </c>
      <c r="I1065" t="n">
        <v>73000</v>
      </c>
      <c r="J1065" t="n">
        <v>-7000</v>
      </c>
    </row>
    <row r="1066">
      <c r="A1066" t="inlineStr">
        <is>
          <t>318d113319dc3747612233ef6d8a8631996e35840549d68b844de39af57e60cf</t>
        </is>
      </c>
      <c r="B1066" t="inlineStr">
        <is>
          <t>Framsikt / Visma (Skole)</t>
        </is>
      </c>
      <c r="C1066" t="n">
        <v>1</v>
      </c>
      <c r="D1066" t="n">
        <v>6</v>
      </c>
      <c r="E1066" t="n">
        <v>1</v>
      </c>
      <c r="F1066" t="n">
        <v>20250801</v>
      </c>
      <c r="G1066" t="n">
        <v>75000</v>
      </c>
      <c r="H1066" t="n">
        <v>75000</v>
      </c>
      <c r="I1066" t="n">
        <v>83000</v>
      </c>
      <c r="J1066" t="n">
        <v>-8000</v>
      </c>
    </row>
    <row r="1067">
      <c r="A1067" t="inlineStr">
        <is>
          <t>6b7b9c931d922e11c3cfc96e0af8bcca86858cef6e5c0d5137e35dd0a4028db8</t>
        </is>
      </c>
      <c r="B1067" t="inlineStr">
        <is>
          <t>Framsikt / Visma (Skole)</t>
        </is>
      </c>
      <c r="C1067" t="n">
        <v>1</v>
      </c>
      <c r="D1067" t="n">
        <v>5</v>
      </c>
      <c r="E1067" t="n">
        <v>1</v>
      </c>
      <c r="F1067" t="n">
        <v>20250801</v>
      </c>
      <c r="G1067" t="n">
        <v>0</v>
      </c>
      <c r="H1067" t="n">
        <v>0</v>
      </c>
      <c r="I1067" t="n">
        <v>1000</v>
      </c>
      <c r="J1067" t="n">
        <v>-1000</v>
      </c>
    </row>
    <row r="1068">
      <c r="A1068" t="inlineStr">
        <is>
          <t>dda41b3253bbc0c9b4070e5edb15ddadf4690744b35be3257af6086c065b350f</t>
        </is>
      </c>
      <c r="B1068" t="inlineStr">
        <is>
          <t>Framsikt / Visma (Skole)</t>
        </is>
      </c>
      <c r="C1068" t="n">
        <v>1</v>
      </c>
      <c r="D1068" t="n">
        <v>6</v>
      </c>
      <c r="E1068" t="n">
        <v>1</v>
      </c>
      <c r="F1068" t="n">
        <v>20250801</v>
      </c>
      <c r="G1068" t="n">
        <v>161000</v>
      </c>
      <c r="H1068" t="n">
        <v>161000</v>
      </c>
      <c r="I1068" t="n">
        <v>168000</v>
      </c>
      <c r="J1068" t="n">
        <v>-7000</v>
      </c>
    </row>
    <row r="1069">
      <c r="A1069" t="inlineStr">
        <is>
          <t>93ef128796f66665660e2049320d24f87bffaa942c45e432bd98901b3650faa0</t>
        </is>
      </c>
      <c r="B1069" t="inlineStr">
        <is>
          <t>Framsikt / Visma (Skole)</t>
        </is>
      </c>
      <c r="C1069" t="n">
        <v>1</v>
      </c>
      <c r="D1069" t="n">
        <v>10</v>
      </c>
      <c r="E1069" t="n">
        <v>1</v>
      </c>
      <c r="F1069" t="n">
        <v>20250801</v>
      </c>
      <c r="G1069" t="n">
        <v>0</v>
      </c>
      <c r="H1069" t="n">
        <v>0</v>
      </c>
      <c r="I1069" t="n">
        <v>1000</v>
      </c>
      <c r="J1069" t="n">
        <v>-1000</v>
      </c>
    </row>
    <row r="1070">
      <c r="A1070" t="inlineStr">
        <is>
          <t>e8cd6c506796f9fda444588def40494201e16e575ae9e977928dad5e84002b45</t>
        </is>
      </c>
      <c r="B1070" t="inlineStr">
        <is>
          <t>Framsikt / Visma (Skole)</t>
        </is>
      </c>
      <c r="C1070" t="n">
        <v>1</v>
      </c>
      <c r="D1070" t="n">
        <v>10</v>
      </c>
      <c r="E1070" t="n">
        <v>1</v>
      </c>
      <c r="F1070" t="n">
        <v>20250801</v>
      </c>
      <c r="G1070" t="n">
        <v>0</v>
      </c>
      <c r="H1070" t="n">
        <v>0</v>
      </c>
      <c r="I1070" t="n">
        <v>0</v>
      </c>
      <c r="J1070" t="n">
        <v>0</v>
      </c>
    </row>
    <row r="1071">
      <c r="A1071" t="inlineStr">
        <is>
          <t>505788afbc6f130312e3446a8a47fb5265d7deac1c34077d64771179573ebedf</t>
        </is>
      </c>
      <c r="B1071" t="inlineStr">
        <is>
          <t>Framsikt / Visma (Skole)</t>
        </is>
      </c>
      <c r="C1071" t="n">
        <v>1</v>
      </c>
      <c r="D1071" t="n">
        <v>16</v>
      </c>
      <c r="E1071" t="n">
        <v>1</v>
      </c>
      <c r="F1071" t="n">
        <v>20250801</v>
      </c>
      <c r="G1071" t="n">
        <v>1000</v>
      </c>
      <c r="H1071" t="n">
        <v>1000</v>
      </c>
      <c r="I1071" t="n">
        <v>0</v>
      </c>
      <c r="J1071" t="n">
        <v>1000</v>
      </c>
    </row>
    <row r="1072">
      <c r="A1072" t="inlineStr">
        <is>
          <t>698f56e541b104cb51ddfb209d798603b188c40767f35a502a70d6f422169d9e</t>
        </is>
      </c>
      <c r="B1072" t="inlineStr">
        <is>
          <t>Framsikt / Visma (Skole)</t>
        </is>
      </c>
      <c r="C1072" t="n">
        <v>1</v>
      </c>
      <c r="D1072" t="n">
        <v>16</v>
      </c>
      <c r="E1072" t="n">
        <v>1</v>
      </c>
      <c r="F1072" t="n">
        <v>20250801</v>
      </c>
      <c r="G1072" t="n">
        <v>2000</v>
      </c>
      <c r="H1072" t="n">
        <v>2000</v>
      </c>
      <c r="I1072" t="n">
        <v>0</v>
      </c>
      <c r="J1072" t="n">
        <v>2000</v>
      </c>
    </row>
    <row r="1073">
      <c r="A1073" t="inlineStr">
        <is>
          <t>191a0b011a6288ef18369d6f623653e3a62989e0511da491128b38f592a834a6</t>
        </is>
      </c>
      <c r="B1073" t="inlineStr">
        <is>
          <t>Framsikt / Visma (Skole)</t>
        </is>
      </c>
      <c r="C1073" t="n">
        <v>1</v>
      </c>
      <c r="D1073" t="n">
        <v>14</v>
      </c>
      <c r="E1073" t="n">
        <v>1</v>
      </c>
      <c r="F1073" t="n">
        <v>20250801</v>
      </c>
      <c r="G1073" t="n">
        <v>9000</v>
      </c>
      <c r="H1073" t="n">
        <v>9000</v>
      </c>
      <c r="I1073" t="n">
        <v>7000</v>
      </c>
      <c r="J1073" t="n">
        <v>2000</v>
      </c>
    </row>
    <row r="1074">
      <c r="A1074" t="inlineStr">
        <is>
          <t>e3f069b83533fc612097cf13f3c0b7d7ad5bc753a835ccac48ebbfe30e2c026f</t>
        </is>
      </c>
      <c r="B1074" t="inlineStr">
        <is>
          <t>Framsikt / Visma (Skole)</t>
        </is>
      </c>
      <c r="C1074" t="n">
        <v>1</v>
      </c>
      <c r="D1074" t="n">
        <v>16</v>
      </c>
      <c r="E1074" t="n">
        <v>1</v>
      </c>
      <c r="F1074" t="n">
        <v>20250801</v>
      </c>
      <c r="G1074" t="n">
        <v>-1000</v>
      </c>
      <c r="H1074" t="n">
        <v>-1000</v>
      </c>
      <c r="I1074" t="n">
        <v>0</v>
      </c>
      <c r="J1074" t="n">
        <v>-1000</v>
      </c>
    </row>
    <row r="1075">
      <c r="A1075" t="inlineStr">
        <is>
          <t>ca62b3ffdd1207b9259f2d0fb0fe069fca1954e6008dc65410613b68c795dffd</t>
        </is>
      </c>
      <c r="B1075" t="inlineStr">
        <is>
          <t>Framsikt / Visma (Skole)</t>
        </is>
      </c>
      <c r="C1075" t="n">
        <v>1</v>
      </c>
      <c r="D1075" t="n">
        <v>16</v>
      </c>
      <c r="E1075" t="n">
        <v>1</v>
      </c>
      <c r="F1075" t="n">
        <v>20250801</v>
      </c>
      <c r="G1075" t="n">
        <v>0</v>
      </c>
      <c r="H1075" t="n">
        <v>0</v>
      </c>
      <c r="I1075" t="n">
        <v>1000</v>
      </c>
      <c r="J1075" t="n">
        <v>-1000</v>
      </c>
    </row>
    <row r="1076">
      <c r="A1076" t="inlineStr">
        <is>
          <t>e2a466853ad8c686e499f4c3dc9b76cf59f492f8f2ace7a11a31f7b9e7ba1386</t>
        </is>
      </c>
      <c r="B1076" t="inlineStr">
        <is>
          <t>Framsikt / Visma (Skole)</t>
        </is>
      </c>
      <c r="C1076" t="n">
        <v>1</v>
      </c>
      <c r="D1076" t="n">
        <v>16</v>
      </c>
      <c r="E1076" t="n">
        <v>1</v>
      </c>
      <c r="F1076" t="n">
        <v>20250801</v>
      </c>
      <c r="G1076" t="n">
        <v>4000</v>
      </c>
      <c r="H1076" t="n">
        <v>4000</v>
      </c>
      <c r="I1076" t="n">
        <v>0</v>
      </c>
      <c r="J1076" t="n">
        <v>4000</v>
      </c>
    </row>
    <row r="1077">
      <c r="A1077" t="inlineStr">
        <is>
          <t>174a2449d0daf15cf82fa731288c6bbc8841b042c28edabe7db2963d7f4533a1</t>
        </is>
      </c>
      <c r="B1077" t="inlineStr">
        <is>
          <t>Framsikt / Visma (Skole)</t>
        </is>
      </c>
      <c r="C1077" t="n">
        <v>1</v>
      </c>
      <c r="D1077" t="n">
        <v>16</v>
      </c>
      <c r="E1077" t="n">
        <v>1</v>
      </c>
      <c r="F1077" t="n">
        <v>20250801</v>
      </c>
      <c r="G1077" t="n">
        <v>5000</v>
      </c>
      <c r="H1077" t="n">
        <v>5000</v>
      </c>
      <c r="I1077" t="n">
        <v>5000</v>
      </c>
      <c r="J1077" t="n">
        <v>0</v>
      </c>
    </row>
    <row r="1078">
      <c r="A1078" t="inlineStr">
        <is>
          <t>d65e65d0cfbc206b12fb1f1c31b9d95720e9e8062b09dd1e0be69f33dbaefe78</t>
        </is>
      </c>
      <c r="B1078" t="inlineStr">
        <is>
          <t>Framsikt / Visma (Skole)</t>
        </is>
      </c>
      <c r="C1078" t="n">
        <v>1</v>
      </c>
      <c r="D1078" t="n">
        <v>16</v>
      </c>
      <c r="E1078" t="n">
        <v>1</v>
      </c>
      <c r="F1078" t="n">
        <v>20250801</v>
      </c>
      <c r="G1078" t="n">
        <v>4000</v>
      </c>
      <c r="H1078" t="n">
        <v>4000</v>
      </c>
      <c r="I1078" t="n">
        <v>3000</v>
      </c>
      <c r="J1078" t="n">
        <v>1000</v>
      </c>
    </row>
    <row r="1079">
      <c r="A1079" t="inlineStr">
        <is>
          <t>c0040958f73a3fa32fcb18a0e37e82e57ab8f3bcf22c6ae1be91dcd35a23b8f0</t>
        </is>
      </c>
      <c r="B1079" t="inlineStr">
        <is>
          <t>Framsikt / Visma (Skole)</t>
        </is>
      </c>
      <c r="C1079" t="n">
        <v>1</v>
      </c>
      <c r="D1079" t="n">
        <v>16</v>
      </c>
      <c r="E1079" t="n">
        <v>1</v>
      </c>
      <c r="F1079" t="n">
        <v>20250801</v>
      </c>
      <c r="G1079" t="n">
        <v>3000</v>
      </c>
      <c r="H1079" t="n">
        <v>3000</v>
      </c>
      <c r="I1079" t="n">
        <v>0</v>
      </c>
      <c r="J1079" t="n">
        <v>3000</v>
      </c>
    </row>
    <row r="1080">
      <c r="A1080" t="inlineStr">
        <is>
          <t>39df2f18e1f96ede5a4e95269978745a0d57136281784806a3cc541f0a60237c</t>
        </is>
      </c>
      <c r="B1080" t="inlineStr">
        <is>
          <t>Framsikt / Visma (Skole)</t>
        </is>
      </c>
      <c r="C1080" t="n">
        <v>1</v>
      </c>
      <c r="D1080" t="n">
        <v>16</v>
      </c>
      <c r="E1080" t="n">
        <v>1</v>
      </c>
      <c r="F1080" t="n">
        <v>20250801</v>
      </c>
      <c r="G1080" t="n">
        <v>6000</v>
      </c>
      <c r="H1080" t="n">
        <v>6000</v>
      </c>
      <c r="I1080" t="n">
        <v>0</v>
      </c>
      <c r="J1080" t="n">
        <v>6000</v>
      </c>
    </row>
    <row r="1081">
      <c r="A1081" t="inlineStr">
        <is>
          <t>dc20507b3ab83b0fcc69818466e1821c6432c133466b24a657006521ce75fc29</t>
        </is>
      </c>
      <c r="B1081" t="inlineStr">
        <is>
          <t>Framsikt / Visma (Skole)</t>
        </is>
      </c>
      <c r="C1081" t="n">
        <v>1</v>
      </c>
      <c r="D1081" t="n">
        <v>16</v>
      </c>
      <c r="E1081" t="n">
        <v>1</v>
      </c>
      <c r="F1081" t="n">
        <v>20250801</v>
      </c>
      <c r="G1081" t="n">
        <v>0</v>
      </c>
      <c r="H1081" t="n">
        <v>0</v>
      </c>
      <c r="I1081" t="n">
        <v>0</v>
      </c>
      <c r="J1081" t="n">
        <v>0</v>
      </c>
    </row>
    <row r="1082">
      <c r="A1082" t="inlineStr">
        <is>
          <t>d61bb7b3e2202ea8353bd928ed7e13148b358bbcea89b30e7491f4fbfe559f5a</t>
        </is>
      </c>
      <c r="B1082" t="inlineStr">
        <is>
          <t>Framsikt / Visma (Skole)</t>
        </is>
      </c>
      <c r="C1082" t="n">
        <v>1</v>
      </c>
      <c r="D1082" t="n">
        <v>16</v>
      </c>
      <c r="E1082" t="n">
        <v>1</v>
      </c>
      <c r="F1082" t="n">
        <v>20250801</v>
      </c>
      <c r="G1082" t="n">
        <v>7000</v>
      </c>
      <c r="H1082" t="n">
        <v>7000</v>
      </c>
      <c r="I1082" t="n">
        <v>0</v>
      </c>
      <c r="J1082" t="n">
        <v>7000</v>
      </c>
    </row>
    <row r="1083">
      <c r="A1083" t="inlineStr">
        <is>
          <t>d30e2a4bd6c1cdb0f35a8d67fc80cc308d12e3b4ca3be5d05b1c45a24b7bff9e</t>
        </is>
      </c>
      <c r="B1083" t="inlineStr">
        <is>
          <t>Framsikt / Visma (Skole)</t>
        </is>
      </c>
      <c r="C1083" t="n">
        <v>1</v>
      </c>
      <c r="D1083" t="n">
        <v>14</v>
      </c>
      <c r="E1083" t="n">
        <v>1</v>
      </c>
      <c r="F1083" t="n">
        <v>20250801</v>
      </c>
      <c r="G1083" t="n">
        <v>25000</v>
      </c>
      <c r="H1083" t="n">
        <v>25000</v>
      </c>
      <c r="I1083" t="n">
        <v>20000</v>
      </c>
      <c r="J1083" t="n">
        <v>5000</v>
      </c>
    </row>
    <row r="1084">
      <c r="A1084" t="inlineStr">
        <is>
          <t>0d2aec5efa61de5343250d6b487cad3c64291458cc92537e65eaa64476f4426f</t>
        </is>
      </c>
      <c r="B1084" t="inlineStr">
        <is>
          <t>Framsikt / Visma (Skole)</t>
        </is>
      </c>
      <c r="C1084" t="n">
        <v>1</v>
      </c>
      <c r="D1084" t="n">
        <v>16</v>
      </c>
      <c r="E1084" t="n">
        <v>1</v>
      </c>
      <c r="F1084" t="n">
        <v>20250801</v>
      </c>
      <c r="G1084" t="n">
        <v>22000</v>
      </c>
      <c r="H1084" t="n">
        <v>22000</v>
      </c>
      <c r="I1084" t="n">
        <v>0</v>
      </c>
      <c r="J1084" t="n">
        <v>22000</v>
      </c>
    </row>
    <row r="1085">
      <c r="A1085" t="inlineStr">
        <is>
          <t>d47c3b077eca7c5334d5ac23d4e099ca469d0a79f5183c016ba991dee853ecdb</t>
        </is>
      </c>
      <c r="B1085" t="inlineStr">
        <is>
          <t>Framsikt / Visma (Skole)</t>
        </is>
      </c>
      <c r="C1085" t="n">
        <v>1</v>
      </c>
      <c r="D1085" t="n">
        <v>16</v>
      </c>
      <c r="E1085" t="n">
        <v>1</v>
      </c>
      <c r="F1085" t="n">
        <v>20250801</v>
      </c>
      <c r="G1085" t="n">
        <v>17000</v>
      </c>
      <c r="H1085" t="n">
        <v>17000</v>
      </c>
      <c r="I1085" t="n">
        <v>0</v>
      </c>
      <c r="J1085" t="n">
        <v>17000</v>
      </c>
    </row>
    <row r="1086">
      <c r="A1086" t="inlineStr">
        <is>
          <t>715f0d5afc85b09245fc119925f333d156698534d60abac6143123aa0b37dbb6</t>
        </is>
      </c>
      <c r="B1086" t="inlineStr">
        <is>
          <t>Framsikt / Visma (Skole)</t>
        </is>
      </c>
      <c r="C1086" t="n">
        <v>1</v>
      </c>
      <c r="D1086" t="n">
        <v>5</v>
      </c>
      <c r="E1086" t="n">
        <v>1</v>
      </c>
      <c r="F1086" t="n">
        <v>20250801</v>
      </c>
      <c r="G1086" t="n">
        <v>-3000</v>
      </c>
      <c r="H1086" t="n">
        <v>-3000</v>
      </c>
      <c r="I1086" t="n">
        <v>0</v>
      </c>
      <c r="J1086" t="n">
        <v>-3000</v>
      </c>
    </row>
    <row r="1087">
      <c r="A1087" t="inlineStr">
        <is>
          <t>c5a779139baf5aa939eba75698e034b4a9eab6d126076343db9442a00463b83d</t>
        </is>
      </c>
      <c r="B1087" t="inlineStr">
        <is>
          <t>Framsikt / Visma (Skole)</t>
        </is>
      </c>
      <c r="C1087" t="n">
        <v>1</v>
      </c>
      <c r="D1087" t="n">
        <v>5</v>
      </c>
      <c r="E1087" t="n">
        <v>1</v>
      </c>
      <c r="F1087" t="n">
        <v>20250801</v>
      </c>
      <c r="G1087" t="n">
        <v>-34000</v>
      </c>
      <c r="H1087" t="n">
        <v>-34000</v>
      </c>
      <c r="I1087" t="n">
        <v>0</v>
      </c>
      <c r="J1087" t="n">
        <v>-34000</v>
      </c>
    </row>
    <row r="1088">
      <c r="A1088" t="inlineStr">
        <is>
          <t>9bf2ff7519fef990859584602f8c81904d380a6a0a7cdcac86100ca6720a3e0e</t>
        </is>
      </c>
      <c r="B1088" t="inlineStr">
        <is>
          <t>Framsikt / Visma (Skole)</t>
        </is>
      </c>
      <c r="C1088" t="n">
        <v>1</v>
      </c>
      <c r="D1088" t="n">
        <v>5</v>
      </c>
      <c r="E1088" t="n">
        <v>1</v>
      </c>
      <c r="F1088" t="n">
        <v>20250801</v>
      </c>
      <c r="G1088" t="n">
        <v>0</v>
      </c>
      <c r="H1088" t="n">
        <v>0</v>
      </c>
      <c r="I1088" t="n">
        <v>0</v>
      </c>
      <c r="J1088" t="n">
        <v>0</v>
      </c>
    </row>
    <row r="1089">
      <c r="A1089" t="inlineStr">
        <is>
          <t>e4211f8c5dcaa1e7b198d12221a52e502d27f7cd82bad0c2cb32cc239eab8d1a</t>
        </is>
      </c>
      <c r="B1089" t="inlineStr">
        <is>
          <t>Framsikt / Visma (Skole)</t>
        </is>
      </c>
      <c r="C1089" t="n">
        <v>1</v>
      </c>
      <c r="D1089" t="n">
        <v>34</v>
      </c>
      <c r="E1089" t="n">
        <v>1</v>
      </c>
      <c r="F1089" t="n">
        <v>20250801</v>
      </c>
      <c r="G1089" t="n">
        <v>-17000</v>
      </c>
      <c r="H1089" t="n">
        <v>17000</v>
      </c>
      <c r="I1089" t="n">
        <v>0</v>
      </c>
      <c r="J1089" t="n">
        <v>17000</v>
      </c>
    </row>
    <row r="1090">
      <c r="A1090" t="inlineStr">
        <is>
          <t>9d547330c51bebaa048ce3b4d22ec813d38e7ba3e822f157b106dde63ce5d572</t>
        </is>
      </c>
      <c r="B1090" t="inlineStr">
        <is>
          <t>Framsikt / Visma (Skole)</t>
        </is>
      </c>
      <c r="C1090" t="n">
        <v>1</v>
      </c>
      <c r="D1090" t="n">
        <v>16</v>
      </c>
      <c r="E1090" t="n">
        <v>1</v>
      </c>
      <c r="F1090" t="n">
        <v>20250801</v>
      </c>
      <c r="G1090" t="n">
        <v>0</v>
      </c>
      <c r="H1090" t="n">
        <v>0</v>
      </c>
      <c r="I1090" t="n">
        <v>-27000</v>
      </c>
      <c r="J1090" t="n">
        <v>27000</v>
      </c>
    </row>
    <row r="1091">
      <c r="A1091" t="inlineStr">
        <is>
          <t>9e647c803bfb3836dd8b44c139a8e12ad07094e19ab34c9d1fee41c70989741e</t>
        </is>
      </c>
      <c r="B1091" t="inlineStr">
        <is>
          <t>Framsikt / Visma (Skole)</t>
        </is>
      </c>
      <c r="C1091" t="n">
        <v>1</v>
      </c>
      <c r="D1091" t="n">
        <v>1</v>
      </c>
      <c r="E1091" t="n">
        <v>1</v>
      </c>
      <c r="F1091" t="n">
        <v>20250801</v>
      </c>
      <c r="G1091" t="n">
        <v>1678000</v>
      </c>
      <c r="H1091" t="n">
        <v>1678000</v>
      </c>
      <c r="I1091" t="n">
        <v>1645000</v>
      </c>
      <c r="J1091" t="n">
        <v>33000</v>
      </c>
    </row>
    <row r="1092">
      <c r="A1092" t="inlineStr">
        <is>
          <t>964045807a4824601f520e9affe851655c855cd7762b64a617657a26e5611dd2</t>
        </is>
      </c>
      <c r="B1092" t="inlineStr">
        <is>
          <t>Framsikt / Visma (Skole)</t>
        </is>
      </c>
      <c r="C1092" t="n">
        <v>1</v>
      </c>
      <c r="D1092" t="n">
        <v>1</v>
      </c>
      <c r="E1092" t="n">
        <v>1</v>
      </c>
      <c r="F1092" t="n">
        <v>20250801</v>
      </c>
      <c r="G1092" t="n">
        <v>7542000</v>
      </c>
      <c r="H1092" t="n">
        <v>7542000</v>
      </c>
      <c r="I1092" t="n">
        <v>6430000</v>
      </c>
      <c r="J1092" t="n">
        <v>1112000</v>
      </c>
    </row>
    <row r="1093">
      <c r="A1093" t="inlineStr">
        <is>
          <t>82ed219b4d2df35555c7e78e958d6af0f467da71f33cb2926ab3c23f100edb60</t>
        </is>
      </c>
      <c r="B1093" t="inlineStr">
        <is>
          <t>Framsikt / Visma (Skole)</t>
        </is>
      </c>
      <c r="C1093" t="n">
        <v>1</v>
      </c>
      <c r="D1093" t="n">
        <v>5</v>
      </c>
      <c r="E1093" t="n">
        <v>1</v>
      </c>
      <c r="F1093" t="n">
        <v>20250801</v>
      </c>
      <c r="G1093" t="n">
        <v>2000</v>
      </c>
      <c r="H1093" t="n">
        <v>2000</v>
      </c>
      <c r="I1093" t="n">
        <v>0</v>
      </c>
      <c r="J1093" t="n">
        <v>2000</v>
      </c>
    </row>
    <row r="1094">
      <c r="A1094" t="inlineStr">
        <is>
          <t>4761f6083d37015871da6c584f29d7d2d0e4a1d6591256bfecad2b63d7f16d3a</t>
        </is>
      </c>
      <c r="B1094" t="inlineStr">
        <is>
          <t>Framsikt / Visma (Skole)</t>
        </is>
      </c>
      <c r="C1094" t="n">
        <v>1</v>
      </c>
      <c r="D1094" t="n">
        <v>1</v>
      </c>
      <c r="E1094" t="n">
        <v>1</v>
      </c>
      <c r="F1094" t="n">
        <v>20250801</v>
      </c>
      <c r="G1094" t="n">
        <v>434000</v>
      </c>
      <c r="H1094" t="n">
        <v>434000</v>
      </c>
      <c r="I1094" t="n">
        <v>281000</v>
      </c>
      <c r="J1094" t="n">
        <v>153000</v>
      </c>
    </row>
    <row r="1095">
      <c r="A1095" t="inlineStr">
        <is>
          <t>bc85f84f6038ae470effc61a16d9cb14d91b51c1d84e1be55241cc94d3e9443f</t>
        </is>
      </c>
      <c r="B1095" t="inlineStr">
        <is>
          <t>Framsikt / Visma (Skole)</t>
        </is>
      </c>
      <c r="C1095" t="n">
        <v>1</v>
      </c>
      <c r="D1095" t="n">
        <v>5</v>
      </c>
      <c r="E1095" t="n">
        <v>1</v>
      </c>
      <c r="F1095" t="n">
        <v>20250801</v>
      </c>
      <c r="G1095" t="n">
        <v>0</v>
      </c>
      <c r="H1095" t="n">
        <v>0</v>
      </c>
      <c r="I1095" t="n">
        <v>0</v>
      </c>
      <c r="J1095" t="n">
        <v>0</v>
      </c>
    </row>
    <row r="1096">
      <c r="A1096" t="inlineStr">
        <is>
          <t>2b22e241658a7d77100dfb3fb30a7d1a0bab0c77a59e35f00b8b2113837f918f</t>
        </is>
      </c>
      <c r="B1096" t="inlineStr">
        <is>
          <t>Framsikt / Visma (Skole)</t>
        </is>
      </c>
      <c r="C1096" t="n">
        <v>1</v>
      </c>
      <c r="D1096" t="n">
        <v>2</v>
      </c>
      <c r="E1096" t="n">
        <v>1</v>
      </c>
      <c r="F1096" t="n">
        <v>20250801</v>
      </c>
      <c r="G1096" t="n">
        <v>360000</v>
      </c>
      <c r="H1096" t="n">
        <v>360000</v>
      </c>
      <c r="I1096" t="n">
        <v>101000</v>
      </c>
      <c r="J1096" t="n">
        <v>259000</v>
      </c>
    </row>
    <row r="1097">
      <c r="A1097" t="inlineStr">
        <is>
          <t>cac4b6eb5cd16bf6fd61cbca484d8d05360e5178fec956c24ff5b2fc649b5caa</t>
        </is>
      </c>
      <c r="B1097" t="inlineStr">
        <is>
          <t>Framsikt / Visma (Skole)</t>
        </is>
      </c>
      <c r="C1097" t="n">
        <v>1</v>
      </c>
      <c r="D1097" t="n">
        <v>2</v>
      </c>
      <c r="E1097" t="n">
        <v>1</v>
      </c>
      <c r="F1097" t="n">
        <v>20250801</v>
      </c>
      <c r="G1097" t="n">
        <v>223000</v>
      </c>
      <c r="H1097" t="n">
        <v>223000</v>
      </c>
      <c r="I1097" t="n">
        <v>0</v>
      </c>
      <c r="J1097" t="n">
        <v>223000</v>
      </c>
    </row>
    <row r="1098">
      <c r="A1098" t="inlineStr">
        <is>
          <t>d0b16768d76b1c15b371f04df1eff05b790ee1a29c975f9024fafcad035eec61</t>
        </is>
      </c>
      <c r="B1098" t="inlineStr">
        <is>
          <t>Framsikt / Visma (Skole)</t>
        </is>
      </c>
      <c r="C1098" t="n">
        <v>1</v>
      </c>
      <c r="D1098" t="n">
        <v>3</v>
      </c>
      <c r="E1098" t="n">
        <v>1</v>
      </c>
      <c r="F1098" t="n">
        <v>20250801</v>
      </c>
      <c r="G1098" t="n">
        <v>82000</v>
      </c>
      <c r="H1098" t="n">
        <v>82000</v>
      </c>
      <c r="I1098" t="n">
        <v>0</v>
      </c>
      <c r="J1098" t="n">
        <v>82000</v>
      </c>
    </row>
    <row r="1099">
      <c r="A1099" t="inlineStr">
        <is>
          <t>6c927b4a2b45a382a1036f646fc44ad05df3e413badd35870aa4c3fcbab00324</t>
        </is>
      </c>
      <c r="B1099" t="inlineStr">
        <is>
          <t>Framsikt / Visma (Skole)</t>
        </is>
      </c>
      <c r="C1099" t="n">
        <v>1</v>
      </c>
      <c r="D1099" t="n">
        <v>4</v>
      </c>
      <c r="E1099" t="n">
        <v>1</v>
      </c>
      <c r="F1099" t="n">
        <v>20250801</v>
      </c>
      <c r="G1099" t="n">
        <v>148000</v>
      </c>
      <c r="H1099" t="n">
        <v>148000</v>
      </c>
      <c r="I1099" t="n">
        <v>19000</v>
      </c>
      <c r="J1099" t="n">
        <v>129000</v>
      </c>
    </row>
    <row r="1100">
      <c r="A1100" t="inlineStr">
        <is>
          <t>8bb45baec2eba5848f1ec368fdda8e9d40a4e5a5d3c7d91f920b6d33cda77920</t>
        </is>
      </c>
      <c r="B1100" t="inlineStr">
        <is>
          <t>Framsikt / Visma (Skole)</t>
        </is>
      </c>
      <c r="C1100" t="n">
        <v>1</v>
      </c>
      <c r="D1100" t="n">
        <v>5</v>
      </c>
      <c r="E1100" t="n">
        <v>1</v>
      </c>
      <c r="F1100" t="n">
        <v>20250801</v>
      </c>
      <c r="G1100" t="n">
        <v>5000</v>
      </c>
      <c r="H1100" t="n">
        <v>5000</v>
      </c>
      <c r="I1100" t="n">
        <v>0</v>
      </c>
      <c r="J1100" t="n">
        <v>5000</v>
      </c>
    </row>
    <row r="1101">
      <c r="A1101" t="inlineStr">
        <is>
          <t>75adbfeee50485c746e99c2963eb9c94f45cd5b48d5f11e8eaa19ced11d7c7c8</t>
        </is>
      </c>
      <c r="B1101" t="inlineStr">
        <is>
          <t>Framsikt / Visma (Skole)</t>
        </is>
      </c>
      <c r="C1101" t="n">
        <v>1</v>
      </c>
      <c r="D1101" t="n">
        <v>5</v>
      </c>
      <c r="E1101" t="n">
        <v>1</v>
      </c>
      <c r="F1101" t="n">
        <v>20250801</v>
      </c>
      <c r="G1101" t="n">
        <v>0</v>
      </c>
      <c r="H1101" t="n">
        <v>0</v>
      </c>
      <c r="I1101" t="n">
        <v>0</v>
      </c>
      <c r="J1101" t="n">
        <v>0</v>
      </c>
    </row>
    <row r="1102">
      <c r="A1102" t="inlineStr">
        <is>
          <t>8183fec8710170b2969b94bf0dc91c8c02a7d993add01c3aaeeb427993984d14</t>
        </is>
      </c>
      <c r="B1102" t="inlineStr">
        <is>
          <t>Framsikt / Visma (Skole)</t>
        </is>
      </c>
      <c r="C1102" t="n">
        <v>1</v>
      </c>
      <c r="D1102" t="n">
        <v>5</v>
      </c>
      <c r="E1102" t="n">
        <v>1</v>
      </c>
      <c r="F1102" t="n">
        <v>20250801</v>
      </c>
      <c r="G1102" t="n">
        <v>8000</v>
      </c>
      <c r="H1102" t="n">
        <v>8000</v>
      </c>
      <c r="I1102" t="n">
        <v>0</v>
      </c>
      <c r="J1102" t="n">
        <v>8000</v>
      </c>
    </row>
    <row r="1103">
      <c r="A1103" t="inlineStr">
        <is>
          <t>1e329b13de2cde452c758ec2fb92ab713fc6b077da17a162d800a7984863d472</t>
        </is>
      </c>
      <c r="B1103" t="inlineStr">
        <is>
          <t>Framsikt / Visma (Skole)</t>
        </is>
      </c>
      <c r="C1103" t="n">
        <v>1</v>
      </c>
      <c r="D1103" t="n">
        <v>5</v>
      </c>
      <c r="E1103" t="n">
        <v>1</v>
      </c>
      <c r="F1103" t="n">
        <v>20250801</v>
      </c>
      <c r="G1103" t="n">
        <v>10000</v>
      </c>
      <c r="H1103" t="n">
        <v>10000</v>
      </c>
      <c r="I1103" t="n">
        <v>0</v>
      </c>
      <c r="J1103" t="n">
        <v>10000</v>
      </c>
    </row>
    <row r="1104">
      <c r="A1104" t="inlineStr">
        <is>
          <t>ef547f7445aec42230ff7b4b9ce1427b0874fe250efe22ee6c847ccab386d0c5</t>
        </is>
      </c>
      <c r="B1104" t="inlineStr">
        <is>
          <t>Framsikt / Visma (Skole)</t>
        </is>
      </c>
      <c r="C1104" t="n">
        <v>1</v>
      </c>
      <c r="D1104" t="n">
        <v>5</v>
      </c>
      <c r="E1104" t="n">
        <v>1</v>
      </c>
      <c r="F1104" t="n">
        <v>20250801</v>
      </c>
      <c r="G1104" t="n">
        <v>4000</v>
      </c>
      <c r="H1104" t="n">
        <v>4000</v>
      </c>
      <c r="I1104" t="n">
        <v>0</v>
      </c>
      <c r="J1104" t="n">
        <v>4000</v>
      </c>
    </row>
    <row r="1105">
      <c r="A1105" t="inlineStr">
        <is>
          <t>f92105a97e97e4c8c99c5502883ed73a4fdd8d03177656938e4f34a2d03cb5b0</t>
        </is>
      </c>
      <c r="B1105" t="inlineStr">
        <is>
          <t>Framsikt / Visma (Skole)</t>
        </is>
      </c>
      <c r="C1105" t="n">
        <v>1</v>
      </c>
      <c r="D1105" t="n">
        <v>6</v>
      </c>
      <c r="E1105" t="n">
        <v>1</v>
      </c>
      <c r="F1105" t="n">
        <v>20250801</v>
      </c>
      <c r="G1105" t="n">
        <v>411000</v>
      </c>
      <c r="H1105" t="n">
        <v>411000</v>
      </c>
      <c r="I1105" t="n">
        <v>338000</v>
      </c>
      <c r="J1105" t="n">
        <v>73000</v>
      </c>
    </row>
    <row r="1106">
      <c r="A1106" t="inlineStr">
        <is>
          <t>bfaa347fc959d6eb856c8d2a7a2d80a7484111596466b88303cc3ed90405983e</t>
        </is>
      </c>
      <c r="B1106" t="inlineStr">
        <is>
          <t>Framsikt / Visma (Skole)</t>
        </is>
      </c>
      <c r="C1106" t="n">
        <v>1</v>
      </c>
      <c r="D1106" t="n">
        <v>6</v>
      </c>
      <c r="E1106" t="n">
        <v>1</v>
      </c>
      <c r="F1106" t="n">
        <v>20250801</v>
      </c>
      <c r="G1106" t="n">
        <v>597000</v>
      </c>
      <c r="H1106" t="n">
        <v>597000</v>
      </c>
      <c r="I1106" t="n">
        <v>531000</v>
      </c>
      <c r="J1106" t="n">
        <v>66000</v>
      </c>
    </row>
    <row r="1107">
      <c r="A1107" t="inlineStr">
        <is>
          <t>77f98e4eb9e5f1c5ea0e9b54b97f464f6fc58a5c226fb9d04b0c894aaa9c8fae</t>
        </is>
      </c>
      <c r="B1107" t="inlineStr">
        <is>
          <t>Framsikt / Visma (Skole)</t>
        </is>
      </c>
      <c r="C1107" t="n">
        <v>1</v>
      </c>
      <c r="D1107" t="n">
        <v>5</v>
      </c>
      <c r="E1107" t="n">
        <v>1</v>
      </c>
      <c r="F1107" t="n">
        <v>20250801</v>
      </c>
      <c r="G1107" t="n">
        <v>0</v>
      </c>
      <c r="H1107" t="n">
        <v>0</v>
      </c>
      <c r="I1107" t="n">
        <v>14000</v>
      </c>
      <c r="J1107" t="n">
        <v>-14000</v>
      </c>
    </row>
    <row r="1108">
      <c r="A1108" t="inlineStr">
        <is>
          <t>ba4e996c8c0fe45db814a7311a5a108b9db20c7759c8721ac0e257c690618325</t>
        </is>
      </c>
      <c r="B1108" t="inlineStr">
        <is>
          <t>Framsikt / Visma (Skole)</t>
        </is>
      </c>
      <c r="C1108" t="n">
        <v>1</v>
      </c>
      <c r="D1108" t="n">
        <v>6</v>
      </c>
      <c r="E1108" t="n">
        <v>1</v>
      </c>
      <c r="F1108" t="n">
        <v>20250801</v>
      </c>
      <c r="G1108" t="n">
        <v>1123000</v>
      </c>
      <c r="H1108" t="n">
        <v>1123000</v>
      </c>
      <c r="I1108" t="n">
        <v>989000</v>
      </c>
      <c r="J1108" t="n">
        <v>134000</v>
      </c>
    </row>
    <row r="1109">
      <c r="A1109" t="inlineStr">
        <is>
          <t>7541b187eae28dc3a0118141a9d1dd21b75320f287b35597028e9072416cf6a4</t>
        </is>
      </c>
      <c r="B1109" t="inlineStr">
        <is>
          <t>Framsikt / Visma (Skole)</t>
        </is>
      </c>
      <c r="C1109" t="n">
        <v>1</v>
      </c>
      <c r="D1109" t="n">
        <v>10</v>
      </c>
      <c r="E1109" t="n">
        <v>1</v>
      </c>
      <c r="F1109" t="n">
        <v>20250801</v>
      </c>
      <c r="G1109" t="n">
        <v>3000</v>
      </c>
      <c r="H1109" t="n">
        <v>3000</v>
      </c>
      <c r="I1109" t="n">
        <v>1000</v>
      </c>
      <c r="J1109" t="n">
        <v>2000</v>
      </c>
    </row>
    <row r="1110">
      <c r="A1110" t="inlineStr">
        <is>
          <t>8bc75df75fb7f9489e06de8aad5d538eb7ad8550734eb4fa128340f33f6ef0d0</t>
        </is>
      </c>
      <c r="B1110" t="inlineStr">
        <is>
          <t>Framsikt / Visma (Skole)</t>
        </is>
      </c>
      <c r="C1110" t="n">
        <v>1</v>
      </c>
      <c r="D1110" t="n">
        <v>10</v>
      </c>
      <c r="E1110" t="n">
        <v>1</v>
      </c>
      <c r="F1110" t="n">
        <v>20250801</v>
      </c>
      <c r="G1110" t="n">
        <v>129000</v>
      </c>
      <c r="H1110" t="n">
        <v>129000</v>
      </c>
      <c r="I1110" t="n">
        <v>139000</v>
      </c>
      <c r="J1110" t="n">
        <v>-10000</v>
      </c>
    </row>
    <row r="1111">
      <c r="A1111" t="inlineStr">
        <is>
          <t>719867aa1f0e48e321233a7b5e99e0671583ff5bf793aef4e86f3f6923a11740</t>
        </is>
      </c>
      <c r="B1111" t="inlineStr">
        <is>
          <t>Framsikt / Visma (Skole)</t>
        </is>
      </c>
      <c r="C1111" t="n">
        <v>1</v>
      </c>
      <c r="D1111" t="n">
        <v>16</v>
      </c>
      <c r="E1111" t="n">
        <v>1</v>
      </c>
      <c r="F1111" t="n">
        <v>20250801</v>
      </c>
      <c r="G1111" t="n">
        <v>0</v>
      </c>
      <c r="H1111" t="n">
        <v>0</v>
      </c>
      <c r="I1111" t="n">
        <v>3000</v>
      </c>
      <c r="J1111" t="n">
        <v>-3000</v>
      </c>
    </row>
    <row r="1112">
      <c r="A1112" t="inlineStr">
        <is>
          <t>c8f749f5a15a98f98aea8a1fcc824ff6aa6edabc3d29cca7a0fcc666d42e33a0</t>
        </is>
      </c>
      <c r="B1112" t="inlineStr">
        <is>
          <t>Framsikt / Visma (Skole)</t>
        </is>
      </c>
      <c r="C1112" t="n">
        <v>1</v>
      </c>
      <c r="D1112" t="n">
        <v>16</v>
      </c>
      <c r="E1112" t="n">
        <v>1</v>
      </c>
      <c r="F1112" t="n">
        <v>20250801</v>
      </c>
      <c r="G1112" t="n">
        <v>157000</v>
      </c>
      <c r="H1112" t="n">
        <v>157000</v>
      </c>
      <c r="I1112" t="n">
        <v>107000</v>
      </c>
      <c r="J1112" t="n">
        <v>50000</v>
      </c>
    </row>
    <row r="1113">
      <c r="A1113" t="inlineStr">
        <is>
          <t>eb2cdae8f83e62e610e011e6186a06f333a97cb61bf7326027c7dedf79cda8b2</t>
        </is>
      </c>
      <c r="B1113" t="inlineStr">
        <is>
          <t>Framsikt / Visma (Skole)</t>
        </is>
      </c>
      <c r="C1113" t="n">
        <v>1</v>
      </c>
      <c r="D1113" t="n">
        <v>10</v>
      </c>
      <c r="E1113" t="n">
        <v>1</v>
      </c>
      <c r="F1113" t="n">
        <v>20250801</v>
      </c>
      <c r="G1113" t="n">
        <v>0</v>
      </c>
      <c r="H1113" t="n">
        <v>0</v>
      </c>
      <c r="I1113" t="n">
        <v>1000</v>
      </c>
      <c r="J1113" t="n">
        <v>-1000</v>
      </c>
    </row>
    <row r="1114">
      <c r="A1114" t="inlineStr">
        <is>
          <t>c25a0b70af477c4b0da37b249ce460be8f61de56a1999cbae416bf470862b96a</t>
        </is>
      </c>
      <c r="B1114" t="inlineStr">
        <is>
          <t>Framsikt / Visma (Skole)</t>
        </is>
      </c>
      <c r="C1114" t="n">
        <v>1</v>
      </c>
      <c r="D1114" t="n">
        <v>16</v>
      </c>
      <c r="E1114" t="n">
        <v>1</v>
      </c>
      <c r="F1114" t="n">
        <v>20250801</v>
      </c>
      <c r="G1114" t="n">
        <v>294000</v>
      </c>
      <c r="H1114" t="n">
        <v>294000</v>
      </c>
      <c r="I1114" t="n">
        <v>378000</v>
      </c>
      <c r="J1114" t="n">
        <v>-84000</v>
      </c>
    </row>
    <row r="1115">
      <c r="A1115" t="inlineStr">
        <is>
          <t>8d18c6985fc7704e691aca7f434fe7c193b268097aa8c55ca61557f153c64045</t>
        </is>
      </c>
      <c r="B1115" t="inlineStr">
        <is>
          <t>Framsikt / Visma (Skole)</t>
        </is>
      </c>
      <c r="C1115" t="n">
        <v>1</v>
      </c>
      <c r="D1115" t="n">
        <v>10</v>
      </c>
      <c r="E1115" t="n">
        <v>1</v>
      </c>
      <c r="F1115" t="n">
        <v>20250801</v>
      </c>
      <c r="G1115" t="n">
        <v>3000</v>
      </c>
      <c r="H1115" t="n">
        <v>3000</v>
      </c>
      <c r="I1115" t="n">
        <v>1000</v>
      </c>
      <c r="J1115" t="n">
        <v>2000</v>
      </c>
    </row>
    <row r="1116">
      <c r="A1116" t="inlineStr">
        <is>
          <t>adcbd3d32fc85ffa4297a65fba4010d109be19928552c9589da6bd876678ab47</t>
        </is>
      </c>
      <c r="B1116" t="inlineStr">
        <is>
          <t>Framsikt / Visma (Skole)</t>
        </is>
      </c>
      <c r="C1116" t="n">
        <v>1</v>
      </c>
      <c r="D1116" t="n">
        <v>16</v>
      </c>
      <c r="E1116" t="n">
        <v>1</v>
      </c>
      <c r="F1116" t="n">
        <v>20250801</v>
      </c>
      <c r="G1116" t="n">
        <v>-4000</v>
      </c>
      <c r="H1116" t="n">
        <v>-4000</v>
      </c>
      <c r="I1116" t="n">
        <v>0</v>
      </c>
      <c r="J1116" t="n">
        <v>-4000</v>
      </c>
    </row>
    <row r="1117">
      <c r="A1117" t="inlineStr">
        <is>
          <t>129a1308b9ea054000467eefa66d5aad685134492067c0784a4b9fe90825d0db</t>
        </is>
      </c>
      <c r="B1117" t="inlineStr">
        <is>
          <t>Framsikt / Visma (Skole)</t>
        </is>
      </c>
      <c r="C1117" t="n">
        <v>1</v>
      </c>
      <c r="D1117" t="n">
        <v>16</v>
      </c>
      <c r="E1117" t="n">
        <v>1</v>
      </c>
      <c r="F1117" t="n">
        <v>20250801</v>
      </c>
      <c r="G1117" t="n">
        <v>30000</v>
      </c>
      <c r="H1117" t="n">
        <v>30000</v>
      </c>
      <c r="I1117" t="n">
        <v>65000</v>
      </c>
      <c r="J1117" t="n">
        <v>-35000</v>
      </c>
    </row>
    <row r="1118">
      <c r="A1118" t="inlineStr">
        <is>
          <t>35a6fb5fc812cd5a6349dbbbbd21cd71621a5c30afb0365557a75301d9fb21a5</t>
        </is>
      </c>
      <c r="B1118" t="inlineStr">
        <is>
          <t>Framsikt / Visma (Skole)</t>
        </is>
      </c>
      <c r="C1118" t="n">
        <v>1</v>
      </c>
      <c r="D1118" t="n">
        <v>16</v>
      </c>
      <c r="E1118" t="n">
        <v>1</v>
      </c>
      <c r="F1118" t="n">
        <v>20250801</v>
      </c>
      <c r="G1118" t="n">
        <v>11000</v>
      </c>
      <c r="H1118" t="n">
        <v>11000</v>
      </c>
      <c r="I1118" t="n">
        <v>9000</v>
      </c>
      <c r="J1118" t="n">
        <v>2000</v>
      </c>
    </row>
    <row r="1119">
      <c r="A1119" t="inlineStr">
        <is>
          <t>71b226502ea162ce9bc12593f8925ff430cffe37c21f71abb5a9a00348b25a56</t>
        </is>
      </c>
      <c r="B1119" t="inlineStr">
        <is>
          <t>Framsikt / Visma (Skole)</t>
        </is>
      </c>
      <c r="C1119" t="n">
        <v>1</v>
      </c>
      <c r="D1119" t="n">
        <v>16</v>
      </c>
      <c r="E1119" t="n">
        <v>1</v>
      </c>
      <c r="F1119" t="n">
        <v>20250801</v>
      </c>
      <c r="G1119" t="n">
        <v>0</v>
      </c>
      <c r="H1119" t="n">
        <v>0</v>
      </c>
      <c r="I1119" t="n">
        <v>0</v>
      </c>
      <c r="J1119" t="n">
        <v>0</v>
      </c>
    </row>
    <row r="1120">
      <c r="A1120" t="inlineStr">
        <is>
          <t>b2663f9b2d3c2601e67f4685c5bb394c9dba8a504aee07344d2113b88975ba79</t>
        </is>
      </c>
      <c r="B1120" t="inlineStr">
        <is>
          <t>Framsikt / Visma (Skole)</t>
        </is>
      </c>
      <c r="C1120" t="n">
        <v>1</v>
      </c>
      <c r="D1120" t="n">
        <v>14</v>
      </c>
      <c r="E1120" t="n">
        <v>1</v>
      </c>
      <c r="F1120" t="n">
        <v>20250801</v>
      </c>
      <c r="G1120" t="n">
        <v>4000</v>
      </c>
      <c r="H1120" t="n">
        <v>4000</v>
      </c>
      <c r="I1120" t="n">
        <v>2000</v>
      </c>
      <c r="J1120" t="n">
        <v>2000</v>
      </c>
    </row>
    <row r="1121">
      <c r="A1121" t="inlineStr">
        <is>
          <t>fe17cd446316e167c7ef14487fbfed009a66cb71202998dda5824d2a5a318a6e</t>
        </is>
      </c>
      <c r="B1121" t="inlineStr">
        <is>
          <t>Framsikt / Visma (Skole)</t>
        </is>
      </c>
      <c r="C1121" t="n">
        <v>1</v>
      </c>
      <c r="D1121" t="n">
        <v>16</v>
      </c>
      <c r="E1121" t="n">
        <v>1</v>
      </c>
      <c r="F1121" t="n">
        <v>20250801</v>
      </c>
      <c r="G1121" t="n">
        <v>0</v>
      </c>
      <c r="H1121" t="n">
        <v>0</v>
      </c>
      <c r="I1121" t="n">
        <v>0</v>
      </c>
      <c r="J1121" t="n">
        <v>0</v>
      </c>
    </row>
    <row r="1122">
      <c r="A1122" t="inlineStr">
        <is>
          <t>5b952f33cf9224ad5e3e16d0bf16f470e9eebaf83982bf50093fb8c604476b79</t>
        </is>
      </c>
      <c r="B1122" t="inlineStr">
        <is>
          <t>Framsikt / Visma (Skole)</t>
        </is>
      </c>
      <c r="C1122" t="n">
        <v>1</v>
      </c>
      <c r="D1122" t="n">
        <v>16</v>
      </c>
      <c r="E1122" t="n">
        <v>1</v>
      </c>
      <c r="F1122" t="n">
        <v>20250801</v>
      </c>
      <c r="G1122" t="n">
        <v>0</v>
      </c>
      <c r="H1122" t="n">
        <v>0</v>
      </c>
      <c r="I1122" t="n">
        <v>0</v>
      </c>
      <c r="J1122" t="n">
        <v>0</v>
      </c>
    </row>
    <row r="1123">
      <c r="A1123" t="inlineStr">
        <is>
          <t>d09e1c60ad82e638d74161644fd93caf99566ca78ebfa5a70464fee73d6f3524</t>
        </is>
      </c>
      <c r="B1123" t="inlineStr">
        <is>
          <t>Framsikt / Visma (Skole)</t>
        </is>
      </c>
      <c r="C1123" t="n">
        <v>1</v>
      </c>
      <c r="D1123" t="n">
        <v>16</v>
      </c>
      <c r="E1123" t="n">
        <v>1</v>
      </c>
      <c r="F1123" t="n">
        <v>20250801</v>
      </c>
      <c r="G1123" t="n">
        <v>9000</v>
      </c>
      <c r="H1123" t="n">
        <v>9000</v>
      </c>
      <c r="I1123" t="n">
        <v>19000</v>
      </c>
      <c r="J1123" t="n">
        <v>-10000</v>
      </c>
    </row>
    <row r="1124">
      <c r="A1124" t="inlineStr">
        <is>
          <t>6930a3dd59b4d859bcb9d87c93a0ad431bf5159e9a6efd2c5511584ac2a46f5b</t>
        </is>
      </c>
      <c r="B1124" t="inlineStr">
        <is>
          <t>Framsikt / Visma (Skole)</t>
        </is>
      </c>
      <c r="C1124" t="n">
        <v>1</v>
      </c>
      <c r="D1124" t="n">
        <v>16</v>
      </c>
      <c r="E1124" t="n">
        <v>1</v>
      </c>
      <c r="F1124" t="n">
        <v>20250801</v>
      </c>
      <c r="G1124" t="n">
        <v>0</v>
      </c>
      <c r="H1124" t="n">
        <v>0</v>
      </c>
      <c r="I1124" t="n">
        <v>1000</v>
      </c>
      <c r="J1124" t="n">
        <v>-1000</v>
      </c>
    </row>
    <row r="1125">
      <c r="A1125" t="inlineStr">
        <is>
          <t>37f4bd556f7a1a5d2aa1ccc485e84e1402fdbdd328638e5e7dc80ec69b60920d</t>
        </is>
      </c>
      <c r="B1125" t="inlineStr">
        <is>
          <t>Framsikt / Visma (Skole)</t>
        </is>
      </c>
      <c r="C1125" t="n">
        <v>1</v>
      </c>
      <c r="D1125" t="n">
        <v>16</v>
      </c>
      <c r="E1125" t="n">
        <v>1</v>
      </c>
      <c r="F1125" t="n">
        <v>20250801</v>
      </c>
      <c r="G1125" t="n">
        <v>8000</v>
      </c>
      <c r="H1125" t="n">
        <v>8000</v>
      </c>
      <c r="I1125" t="n">
        <v>21000</v>
      </c>
      <c r="J1125" t="n">
        <v>-13000</v>
      </c>
    </row>
    <row r="1126">
      <c r="A1126" t="inlineStr">
        <is>
          <t>5e045796edb80094b503d27597ace8511bc51d49b869ebce44aa0551e936a6f6</t>
        </is>
      </c>
      <c r="B1126" t="inlineStr">
        <is>
          <t>Framsikt / Visma (Skole)</t>
        </is>
      </c>
      <c r="C1126" t="n">
        <v>1</v>
      </c>
      <c r="D1126" t="n">
        <v>16</v>
      </c>
      <c r="E1126" t="n">
        <v>1</v>
      </c>
      <c r="F1126" t="n">
        <v>20250801</v>
      </c>
      <c r="G1126" t="n">
        <v>0</v>
      </c>
      <c r="H1126" t="n">
        <v>0</v>
      </c>
      <c r="I1126" t="n">
        <v>0</v>
      </c>
      <c r="J1126" t="n">
        <v>0</v>
      </c>
    </row>
    <row r="1127">
      <c r="A1127" t="inlineStr">
        <is>
          <t>8627a739fbf714cfda94477263b90db03566cb7aa65095d1a116332026bc0734</t>
        </is>
      </c>
      <c r="B1127" t="inlineStr">
        <is>
          <t>Framsikt / Visma (Skole)</t>
        </is>
      </c>
      <c r="C1127" t="n">
        <v>1</v>
      </c>
      <c r="D1127" t="n">
        <v>16</v>
      </c>
      <c r="E1127" t="n">
        <v>1</v>
      </c>
      <c r="F1127" t="n">
        <v>20250801</v>
      </c>
      <c r="G1127" t="n">
        <v>27000</v>
      </c>
      <c r="H1127" t="n">
        <v>27000</v>
      </c>
      <c r="I1127" t="n">
        <v>13000</v>
      </c>
      <c r="J1127" t="n">
        <v>14000</v>
      </c>
    </row>
    <row r="1128">
      <c r="A1128" t="inlineStr">
        <is>
          <t>92d66a03573eadeb11df9a194b05e973d62b6d698aaf7f52383bb727f40fd1ec</t>
        </is>
      </c>
      <c r="B1128" t="inlineStr">
        <is>
          <t>Framsikt / Visma (Skole)</t>
        </is>
      </c>
      <c r="C1128" t="n">
        <v>1</v>
      </c>
      <c r="D1128" t="n">
        <v>16</v>
      </c>
      <c r="E1128" t="n">
        <v>1</v>
      </c>
      <c r="F1128" t="n">
        <v>20250801</v>
      </c>
      <c r="G1128" t="n">
        <v>14000</v>
      </c>
      <c r="H1128" t="n">
        <v>14000</v>
      </c>
      <c r="I1128" t="n">
        <v>0</v>
      </c>
      <c r="J1128" t="n">
        <v>14000</v>
      </c>
    </row>
    <row r="1129">
      <c r="A1129" t="inlineStr">
        <is>
          <t>2a96a577016269a48d2ebb415134c2bf047c4c3540cc3882a6beb59793400c37</t>
        </is>
      </c>
      <c r="B1129" t="inlineStr">
        <is>
          <t>Framsikt / Visma (Skole)</t>
        </is>
      </c>
      <c r="C1129" t="n">
        <v>1</v>
      </c>
      <c r="D1129" t="n">
        <v>16</v>
      </c>
      <c r="E1129" t="n">
        <v>1</v>
      </c>
      <c r="F1129" t="n">
        <v>20250801</v>
      </c>
      <c r="G1129" t="n">
        <v>1000</v>
      </c>
      <c r="H1129" t="n">
        <v>1000</v>
      </c>
      <c r="I1129" t="n">
        <v>0</v>
      </c>
      <c r="J1129" t="n">
        <v>1000</v>
      </c>
    </row>
    <row r="1130">
      <c r="A1130" t="inlineStr">
        <is>
          <t>077ddd3e72a32ac371a835b1f00d4e77f70ae75b223f973f543ff589cf2e9465</t>
        </is>
      </c>
      <c r="B1130" t="inlineStr">
        <is>
          <t>Framsikt / Visma (Skole)</t>
        </is>
      </c>
      <c r="C1130" t="n">
        <v>1</v>
      </c>
      <c r="D1130" t="n">
        <v>16</v>
      </c>
      <c r="E1130" t="n">
        <v>1</v>
      </c>
      <c r="F1130" t="n">
        <v>20250801</v>
      </c>
      <c r="G1130" t="n">
        <v>19000</v>
      </c>
      <c r="H1130" t="n">
        <v>19000</v>
      </c>
      <c r="I1130" t="n">
        <v>20000</v>
      </c>
      <c r="J1130" t="n">
        <v>-1000</v>
      </c>
    </row>
    <row r="1131">
      <c r="A1131" t="inlineStr">
        <is>
          <t>6fa47f90345ba30128dca2511e5cb6a2412ca129864dfe0f90e474004d0d4e0d</t>
        </is>
      </c>
      <c r="B1131" t="inlineStr">
        <is>
          <t>Framsikt / Visma (Skole)</t>
        </is>
      </c>
      <c r="C1131" t="n">
        <v>1</v>
      </c>
      <c r="D1131" t="n">
        <v>16</v>
      </c>
      <c r="E1131" t="n">
        <v>1</v>
      </c>
      <c r="F1131" t="n">
        <v>20250801</v>
      </c>
      <c r="G1131" t="n">
        <v>18000</v>
      </c>
      <c r="H1131" t="n">
        <v>18000</v>
      </c>
      <c r="I1131" t="n">
        <v>7000</v>
      </c>
      <c r="J1131" t="n">
        <v>11000</v>
      </c>
    </row>
    <row r="1132">
      <c r="A1132" t="inlineStr">
        <is>
          <t>e80e8440ceac97b4692540e89e1de8b44c8600eb68300d2e4ba83930115a9e33</t>
        </is>
      </c>
      <c r="B1132" t="inlineStr">
        <is>
          <t>Framsikt / Visma (Skole)</t>
        </is>
      </c>
      <c r="C1132" t="n">
        <v>1</v>
      </c>
      <c r="D1132" t="n">
        <v>16</v>
      </c>
      <c r="E1132" t="n">
        <v>1</v>
      </c>
      <c r="F1132" t="n">
        <v>20250801</v>
      </c>
      <c r="G1132" t="n">
        <v>4000</v>
      </c>
      <c r="H1132" t="n">
        <v>4000</v>
      </c>
      <c r="I1132" t="n">
        <v>4000</v>
      </c>
      <c r="J1132" t="n">
        <v>0</v>
      </c>
    </row>
    <row r="1133">
      <c r="A1133" t="inlineStr">
        <is>
          <t>07a8a514ebb87879e3529dc85616bda608e5d9bd10a914b36767c968097a3d8c</t>
        </is>
      </c>
      <c r="B1133" t="inlineStr">
        <is>
          <t>Framsikt / Visma (Skole)</t>
        </is>
      </c>
      <c r="C1133" t="n">
        <v>1</v>
      </c>
      <c r="D1133" t="n">
        <v>16</v>
      </c>
      <c r="E1133" t="n">
        <v>1</v>
      </c>
      <c r="F1133" t="n">
        <v>20250801</v>
      </c>
      <c r="G1133" t="n">
        <v>54000</v>
      </c>
      <c r="H1133" t="n">
        <v>54000</v>
      </c>
      <c r="I1133" t="n">
        <v>0</v>
      </c>
      <c r="J1133" t="n">
        <v>54000</v>
      </c>
    </row>
    <row r="1134">
      <c r="A1134" t="inlineStr">
        <is>
          <t>9ce9b6e6362466424076b2c1f2f38457ce3e5458b33cddb7df9182e4e27578ba</t>
        </is>
      </c>
      <c r="B1134" t="inlineStr">
        <is>
          <t>Framsikt / Visma (Skole)</t>
        </is>
      </c>
      <c r="C1134" t="n">
        <v>1</v>
      </c>
      <c r="D1134" t="n">
        <v>16</v>
      </c>
      <c r="E1134" t="n">
        <v>1</v>
      </c>
      <c r="F1134" t="n">
        <v>20250801</v>
      </c>
      <c r="G1134" t="n">
        <v>71000</v>
      </c>
      <c r="H1134" t="n">
        <v>71000</v>
      </c>
      <c r="I1134" t="n">
        <v>61000</v>
      </c>
      <c r="J1134" t="n">
        <v>10000</v>
      </c>
    </row>
    <row r="1135">
      <c r="A1135" t="inlineStr">
        <is>
          <t>06eed08b25db0fc1a9029c8da5962093bd8b50fa86cea60ec385f77d438a34ab</t>
        </is>
      </c>
      <c r="B1135" t="inlineStr">
        <is>
          <t>Framsikt / Visma (Skole)</t>
        </is>
      </c>
      <c r="C1135" t="n">
        <v>1</v>
      </c>
      <c r="D1135" t="n">
        <v>16</v>
      </c>
      <c r="E1135" t="n">
        <v>1</v>
      </c>
      <c r="F1135" t="n">
        <v>20250801</v>
      </c>
      <c r="G1135" t="n">
        <v>110000</v>
      </c>
      <c r="H1135" t="n">
        <v>110000</v>
      </c>
      <c r="I1135" t="n">
        <v>146000</v>
      </c>
      <c r="J1135" t="n">
        <v>-36000</v>
      </c>
    </row>
    <row r="1136">
      <c r="A1136" t="inlineStr">
        <is>
          <t>7a9096b05a7f845a5eebc76a2db9f3d87fba3eeaaaab0295a0019b3e412fe9e8</t>
        </is>
      </c>
      <c r="B1136" t="inlineStr">
        <is>
          <t>Framsikt / Visma (Skole)</t>
        </is>
      </c>
      <c r="C1136" t="n">
        <v>1</v>
      </c>
      <c r="D1136" t="n">
        <v>14</v>
      </c>
      <c r="E1136" t="n">
        <v>1</v>
      </c>
      <c r="F1136" t="n">
        <v>20250801</v>
      </c>
      <c r="G1136" t="n">
        <v>163000</v>
      </c>
      <c r="H1136" t="n">
        <v>163000</v>
      </c>
      <c r="I1136" t="n">
        <v>122000</v>
      </c>
      <c r="J1136" t="n">
        <v>41000</v>
      </c>
    </row>
    <row r="1137">
      <c r="A1137" t="inlineStr">
        <is>
          <t>852d7079fd0d46812150d11a700ba1bc374ab50bc31030101f6296b10aa66258</t>
        </is>
      </c>
      <c r="B1137" t="inlineStr">
        <is>
          <t>Framsikt / Visma (Skole)</t>
        </is>
      </c>
      <c r="C1137" t="n">
        <v>1</v>
      </c>
      <c r="D1137" t="n">
        <v>16</v>
      </c>
      <c r="E1137" t="n">
        <v>1</v>
      </c>
      <c r="F1137" t="n">
        <v>20250801</v>
      </c>
      <c r="G1137" t="n">
        <v>26000</v>
      </c>
      <c r="H1137" t="n">
        <v>26000</v>
      </c>
      <c r="I1137" t="n">
        <v>10000</v>
      </c>
      <c r="J1137" t="n">
        <v>16000</v>
      </c>
    </row>
    <row r="1138">
      <c r="A1138" t="inlineStr">
        <is>
          <t>299ecc96f218d97fd8cbadc7b4154b704a07b95057c304d9afcec6f670199a28</t>
        </is>
      </c>
      <c r="B1138" t="inlineStr">
        <is>
          <t>Framsikt / Visma (Skole)</t>
        </is>
      </c>
      <c r="C1138" t="n">
        <v>1</v>
      </c>
      <c r="D1138" t="n">
        <v>16</v>
      </c>
      <c r="E1138" t="n">
        <v>1</v>
      </c>
      <c r="F1138" t="n">
        <v>20250801</v>
      </c>
      <c r="G1138" t="n">
        <v>5000</v>
      </c>
      <c r="H1138" t="n">
        <v>5000</v>
      </c>
      <c r="I1138" t="n">
        <v>7000</v>
      </c>
      <c r="J1138" t="n">
        <v>-2000</v>
      </c>
    </row>
    <row r="1139">
      <c r="A1139" t="inlineStr">
        <is>
          <t>82b0b19b6aa9e2c87d9f5304e4ea8b81927f67bc9defeb6d98294612cda8dffa</t>
        </is>
      </c>
      <c r="B1139" t="inlineStr">
        <is>
          <t>Framsikt / Visma (Skole)</t>
        </is>
      </c>
      <c r="C1139" t="n">
        <v>1</v>
      </c>
      <c r="D1139" t="n">
        <v>26</v>
      </c>
      <c r="E1139" t="n">
        <v>1</v>
      </c>
      <c r="F1139" t="n">
        <v>20250801</v>
      </c>
      <c r="G1139" t="n">
        <v>32000</v>
      </c>
      <c r="H1139" t="n">
        <v>32000</v>
      </c>
      <c r="I1139" t="n">
        <v>0</v>
      </c>
      <c r="J1139" t="n">
        <v>32000</v>
      </c>
    </row>
    <row r="1140">
      <c r="A1140" t="inlineStr">
        <is>
          <t>2484a5e9a64b0304d905c9c96f4c5f36fe4e4ec78f7ffe337f2be13629b30849</t>
        </is>
      </c>
      <c r="B1140" t="inlineStr">
        <is>
          <t>Framsikt / Visma (Skole)</t>
        </is>
      </c>
      <c r="C1140" t="n">
        <v>1</v>
      </c>
      <c r="D1140" t="n">
        <v>26</v>
      </c>
      <c r="E1140" t="n">
        <v>1</v>
      </c>
      <c r="F1140" t="n">
        <v>20250801</v>
      </c>
      <c r="G1140" t="n">
        <v>7000</v>
      </c>
      <c r="H1140" t="n">
        <v>7000</v>
      </c>
      <c r="I1140" t="n">
        <v>0</v>
      </c>
      <c r="J1140" t="n">
        <v>7000</v>
      </c>
    </row>
    <row r="1141">
      <c r="A1141" t="inlineStr">
        <is>
          <t>2441ed61e445eaf417efedc9d34d5b058e91707052b4b283f3d501a451198c80</t>
        </is>
      </c>
      <c r="B1141" t="inlineStr">
        <is>
          <t>Framsikt / Visma (Skole)</t>
        </is>
      </c>
      <c r="C1141" t="n">
        <v>1</v>
      </c>
      <c r="D1141" t="n">
        <v>16</v>
      </c>
      <c r="E1141" t="n">
        <v>1</v>
      </c>
      <c r="F1141" t="n">
        <v>20250801</v>
      </c>
      <c r="G1141" t="n">
        <v>177000</v>
      </c>
      <c r="H1141" t="n">
        <v>177000</v>
      </c>
      <c r="I1141" t="n">
        <v>0</v>
      </c>
      <c r="J1141" t="n">
        <v>177000</v>
      </c>
    </row>
    <row r="1142">
      <c r="A1142" t="inlineStr">
        <is>
          <t>e662f15f646fc95293b2ca4c117602a0aa71ac0ddcd44ff49190a156fb01be06</t>
        </is>
      </c>
      <c r="B1142" t="inlineStr">
        <is>
          <t>Framsikt / Visma (Skole)</t>
        </is>
      </c>
      <c r="C1142" t="n">
        <v>1</v>
      </c>
      <c r="D1142" t="n">
        <v>16</v>
      </c>
      <c r="E1142" t="n">
        <v>1</v>
      </c>
      <c r="F1142" t="n">
        <v>20250801</v>
      </c>
      <c r="G1142" t="n">
        <v>0</v>
      </c>
      <c r="H1142" t="n">
        <v>0</v>
      </c>
      <c r="I1142" t="n">
        <v>0</v>
      </c>
      <c r="J1142" t="n">
        <v>0</v>
      </c>
    </row>
    <row r="1143">
      <c r="A1143" t="inlineStr">
        <is>
          <t>dfda55ced11616df9e275cf1002e6dd1dd21c69793051b3ef40955b57593e109</t>
        </is>
      </c>
      <c r="B1143" t="inlineStr">
        <is>
          <t>Framsikt / Visma (Skole)</t>
        </is>
      </c>
      <c r="C1143" t="n">
        <v>1</v>
      </c>
      <c r="D1143" t="n">
        <v>16</v>
      </c>
      <c r="E1143" t="n">
        <v>1</v>
      </c>
      <c r="F1143" t="n">
        <v>20250801</v>
      </c>
      <c r="G1143" t="n">
        <v>250000</v>
      </c>
      <c r="H1143" t="n">
        <v>250000</v>
      </c>
      <c r="I1143" t="n">
        <v>0</v>
      </c>
      <c r="J1143" t="n">
        <v>250000</v>
      </c>
    </row>
    <row r="1144">
      <c r="A1144" t="inlineStr">
        <is>
          <t>c9aa975e40a40717b08f00174c497928ed8065d493fc4c4a74ca348ac32e5e20</t>
        </is>
      </c>
      <c r="B1144" t="inlineStr">
        <is>
          <t>Framsikt / Visma (Skole)</t>
        </is>
      </c>
      <c r="C1144" t="n">
        <v>1</v>
      </c>
      <c r="D1144" t="n">
        <v>16</v>
      </c>
      <c r="E1144" t="n">
        <v>1</v>
      </c>
      <c r="F1144" t="n">
        <v>20250801</v>
      </c>
      <c r="G1144" t="n">
        <v>0</v>
      </c>
      <c r="H1144" t="n">
        <v>0</v>
      </c>
      <c r="I1144" t="n">
        <v>0</v>
      </c>
      <c r="J1144" t="n">
        <v>0</v>
      </c>
    </row>
    <row r="1145">
      <c r="A1145" t="inlineStr">
        <is>
          <t>8db99aa6e8fcc671403e0b68eea0731f400ae6c8424d40441a392c8c15b8e236</t>
        </is>
      </c>
      <c r="B1145" t="inlineStr">
        <is>
          <t>Framsikt / Visma (Skole)</t>
        </is>
      </c>
      <c r="C1145" t="n">
        <v>1</v>
      </c>
      <c r="D1145" t="n">
        <v>16</v>
      </c>
      <c r="E1145" t="n">
        <v>1</v>
      </c>
      <c r="F1145" t="n">
        <v>20250801</v>
      </c>
      <c r="G1145" t="n">
        <v>-37000</v>
      </c>
      <c r="H1145" t="n">
        <v>-37000</v>
      </c>
      <c r="I1145" t="n">
        <v>0</v>
      </c>
      <c r="J1145" t="n">
        <v>-37000</v>
      </c>
    </row>
    <row r="1146">
      <c r="A1146" t="inlineStr">
        <is>
          <t>b41fa7210fdcb2d5e9bd08ff664bd5a532e47dfb4d1550375cdf111fb5f4bcea</t>
        </is>
      </c>
      <c r="B1146" t="inlineStr">
        <is>
          <t>Framsikt / Visma (Skole)</t>
        </is>
      </c>
      <c r="C1146" t="n">
        <v>1</v>
      </c>
      <c r="D1146" t="n">
        <v>16</v>
      </c>
      <c r="E1146" t="n">
        <v>1</v>
      </c>
      <c r="F1146" t="n">
        <v>20250801</v>
      </c>
      <c r="G1146" t="n">
        <v>-222000</v>
      </c>
      <c r="H1146" t="n">
        <v>-222000</v>
      </c>
      <c r="I1146" t="n">
        <v>0</v>
      </c>
      <c r="J1146" t="n">
        <v>-222000</v>
      </c>
    </row>
    <row r="1147">
      <c r="A1147" t="inlineStr">
        <is>
          <t>3355fe6ac5bc7b8b4e03d0da83cbbf1ba7f1aece1fcab6818cfb268a5962a6af</t>
        </is>
      </c>
      <c r="B1147" t="inlineStr">
        <is>
          <t>Framsikt / Visma (Skole)</t>
        </is>
      </c>
      <c r="C1147" t="n">
        <v>1</v>
      </c>
      <c r="D1147" t="n">
        <v>5</v>
      </c>
      <c r="E1147" t="n">
        <v>1</v>
      </c>
      <c r="F1147" t="n">
        <v>20250801</v>
      </c>
      <c r="G1147" t="n">
        <v>-389000</v>
      </c>
      <c r="H1147" t="n">
        <v>-389000</v>
      </c>
      <c r="I1147" t="n">
        <v>0</v>
      </c>
      <c r="J1147" t="n">
        <v>-389000</v>
      </c>
    </row>
    <row r="1148">
      <c r="A1148" t="inlineStr">
        <is>
          <t>210a6a30a1cdb834427e69d21f920c56d611dd2cef1916dfcc438c6bf303a7db</t>
        </is>
      </c>
      <c r="B1148" t="inlineStr">
        <is>
          <t>Framsikt / Visma (Skole)</t>
        </is>
      </c>
      <c r="C1148" t="n">
        <v>1</v>
      </c>
      <c r="D1148" t="n">
        <v>5</v>
      </c>
      <c r="E1148" t="n">
        <v>1</v>
      </c>
      <c r="F1148" t="n">
        <v>20250801</v>
      </c>
      <c r="G1148" t="n">
        <v>-945000</v>
      </c>
      <c r="H1148" t="n">
        <v>-945000</v>
      </c>
      <c r="I1148" t="n">
        <v>0</v>
      </c>
      <c r="J1148" t="n">
        <v>-945000</v>
      </c>
    </row>
    <row r="1149">
      <c r="A1149" t="inlineStr">
        <is>
          <t>cf3777b916bfe9945f755550f011ea5757d594bd783e737c4528c4986fd766dc</t>
        </is>
      </c>
      <c r="B1149" t="inlineStr">
        <is>
          <t>Framsikt / Visma (Skole)</t>
        </is>
      </c>
      <c r="C1149" t="n">
        <v>1</v>
      </c>
      <c r="D1149" t="n">
        <v>5</v>
      </c>
      <c r="E1149" t="n">
        <v>1</v>
      </c>
      <c r="F1149" t="n">
        <v>20250801</v>
      </c>
      <c r="G1149" t="n">
        <v>0</v>
      </c>
      <c r="H1149" t="n">
        <v>0</v>
      </c>
      <c r="I1149" t="n">
        <v>0</v>
      </c>
      <c r="J1149" t="n">
        <v>0</v>
      </c>
    </row>
    <row r="1150">
      <c r="A1150" t="inlineStr">
        <is>
          <t>08577094884c01573c1a4cb82f4b185a490903dc9dc277ef226adb340a69eca4</t>
        </is>
      </c>
      <c r="B1150" t="inlineStr">
        <is>
          <t>Framsikt / Visma (Skole)</t>
        </is>
      </c>
      <c r="C1150" t="n">
        <v>1</v>
      </c>
      <c r="D1150" t="n">
        <v>34</v>
      </c>
      <c r="E1150" t="n">
        <v>1</v>
      </c>
      <c r="F1150" t="n">
        <v>20250801</v>
      </c>
      <c r="G1150" t="n">
        <v>-177000</v>
      </c>
      <c r="H1150" t="n">
        <v>177000</v>
      </c>
      <c r="I1150" t="n">
        <v>0</v>
      </c>
      <c r="J1150" t="n">
        <v>177000</v>
      </c>
    </row>
    <row r="1151">
      <c r="A1151" t="inlineStr">
        <is>
          <t>24c9f1ab25ab763efbb497f5d1fc4fa0699762df06a7ac9f8939d7cf1127c36d</t>
        </is>
      </c>
      <c r="B1151" t="inlineStr">
        <is>
          <t>Framsikt / Visma (Skole)</t>
        </is>
      </c>
      <c r="C1151" t="n">
        <v>1</v>
      </c>
      <c r="D1151" t="n">
        <v>16</v>
      </c>
      <c r="E1151" t="n">
        <v>1</v>
      </c>
      <c r="F1151" t="n">
        <v>20250801</v>
      </c>
      <c r="G1151" t="n">
        <v>-250000</v>
      </c>
      <c r="H1151" t="n">
        <v>-250000</v>
      </c>
      <c r="I1151" t="n">
        <v>0</v>
      </c>
      <c r="J1151" t="n">
        <v>-250000</v>
      </c>
    </row>
    <row r="1152">
      <c r="A1152" t="inlineStr">
        <is>
          <t>a8d00fbd01caa9f5d4605c719b6a24bded1d73a4c6e13e59a2ca52b6bab5a302</t>
        </is>
      </c>
      <c r="B1152" t="inlineStr">
        <is>
          <t>Framsikt / Visma (Skole)</t>
        </is>
      </c>
      <c r="C1152" t="n">
        <v>1</v>
      </c>
      <c r="D1152" t="n">
        <v>16</v>
      </c>
      <c r="E1152" t="n">
        <v>1</v>
      </c>
      <c r="F1152" t="n">
        <v>20250801</v>
      </c>
      <c r="G1152" t="n">
        <v>0</v>
      </c>
      <c r="H1152" t="n">
        <v>0</v>
      </c>
      <c r="I1152" t="n">
        <v>-35000</v>
      </c>
      <c r="J1152" t="n">
        <v>35000</v>
      </c>
    </row>
    <row r="1153">
      <c r="A1153" t="inlineStr">
        <is>
          <t>5b0f80829d8e2a4e54341f115260ee97e309b5610dd11549aefd11d147acb079</t>
        </is>
      </c>
      <c r="B1153" t="inlineStr">
        <is>
          <t>Framsikt / Visma (Skole)</t>
        </is>
      </c>
      <c r="C1153" t="n">
        <v>1</v>
      </c>
      <c r="D1153" t="n">
        <v>16</v>
      </c>
      <c r="E1153" t="n">
        <v>1</v>
      </c>
      <c r="F1153" t="n">
        <v>20250801</v>
      </c>
      <c r="G1153" t="n">
        <v>-29000</v>
      </c>
      <c r="H1153" t="n">
        <v>-29000</v>
      </c>
      <c r="I1153" t="n">
        <v>0</v>
      </c>
      <c r="J1153" t="n">
        <v>-29000</v>
      </c>
    </row>
    <row r="1154">
      <c r="A1154" t="inlineStr">
        <is>
          <t>1022ff549767839b1097141e6517d474b1c5f3646b43fd1d32b8b1262cfe98d1</t>
        </is>
      </c>
      <c r="B1154" t="inlineStr">
        <is>
          <t>Framsikt / Visma (Skole)</t>
        </is>
      </c>
      <c r="C1154" t="n">
        <v>1</v>
      </c>
      <c r="D1154" t="n">
        <v>16</v>
      </c>
      <c r="E1154" t="n">
        <v>1</v>
      </c>
      <c r="F1154" t="n">
        <v>20250801</v>
      </c>
      <c r="G1154" t="n">
        <v>-176000</v>
      </c>
      <c r="H1154" t="n">
        <v>-176000</v>
      </c>
      <c r="I1154" t="n">
        <v>0</v>
      </c>
      <c r="J1154" t="n">
        <v>-176000</v>
      </c>
    </row>
    <row r="1155">
      <c r="A1155" t="inlineStr">
        <is>
          <t>ab67a4500834d3b612d620ddddcad053051608cd1de595a7577a01a89205b417</t>
        </is>
      </c>
      <c r="B1155" t="inlineStr">
        <is>
          <t>Framsikt / Visma (Skole)</t>
        </is>
      </c>
      <c r="C1155" t="n">
        <v>1</v>
      </c>
      <c r="D1155" t="n">
        <v>16</v>
      </c>
      <c r="E1155" t="n">
        <v>1</v>
      </c>
      <c r="F1155" t="n">
        <v>20250801</v>
      </c>
      <c r="G1155" t="n">
        <v>0</v>
      </c>
      <c r="H1155" t="n">
        <v>0</v>
      </c>
      <c r="I1155" t="n">
        <v>0</v>
      </c>
      <c r="J1155" t="n">
        <v>0</v>
      </c>
    </row>
    <row r="1156">
      <c r="A1156" t="inlineStr">
        <is>
          <t>7f15320ed2cd643fe690a4c2e736bb5d63be763b84f941e5b713674e20934cd8</t>
        </is>
      </c>
      <c r="B1156" t="inlineStr">
        <is>
          <t>Framsikt / Visma (Skole)</t>
        </is>
      </c>
      <c r="C1156" t="n">
        <v>1</v>
      </c>
      <c r="D1156" t="n">
        <v>16</v>
      </c>
      <c r="E1156" t="n">
        <v>1</v>
      </c>
      <c r="F1156" t="n">
        <v>20250801</v>
      </c>
      <c r="G1156" t="n">
        <v>0</v>
      </c>
      <c r="H1156" t="n">
        <v>0</v>
      </c>
      <c r="I1156" t="n">
        <v>-65000</v>
      </c>
      <c r="J1156" t="n">
        <v>65000</v>
      </c>
    </row>
    <row r="1157">
      <c r="A1157" t="inlineStr">
        <is>
          <t>b0ad17bcae9ec8125693863bed978a747c4109582e1783064a7c119066d2d2f0</t>
        </is>
      </c>
      <c r="B1157" t="inlineStr">
        <is>
          <t>Framsikt / Visma (Skole)</t>
        </is>
      </c>
      <c r="C1157" t="n">
        <v>1</v>
      </c>
      <c r="D1157" t="n">
        <v>1</v>
      </c>
      <c r="E1157" t="n">
        <v>2</v>
      </c>
      <c r="F1157" t="n">
        <v>20250801</v>
      </c>
      <c r="G1157" t="n">
        <v>639000</v>
      </c>
      <c r="H1157" t="n">
        <v>639000</v>
      </c>
      <c r="I1157" t="n">
        <v>554000</v>
      </c>
      <c r="J1157" t="n">
        <v>85000</v>
      </c>
    </row>
    <row r="1158">
      <c r="A1158" t="inlineStr">
        <is>
          <t>247f11da0c38eca87359eddca3f27101d70629eaf4d2439c6ad551d8b1a39ac1</t>
        </is>
      </c>
      <c r="B1158" t="inlineStr">
        <is>
          <t>Framsikt / Visma (Skole)</t>
        </is>
      </c>
      <c r="C1158" t="n">
        <v>1</v>
      </c>
      <c r="D1158" t="n">
        <v>1</v>
      </c>
      <c r="E1158" t="n">
        <v>2</v>
      </c>
      <c r="F1158" t="n">
        <v>20250801</v>
      </c>
      <c r="G1158" t="n">
        <v>0</v>
      </c>
      <c r="H1158" t="n">
        <v>0</v>
      </c>
      <c r="I1158" t="n">
        <v>0</v>
      </c>
      <c r="J1158" t="n">
        <v>0</v>
      </c>
    </row>
    <row r="1159">
      <c r="A1159" t="inlineStr">
        <is>
          <t>057409bfe4e60f9be7db6fc50c58310940fa52f64d831101db7022568a84a1de</t>
        </is>
      </c>
      <c r="B1159" t="inlineStr">
        <is>
          <t>Framsikt / Visma (Skole)</t>
        </is>
      </c>
      <c r="C1159" t="n">
        <v>1</v>
      </c>
      <c r="D1159" t="n">
        <v>1</v>
      </c>
      <c r="E1159" t="n">
        <v>2</v>
      </c>
      <c r="F1159" t="n">
        <v>20250801</v>
      </c>
      <c r="G1159" t="n">
        <v>9000</v>
      </c>
      <c r="H1159" t="n">
        <v>9000</v>
      </c>
      <c r="I1159" t="n">
        <v>18000</v>
      </c>
      <c r="J1159" t="n">
        <v>-9000</v>
      </c>
    </row>
    <row r="1160">
      <c r="A1160" t="inlineStr">
        <is>
          <t>aead4a8cb1a12f16cc43d8ac57f006eeb254c514423fd8ccfe486e25cfabd682</t>
        </is>
      </c>
      <c r="B1160" t="inlineStr">
        <is>
          <t>Framsikt / Visma (Skole)</t>
        </is>
      </c>
      <c r="C1160" t="n">
        <v>1</v>
      </c>
      <c r="D1160" t="n">
        <v>5</v>
      </c>
      <c r="E1160" t="n">
        <v>2</v>
      </c>
      <c r="F1160" t="n">
        <v>20250801</v>
      </c>
      <c r="G1160" t="n">
        <v>0</v>
      </c>
      <c r="H1160" t="n">
        <v>0</v>
      </c>
      <c r="I1160" t="n">
        <v>0</v>
      </c>
      <c r="J1160" t="n">
        <v>0</v>
      </c>
    </row>
    <row r="1161">
      <c r="A1161" t="inlineStr">
        <is>
          <t>f745d7778d9e371df4cc90b22c37c99835c521da0d5c0fbb4de72318b25bb86d</t>
        </is>
      </c>
      <c r="B1161" t="inlineStr">
        <is>
          <t>Framsikt / Visma (Skole)</t>
        </is>
      </c>
      <c r="C1161" t="n">
        <v>1</v>
      </c>
      <c r="D1161" t="n">
        <v>2</v>
      </c>
      <c r="E1161" t="n">
        <v>2</v>
      </c>
      <c r="F1161" t="n">
        <v>20250801</v>
      </c>
      <c r="G1161" t="n">
        <v>25000</v>
      </c>
      <c r="H1161" t="n">
        <v>25000</v>
      </c>
      <c r="I1161" t="n">
        <v>0</v>
      </c>
      <c r="J1161" t="n">
        <v>25000</v>
      </c>
    </row>
    <row r="1162">
      <c r="A1162" t="inlineStr">
        <is>
          <t>c7dddbd48685845d4f8857b1af6d6ceb2aa601a06913e27787225afd87599a63</t>
        </is>
      </c>
      <c r="B1162" t="inlineStr">
        <is>
          <t>Framsikt / Visma (Skole)</t>
        </is>
      </c>
      <c r="C1162" t="n">
        <v>1</v>
      </c>
      <c r="D1162" t="n">
        <v>2</v>
      </c>
      <c r="E1162" t="n">
        <v>2</v>
      </c>
      <c r="F1162" t="n">
        <v>20250801</v>
      </c>
      <c r="G1162" t="n">
        <v>13000</v>
      </c>
      <c r="H1162" t="n">
        <v>13000</v>
      </c>
      <c r="I1162" t="n">
        <v>0</v>
      </c>
      <c r="J1162" t="n">
        <v>13000</v>
      </c>
    </row>
    <row r="1163">
      <c r="A1163" t="inlineStr">
        <is>
          <t>95010f50afbc149074fa38885d2474f4af0cec1a8c611c255391495cf4bf83ae</t>
        </is>
      </c>
      <c r="B1163" t="inlineStr">
        <is>
          <t>Framsikt / Visma (Skole)</t>
        </is>
      </c>
      <c r="C1163" t="n">
        <v>1</v>
      </c>
      <c r="D1163" t="n">
        <v>3</v>
      </c>
      <c r="E1163" t="n">
        <v>2</v>
      </c>
      <c r="F1163" t="n">
        <v>20250801</v>
      </c>
      <c r="G1163" t="n">
        <v>7000</v>
      </c>
      <c r="H1163" t="n">
        <v>7000</v>
      </c>
      <c r="I1163" t="n">
        <v>0</v>
      </c>
      <c r="J1163" t="n">
        <v>7000</v>
      </c>
    </row>
    <row r="1164">
      <c r="A1164" t="inlineStr">
        <is>
          <t>555b1c41b2fef32f7105e89855d093c0902204d0b5eedebc9f804da3dbf8f55b</t>
        </is>
      </c>
      <c r="B1164" t="inlineStr">
        <is>
          <t>Framsikt / Visma (Skole)</t>
        </is>
      </c>
      <c r="C1164" t="n">
        <v>1</v>
      </c>
      <c r="D1164" t="n">
        <v>4</v>
      </c>
      <c r="E1164" t="n">
        <v>2</v>
      </c>
      <c r="F1164" t="n">
        <v>20250801</v>
      </c>
      <c r="G1164" t="n">
        <v>16000</v>
      </c>
      <c r="H1164" t="n">
        <v>16000</v>
      </c>
      <c r="I1164" t="n">
        <v>0</v>
      </c>
      <c r="J1164" t="n">
        <v>16000</v>
      </c>
    </row>
    <row r="1165">
      <c r="A1165" t="inlineStr">
        <is>
          <t>fcc73850ca9c9458cf08f063be2a05d5a54e136cf3db24c67fd4c3d4ec4b0aff</t>
        </is>
      </c>
      <c r="B1165" t="inlineStr">
        <is>
          <t>Framsikt / Visma (Skole)</t>
        </is>
      </c>
      <c r="C1165" t="n">
        <v>1</v>
      </c>
      <c r="D1165" t="n">
        <v>5</v>
      </c>
      <c r="E1165" t="n">
        <v>2</v>
      </c>
      <c r="F1165" t="n">
        <v>20250801</v>
      </c>
      <c r="G1165" t="n">
        <v>0</v>
      </c>
      <c r="H1165" t="n">
        <v>0</v>
      </c>
      <c r="I1165" t="n">
        <v>0</v>
      </c>
      <c r="J1165" t="n">
        <v>0</v>
      </c>
    </row>
    <row r="1166">
      <c r="A1166" t="inlineStr">
        <is>
          <t>10d4c7fe875602a728ffdf305bafc5a0a647848f908e67d0b0dcb9dc0d31fde3</t>
        </is>
      </c>
      <c r="B1166" t="inlineStr">
        <is>
          <t>Framsikt / Visma (Skole)</t>
        </is>
      </c>
      <c r="C1166" t="n">
        <v>1</v>
      </c>
      <c r="D1166" t="n">
        <v>5</v>
      </c>
      <c r="E1166" t="n">
        <v>2</v>
      </c>
      <c r="F1166" t="n">
        <v>20250801</v>
      </c>
      <c r="G1166" t="n">
        <v>0</v>
      </c>
      <c r="H1166" t="n">
        <v>0</v>
      </c>
      <c r="I1166" t="n">
        <v>0</v>
      </c>
      <c r="J1166" t="n">
        <v>0</v>
      </c>
    </row>
    <row r="1167">
      <c r="A1167" t="inlineStr">
        <is>
          <t>964f3f48c365d20f16e1a8064acd9d81eaa256776cd067527f17c4c23c968e68</t>
        </is>
      </c>
      <c r="B1167" t="inlineStr">
        <is>
          <t>Framsikt / Visma (Skole)</t>
        </is>
      </c>
      <c r="C1167" t="n">
        <v>1</v>
      </c>
      <c r="D1167" t="n">
        <v>6</v>
      </c>
      <c r="E1167" t="n">
        <v>2</v>
      </c>
      <c r="F1167" t="n">
        <v>20250801</v>
      </c>
      <c r="G1167" t="n">
        <v>121000</v>
      </c>
      <c r="H1167" t="n">
        <v>121000</v>
      </c>
      <c r="I1167" t="n">
        <v>116000</v>
      </c>
      <c r="J1167" t="n">
        <v>5000</v>
      </c>
    </row>
    <row r="1168">
      <c r="A1168" t="inlineStr">
        <is>
          <t>3bffbe4670b6dae970af65720d7dbf3a3088e6f67f3faf12dc26f35ed7495bc0</t>
        </is>
      </c>
      <c r="B1168" t="inlineStr">
        <is>
          <t>Framsikt / Visma (Skole)</t>
        </is>
      </c>
      <c r="C1168" t="n">
        <v>1</v>
      </c>
      <c r="D1168" t="n">
        <v>6</v>
      </c>
      <c r="E1168" t="n">
        <v>2</v>
      </c>
      <c r="F1168" t="n">
        <v>20250801</v>
      </c>
      <c r="G1168" t="n">
        <v>1000</v>
      </c>
      <c r="H1168" t="n">
        <v>1000</v>
      </c>
      <c r="I1168" t="n">
        <v>0</v>
      </c>
      <c r="J1168" t="n">
        <v>1000</v>
      </c>
    </row>
    <row r="1169">
      <c r="A1169" t="inlineStr">
        <is>
          <t>0e6fcbd4f22040f63447fa20100250be11220de370dcda49ec42a6a032f17626</t>
        </is>
      </c>
      <c r="B1169" t="inlineStr">
        <is>
          <t>Framsikt / Visma (Skole)</t>
        </is>
      </c>
      <c r="C1169" t="n">
        <v>1</v>
      </c>
      <c r="D1169" t="n">
        <v>5</v>
      </c>
      <c r="E1169" t="n">
        <v>2</v>
      </c>
      <c r="F1169" t="n">
        <v>20250801</v>
      </c>
      <c r="G1169" t="n">
        <v>0</v>
      </c>
      <c r="H1169" t="n">
        <v>0</v>
      </c>
      <c r="I1169" t="n">
        <v>0</v>
      </c>
      <c r="J1169" t="n">
        <v>0</v>
      </c>
    </row>
    <row r="1170">
      <c r="A1170" t="inlineStr">
        <is>
          <t>16197ee550f11fb3620ef62e7ec76d02d94ed1bb2fff7c746bcb46ee68e1e4d1</t>
        </is>
      </c>
      <c r="B1170" t="inlineStr">
        <is>
          <t>Framsikt / Visma (Skole)</t>
        </is>
      </c>
      <c r="C1170" t="n">
        <v>1</v>
      </c>
      <c r="D1170" t="n">
        <v>6</v>
      </c>
      <c r="E1170" t="n">
        <v>2</v>
      </c>
      <c r="F1170" t="n">
        <v>20250801</v>
      </c>
      <c r="G1170" t="n">
        <v>88000</v>
      </c>
      <c r="H1170" t="n">
        <v>88000</v>
      </c>
      <c r="I1170" t="n">
        <v>72000</v>
      </c>
      <c r="J1170" t="n">
        <v>16000</v>
      </c>
    </row>
    <row r="1171">
      <c r="A1171" t="inlineStr">
        <is>
          <t>75a3000a95102be3f4cfe0becf1157c4d8004ad34aba18fb1ccd38a46edfdc14</t>
        </is>
      </c>
      <c r="B1171" t="inlineStr">
        <is>
          <t>Framsikt / Visma (Skole)</t>
        </is>
      </c>
      <c r="C1171" t="n">
        <v>1</v>
      </c>
      <c r="D1171" t="n">
        <v>10</v>
      </c>
      <c r="E1171" t="n">
        <v>2</v>
      </c>
      <c r="F1171" t="n">
        <v>20250801</v>
      </c>
      <c r="G1171" t="n">
        <v>10000</v>
      </c>
      <c r="H1171" t="n">
        <v>10000</v>
      </c>
      <c r="I1171" t="n">
        <v>7000</v>
      </c>
      <c r="J1171" t="n">
        <v>3000</v>
      </c>
    </row>
    <row r="1172">
      <c r="A1172" t="inlineStr">
        <is>
          <t>866d9c428b068103c20fd44e73dbe9bdc59db653b5e9a4e534c31a7979b3820b</t>
        </is>
      </c>
      <c r="B1172" t="inlineStr">
        <is>
          <t>Framsikt / Visma (Skole)</t>
        </is>
      </c>
      <c r="C1172" t="n">
        <v>1</v>
      </c>
      <c r="D1172" t="n">
        <v>16</v>
      </c>
      <c r="E1172" t="n">
        <v>2</v>
      </c>
      <c r="F1172" t="n">
        <v>20250801</v>
      </c>
      <c r="G1172" t="n">
        <v>43000</v>
      </c>
      <c r="H1172" t="n">
        <v>43000</v>
      </c>
      <c r="I1172" t="n">
        <v>45000</v>
      </c>
      <c r="J1172" t="n">
        <v>-2000</v>
      </c>
    </row>
    <row r="1173">
      <c r="A1173" t="inlineStr">
        <is>
          <t>0e00248db7e169fb6a067567628bfb2d608400b30510aa1b177c6415c5a5193d</t>
        </is>
      </c>
      <c r="B1173" t="inlineStr">
        <is>
          <t>Framsikt / Visma (Skole)</t>
        </is>
      </c>
      <c r="C1173" t="n">
        <v>1</v>
      </c>
      <c r="D1173" t="n">
        <v>14</v>
      </c>
      <c r="E1173" t="n">
        <v>2</v>
      </c>
      <c r="F1173" t="n">
        <v>20250801</v>
      </c>
      <c r="G1173" t="n">
        <v>0</v>
      </c>
      <c r="H1173" t="n">
        <v>0</v>
      </c>
      <c r="I1173" t="n">
        <v>1000</v>
      </c>
      <c r="J1173" t="n">
        <v>-1000</v>
      </c>
    </row>
    <row r="1174">
      <c r="A1174" t="inlineStr">
        <is>
          <t>45767e74dfd11853cba638256ff64f02bb0066403b3050d6ebfd04908561da6c</t>
        </is>
      </c>
      <c r="B1174" t="inlineStr">
        <is>
          <t>Framsikt / Visma (Skole)</t>
        </is>
      </c>
      <c r="C1174" t="n">
        <v>1</v>
      </c>
      <c r="D1174" t="n">
        <v>16</v>
      </c>
      <c r="E1174" t="n">
        <v>2</v>
      </c>
      <c r="F1174" t="n">
        <v>20250801</v>
      </c>
      <c r="G1174" t="n">
        <v>0</v>
      </c>
      <c r="H1174" t="n">
        <v>0</v>
      </c>
      <c r="I1174" t="n">
        <v>0</v>
      </c>
      <c r="J1174" t="n">
        <v>0</v>
      </c>
    </row>
    <row r="1175">
      <c r="A1175" t="inlineStr">
        <is>
          <t>abfe4b6258be00fa820f4478f5022546ee239b1519aee47325784ba78c00ff02</t>
        </is>
      </c>
      <c r="B1175" t="inlineStr">
        <is>
          <t>Framsikt / Visma (Skole)</t>
        </is>
      </c>
      <c r="C1175" t="n">
        <v>1</v>
      </c>
      <c r="D1175" t="n">
        <v>16</v>
      </c>
      <c r="E1175" t="n">
        <v>2</v>
      </c>
      <c r="F1175" t="n">
        <v>20250801</v>
      </c>
      <c r="G1175" t="n">
        <v>0</v>
      </c>
      <c r="H1175" t="n">
        <v>0</v>
      </c>
      <c r="I1175" t="n">
        <v>0</v>
      </c>
      <c r="J1175" t="n">
        <v>0</v>
      </c>
    </row>
    <row r="1176">
      <c r="A1176" t="inlineStr">
        <is>
          <t>9a78da0ebc8e2a6da45d68793b895f2b5d03af39e8f7c5d04864ecf4a92db62a</t>
        </is>
      </c>
      <c r="B1176" t="inlineStr">
        <is>
          <t>Framsikt / Visma (Skole)</t>
        </is>
      </c>
      <c r="C1176" t="n">
        <v>1</v>
      </c>
      <c r="D1176" t="n">
        <v>16</v>
      </c>
      <c r="E1176" t="n">
        <v>2</v>
      </c>
      <c r="F1176" t="n">
        <v>20250801</v>
      </c>
      <c r="G1176" t="n">
        <v>2000</v>
      </c>
      <c r="H1176" t="n">
        <v>2000</v>
      </c>
      <c r="I1176" t="n">
        <v>0</v>
      </c>
      <c r="J1176" t="n">
        <v>2000</v>
      </c>
    </row>
    <row r="1177">
      <c r="A1177" t="inlineStr">
        <is>
          <t>ab99e68d6ca17b30691e1beea8948fd810e0749da3df8306fcd50a6ea973b131</t>
        </is>
      </c>
      <c r="B1177" t="inlineStr">
        <is>
          <t>Framsikt / Visma (Skole)</t>
        </is>
      </c>
      <c r="C1177" t="n">
        <v>1</v>
      </c>
      <c r="D1177" t="n">
        <v>16</v>
      </c>
      <c r="E1177" t="n">
        <v>2</v>
      </c>
      <c r="F1177" t="n">
        <v>20250801</v>
      </c>
      <c r="G1177" t="n">
        <v>0</v>
      </c>
      <c r="H1177" t="n">
        <v>0</v>
      </c>
      <c r="I1177" t="n">
        <v>0</v>
      </c>
      <c r="J1177" t="n">
        <v>0</v>
      </c>
    </row>
    <row r="1178">
      <c r="A1178" t="inlineStr">
        <is>
          <t>c51f74962cf329900d491ab0e39e9ddc6be5dcbc691c4c47989ea65ad7761225</t>
        </is>
      </c>
      <c r="B1178" t="inlineStr">
        <is>
          <t>Framsikt / Visma (Skole)</t>
        </is>
      </c>
      <c r="C1178" t="n">
        <v>1</v>
      </c>
      <c r="D1178" t="n">
        <v>14</v>
      </c>
      <c r="E1178" t="n">
        <v>2</v>
      </c>
      <c r="F1178" t="n">
        <v>20250801</v>
      </c>
      <c r="G1178" t="n">
        <v>10000</v>
      </c>
      <c r="H1178" t="n">
        <v>10000</v>
      </c>
      <c r="I1178" t="n">
        <v>0</v>
      </c>
      <c r="J1178" t="n">
        <v>10000</v>
      </c>
    </row>
    <row r="1179">
      <c r="A1179" t="inlineStr">
        <is>
          <t>657e0465bc2b82f9107e2f645e3d9503bcdbcb99bf0acf2d96a4fbc732436abf</t>
        </is>
      </c>
      <c r="B1179" t="inlineStr">
        <is>
          <t>Framsikt / Visma (Skole)</t>
        </is>
      </c>
      <c r="C1179" t="n">
        <v>1</v>
      </c>
      <c r="D1179" t="n">
        <v>16</v>
      </c>
      <c r="E1179" t="n">
        <v>2</v>
      </c>
      <c r="F1179" t="n">
        <v>20250801</v>
      </c>
      <c r="G1179" t="n">
        <v>12000</v>
      </c>
      <c r="H1179" t="n">
        <v>12000</v>
      </c>
      <c r="I1179" t="n">
        <v>0</v>
      </c>
      <c r="J1179" t="n">
        <v>12000</v>
      </c>
    </row>
    <row r="1180">
      <c r="A1180" t="inlineStr">
        <is>
          <t>6bdc0a29dbcfbec981bafd5117a52a9ee12edf80e2ca411b5a7a3117c4fbf4f5</t>
        </is>
      </c>
      <c r="B1180" t="inlineStr">
        <is>
          <t>Framsikt / Visma (Skole)</t>
        </is>
      </c>
      <c r="C1180" t="n">
        <v>1</v>
      </c>
      <c r="D1180" t="n">
        <v>16</v>
      </c>
      <c r="E1180" t="n">
        <v>2</v>
      </c>
      <c r="F1180" t="n">
        <v>20250801</v>
      </c>
      <c r="G1180" t="n">
        <v>-1000</v>
      </c>
      <c r="H1180" t="n">
        <v>-1000</v>
      </c>
      <c r="I1180" t="n">
        <v>0</v>
      </c>
      <c r="J1180" t="n">
        <v>-1000</v>
      </c>
    </row>
    <row r="1181">
      <c r="A1181" t="inlineStr">
        <is>
          <t>043db69c45af98340825f83044b0fec566465815bfa284490acbb3ad30a635be</t>
        </is>
      </c>
      <c r="B1181" t="inlineStr">
        <is>
          <t>Framsikt / Visma (Skole)</t>
        </is>
      </c>
      <c r="C1181" t="n">
        <v>1</v>
      </c>
      <c r="D1181" t="n">
        <v>5</v>
      </c>
      <c r="E1181" t="n">
        <v>2</v>
      </c>
      <c r="F1181" t="n">
        <v>20250801</v>
      </c>
      <c r="G1181" t="n">
        <v>0</v>
      </c>
      <c r="H1181" t="n">
        <v>0</v>
      </c>
      <c r="I1181" t="n">
        <v>0</v>
      </c>
      <c r="J1181" t="n">
        <v>0</v>
      </c>
    </row>
    <row r="1182">
      <c r="A1182" t="inlineStr">
        <is>
          <t>4d2848a11a8d0db30426e7f801336511117231a6f4c5615831bda4cb3f96ac4d</t>
        </is>
      </c>
      <c r="B1182" t="inlineStr">
        <is>
          <t>Framsikt / Visma (Skole)</t>
        </is>
      </c>
      <c r="C1182" t="n">
        <v>1</v>
      </c>
      <c r="D1182" t="n">
        <v>5</v>
      </c>
      <c r="E1182" t="n">
        <v>2</v>
      </c>
      <c r="F1182" t="n">
        <v>20250801</v>
      </c>
      <c r="G1182" t="n">
        <v>0</v>
      </c>
      <c r="H1182" t="n">
        <v>0</v>
      </c>
      <c r="I1182" t="n">
        <v>0</v>
      </c>
      <c r="J1182" t="n">
        <v>0</v>
      </c>
    </row>
    <row r="1183">
      <c r="A1183" t="inlineStr">
        <is>
          <t>d66de11732e84b1984b821d329904eab6d82f9c3e878843ecf8adf9d0a2b62fe</t>
        </is>
      </c>
      <c r="B1183" t="inlineStr">
        <is>
          <t>Framsikt / Visma (Skole)</t>
        </is>
      </c>
      <c r="C1183" t="n">
        <v>1</v>
      </c>
      <c r="D1183" t="n">
        <v>5</v>
      </c>
      <c r="E1183" t="n">
        <v>2</v>
      </c>
      <c r="F1183" t="n">
        <v>20250801</v>
      </c>
      <c r="G1183" t="n">
        <v>0</v>
      </c>
      <c r="H1183" t="n">
        <v>0</v>
      </c>
      <c r="I1183" t="n">
        <v>0</v>
      </c>
      <c r="J1183" t="n">
        <v>0</v>
      </c>
    </row>
    <row r="1184">
      <c r="A1184" t="inlineStr">
        <is>
          <t>5572702d64e8cc1103d22f1167e8195ed1527501cee881c48a7ee464fb8cf32f</t>
        </is>
      </c>
      <c r="B1184" t="inlineStr">
        <is>
          <t>Framsikt / Visma (Skole)</t>
        </is>
      </c>
      <c r="C1184" t="n">
        <v>1</v>
      </c>
      <c r="D1184" t="n">
        <v>34</v>
      </c>
      <c r="E1184" t="n">
        <v>2</v>
      </c>
      <c r="F1184" t="n">
        <v>20250801</v>
      </c>
      <c r="G1184" t="n">
        <v>-12000</v>
      </c>
      <c r="H1184" t="n">
        <v>12000</v>
      </c>
      <c r="I1184" t="n">
        <v>0</v>
      </c>
      <c r="J1184" t="n">
        <v>12000</v>
      </c>
    </row>
    <row r="1185">
      <c r="A1185" t="inlineStr">
        <is>
          <t>5150584973bf4e33688ad6437a25f72c0076ced1875dd597d1e4c4b928ff9885</t>
        </is>
      </c>
      <c r="B1185" t="inlineStr">
        <is>
          <t>Framsikt / Visma (Skole)</t>
        </is>
      </c>
      <c r="C1185" t="n">
        <v>1</v>
      </c>
      <c r="D1185" t="n">
        <v>1</v>
      </c>
      <c r="E1185" t="n">
        <v>3</v>
      </c>
      <c r="F1185" t="n">
        <v>20250801</v>
      </c>
      <c r="G1185" t="n">
        <v>883000</v>
      </c>
      <c r="H1185" t="n">
        <v>883000</v>
      </c>
      <c r="I1185" t="n">
        <v>1022000</v>
      </c>
      <c r="J1185" t="n">
        <v>-139000</v>
      </c>
    </row>
    <row r="1186">
      <c r="A1186" t="inlineStr">
        <is>
          <t>ef0f72b40c05411cf13c848f1bcfd5a7f411d236d8bdbc4f0ce3c77d01f5f30e</t>
        </is>
      </c>
      <c r="B1186" t="inlineStr">
        <is>
          <t>Framsikt / Visma (Skole)</t>
        </is>
      </c>
      <c r="C1186" t="n">
        <v>1</v>
      </c>
      <c r="D1186" t="n">
        <v>1</v>
      </c>
      <c r="E1186" t="n">
        <v>3</v>
      </c>
      <c r="F1186" t="n">
        <v>20250801</v>
      </c>
      <c r="G1186" t="n">
        <v>1137000</v>
      </c>
      <c r="H1186" t="n">
        <v>1137000</v>
      </c>
      <c r="I1186" t="n">
        <v>733000</v>
      </c>
      <c r="J1186" t="n">
        <v>404000</v>
      </c>
    </row>
    <row r="1187">
      <c r="A1187" t="inlineStr">
        <is>
          <t>eaafd123fe754d4ed3558cc4e146fc3d2891fe4b59bdd75bdded46b19ea52246</t>
        </is>
      </c>
      <c r="B1187" t="inlineStr">
        <is>
          <t>Framsikt / Visma (Skole)</t>
        </is>
      </c>
      <c r="C1187" t="n">
        <v>1</v>
      </c>
      <c r="D1187" t="n">
        <v>1</v>
      </c>
      <c r="E1187" t="n">
        <v>3</v>
      </c>
      <c r="F1187" t="n">
        <v>20250801</v>
      </c>
      <c r="G1187" t="n">
        <v>0</v>
      </c>
      <c r="H1187" t="n">
        <v>0</v>
      </c>
      <c r="I1187" t="n">
        <v>140000</v>
      </c>
      <c r="J1187" t="n">
        <v>-140000</v>
      </c>
    </row>
    <row r="1188">
      <c r="A1188" t="inlineStr">
        <is>
          <t>868e6c886d3bc51371a7231404316cea8c201a4a6cdeb8665cc6b94b614e1e5c</t>
        </is>
      </c>
      <c r="B1188" t="inlineStr">
        <is>
          <t>Framsikt / Visma (Skole)</t>
        </is>
      </c>
      <c r="C1188" t="n">
        <v>1</v>
      </c>
      <c r="D1188" t="n">
        <v>5</v>
      </c>
      <c r="E1188" t="n">
        <v>3</v>
      </c>
      <c r="F1188" t="n">
        <v>20250801</v>
      </c>
      <c r="G1188" t="n">
        <v>0</v>
      </c>
      <c r="H1188" t="n">
        <v>0</v>
      </c>
      <c r="I1188" t="n">
        <v>0</v>
      </c>
      <c r="J1188" t="n">
        <v>0</v>
      </c>
    </row>
    <row r="1189">
      <c r="A1189" t="inlineStr">
        <is>
          <t>814ebdda571ac5f885bfb72a23353d76558f88386fd19daab25ea3ecbcd02544</t>
        </is>
      </c>
      <c r="B1189" t="inlineStr">
        <is>
          <t>Framsikt / Visma (Skole)</t>
        </is>
      </c>
      <c r="C1189" t="n">
        <v>1</v>
      </c>
      <c r="D1189" t="n">
        <v>2</v>
      </c>
      <c r="E1189" t="n">
        <v>3</v>
      </c>
      <c r="F1189" t="n">
        <v>20250801</v>
      </c>
      <c r="G1189" t="n">
        <v>92000</v>
      </c>
      <c r="H1189" t="n">
        <v>92000</v>
      </c>
      <c r="I1189" t="n">
        <v>0</v>
      </c>
      <c r="J1189" t="n">
        <v>92000</v>
      </c>
    </row>
    <row r="1190">
      <c r="A1190" t="inlineStr">
        <is>
          <t>66a6fa0f31b3a0f537853278df1c42cc3d6d31aae35a7c859c2528b636db3cd2</t>
        </is>
      </c>
      <c r="B1190" t="inlineStr">
        <is>
          <t>Framsikt / Visma (Skole)</t>
        </is>
      </c>
      <c r="C1190" t="n">
        <v>1</v>
      </c>
      <c r="D1190" t="n">
        <v>2</v>
      </c>
      <c r="E1190" t="n">
        <v>3</v>
      </c>
      <c r="F1190" t="n">
        <v>20250801</v>
      </c>
      <c r="G1190" t="n">
        <v>36000</v>
      </c>
      <c r="H1190" t="n">
        <v>36000</v>
      </c>
      <c r="I1190" t="n">
        <v>0</v>
      </c>
      <c r="J1190" t="n">
        <v>36000</v>
      </c>
    </row>
    <row r="1191">
      <c r="A1191" t="inlineStr">
        <is>
          <t>0cda24f4ae373aed482768e19813aeaf5163d2d5655ad2bc4838725620536733</t>
        </is>
      </c>
      <c r="B1191" t="inlineStr">
        <is>
          <t>Framsikt / Visma (Skole)</t>
        </is>
      </c>
      <c r="C1191" t="n">
        <v>3</v>
      </c>
      <c r="D1191" t="n">
        <v>3</v>
      </c>
      <c r="E1191" t="n">
        <v>3</v>
      </c>
      <c r="F1191" t="n">
        <v>20250801</v>
      </c>
      <c r="G1191" t="n">
        <v>32000</v>
      </c>
      <c r="H1191" t="n">
        <v>32000</v>
      </c>
      <c r="I1191" t="n">
        <v>0</v>
      </c>
      <c r="J1191" t="n">
        <v>32000</v>
      </c>
    </row>
    <row r="1192">
      <c r="A1192" t="inlineStr">
        <is>
          <t>4b57b465a7419266a562e027ffb0280b1f032b52aefe6e022b873595f4ee69be</t>
        </is>
      </c>
      <c r="B1192" t="inlineStr">
        <is>
          <t>Framsikt / Visma (Skole)</t>
        </is>
      </c>
      <c r="C1192" t="n">
        <v>1</v>
      </c>
      <c r="D1192" t="n">
        <v>4</v>
      </c>
      <c r="E1192" t="n">
        <v>3</v>
      </c>
      <c r="F1192" t="n">
        <v>20250801</v>
      </c>
      <c r="G1192" t="n">
        <v>46000</v>
      </c>
      <c r="H1192" t="n">
        <v>46000</v>
      </c>
      <c r="I1192" t="n">
        <v>0</v>
      </c>
      <c r="J1192" t="n">
        <v>46000</v>
      </c>
    </row>
    <row r="1193">
      <c r="A1193" t="inlineStr">
        <is>
          <t>c14dc0bf1b8f3f1f76faa3f99f78b39e0464bf704c4a825fd2e8559cbf7fd2ed</t>
        </is>
      </c>
      <c r="B1193" t="inlineStr">
        <is>
          <t>Framsikt / Visma (Skole)</t>
        </is>
      </c>
      <c r="C1193" t="n">
        <v>1</v>
      </c>
      <c r="D1193" t="n">
        <v>5</v>
      </c>
      <c r="E1193" t="n">
        <v>3</v>
      </c>
      <c r="F1193" t="n">
        <v>20250801</v>
      </c>
      <c r="G1193" t="n">
        <v>0</v>
      </c>
      <c r="H1193" t="n">
        <v>0</v>
      </c>
      <c r="I1193" t="n">
        <v>0</v>
      </c>
      <c r="J1193" t="n">
        <v>0</v>
      </c>
    </row>
    <row r="1194">
      <c r="A1194" t="inlineStr">
        <is>
          <t>30c3c7dfb57ff82213251c6c150977e4272babb2c2aa9e12dc1bbdfade9346e0</t>
        </is>
      </c>
      <c r="B1194" t="inlineStr">
        <is>
          <t>Framsikt / Visma (Skole)</t>
        </is>
      </c>
      <c r="C1194" t="n">
        <v>1</v>
      </c>
      <c r="D1194" t="n">
        <v>5</v>
      </c>
      <c r="E1194" t="n">
        <v>3</v>
      </c>
      <c r="F1194" t="n">
        <v>20250801</v>
      </c>
      <c r="G1194" t="n">
        <v>1000</v>
      </c>
      <c r="H1194" t="n">
        <v>1000</v>
      </c>
      <c r="I1194" t="n">
        <v>0</v>
      </c>
      <c r="J1194" t="n">
        <v>1000</v>
      </c>
    </row>
    <row r="1195">
      <c r="A1195" t="inlineStr">
        <is>
          <t>af5e6597404043d058f2b9f0ac0ec5942b665f3a008fe1e6ef0d3fd85c239704</t>
        </is>
      </c>
      <c r="B1195" t="inlineStr">
        <is>
          <t>Framsikt / Visma (Skole)</t>
        </is>
      </c>
      <c r="C1195" t="n">
        <v>1</v>
      </c>
      <c r="D1195" t="n">
        <v>6</v>
      </c>
      <c r="E1195" t="n">
        <v>3</v>
      </c>
      <c r="F1195" t="n">
        <v>20250801</v>
      </c>
      <c r="G1195" t="n">
        <v>182000</v>
      </c>
      <c r="H1195" t="n">
        <v>182000</v>
      </c>
      <c r="I1195" t="n">
        <v>210000</v>
      </c>
      <c r="J1195" t="n">
        <v>-28000</v>
      </c>
    </row>
    <row r="1196">
      <c r="A1196" t="inlineStr">
        <is>
          <t>5033b345bcd534a651b722eaf663eaa251f755b112d37b14fbd818c140f3e0ee</t>
        </is>
      </c>
      <c r="B1196" t="inlineStr">
        <is>
          <t>Framsikt / Visma (Skole)</t>
        </is>
      </c>
      <c r="C1196" t="n">
        <v>1</v>
      </c>
      <c r="D1196" t="n">
        <v>6</v>
      </c>
      <c r="E1196" t="n">
        <v>3</v>
      </c>
      <c r="F1196" t="n">
        <v>20250801</v>
      </c>
      <c r="G1196" t="n">
        <v>81000</v>
      </c>
      <c r="H1196" t="n">
        <v>81000</v>
      </c>
      <c r="I1196" t="n">
        <v>68000</v>
      </c>
      <c r="J1196" t="n">
        <v>13000</v>
      </c>
    </row>
    <row r="1197">
      <c r="A1197" t="inlineStr">
        <is>
          <t>037dfae48b89e9b540a2af90c4f061ca7f0c8e0742fab04d746783a5c93a90c8</t>
        </is>
      </c>
      <c r="B1197" t="inlineStr">
        <is>
          <t>Framsikt / Visma (Skole)</t>
        </is>
      </c>
      <c r="C1197" t="n">
        <v>1</v>
      </c>
      <c r="D1197" t="n">
        <v>5</v>
      </c>
      <c r="E1197" t="n">
        <v>3</v>
      </c>
      <c r="F1197" t="n">
        <v>20250801</v>
      </c>
      <c r="G1197" t="n">
        <v>0</v>
      </c>
      <c r="H1197" t="n">
        <v>0</v>
      </c>
      <c r="I1197" t="n">
        <v>0</v>
      </c>
      <c r="J1197" t="n">
        <v>0</v>
      </c>
    </row>
    <row r="1198">
      <c r="A1198" t="inlineStr">
        <is>
          <t>50c9261d582df2239b4651a1cb2d0698101ab2bc4b0a8f0f1e289c2359427c17</t>
        </is>
      </c>
      <c r="B1198" t="inlineStr">
        <is>
          <t>Framsikt / Visma (Skole)</t>
        </is>
      </c>
      <c r="C1198" t="n">
        <v>1</v>
      </c>
      <c r="D1198" t="n">
        <v>6</v>
      </c>
      <c r="E1198" t="n">
        <v>3</v>
      </c>
      <c r="F1198" t="n">
        <v>20250801</v>
      </c>
      <c r="G1198" t="n">
        <v>258000</v>
      </c>
      <c r="H1198" t="n">
        <v>258000</v>
      </c>
      <c r="I1198" t="n">
        <v>230000</v>
      </c>
      <c r="J1198" t="n">
        <v>28000</v>
      </c>
    </row>
    <row r="1199">
      <c r="A1199" t="inlineStr">
        <is>
          <t>1530090e4770c43125c8b285f1c42cad5414634504cb316692d8375449a17293</t>
        </is>
      </c>
      <c r="B1199" t="inlineStr">
        <is>
          <t>Framsikt / Visma (Skole)</t>
        </is>
      </c>
      <c r="C1199" t="n">
        <v>1</v>
      </c>
      <c r="D1199" t="n">
        <v>10</v>
      </c>
      <c r="E1199" t="n">
        <v>3</v>
      </c>
      <c r="F1199" t="n">
        <v>20250801</v>
      </c>
      <c r="G1199" t="n">
        <v>2000</v>
      </c>
      <c r="H1199" t="n">
        <v>2000</v>
      </c>
      <c r="I1199" t="n">
        <v>7000</v>
      </c>
      <c r="J1199" t="n">
        <v>-5000</v>
      </c>
    </row>
    <row r="1200">
      <c r="A1200" t="inlineStr">
        <is>
          <t>add5ef32be551235a77743d02a6af679a985319601743ce0a4fd9ed020f8dd68</t>
        </is>
      </c>
      <c r="B1200" t="inlineStr">
        <is>
          <t>Framsikt / Visma (Skole)</t>
        </is>
      </c>
      <c r="C1200" t="n">
        <v>1</v>
      </c>
      <c r="D1200" t="n">
        <v>16</v>
      </c>
      <c r="E1200" t="n">
        <v>3</v>
      </c>
      <c r="F1200" t="n">
        <v>20250801</v>
      </c>
      <c r="G1200" t="n">
        <v>1000</v>
      </c>
      <c r="H1200" t="n">
        <v>1000</v>
      </c>
      <c r="I1200" t="n">
        <v>3000</v>
      </c>
      <c r="J1200" t="n">
        <v>-2000</v>
      </c>
    </row>
    <row r="1201">
      <c r="A1201" t="inlineStr">
        <is>
          <t>90920db9df077f89acca9869830442e3dc533df9ffd9c338937eda635c16caa9</t>
        </is>
      </c>
      <c r="B1201" t="inlineStr">
        <is>
          <t>Framsikt / Visma (Skole)</t>
        </is>
      </c>
      <c r="C1201" t="n">
        <v>1</v>
      </c>
      <c r="D1201" t="n">
        <v>16</v>
      </c>
      <c r="E1201" t="n">
        <v>3</v>
      </c>
      <c r="F1201" t="n">
        <v>20250801</v>
      </c>
      <c r="G1201" t="n">
        <v>0</v>
      </c>
      <c r="H1201" t="n">
        <v>0</v>
      </c>
      <c r="I1201" t="n">
        <v>0</v>
      </c>
      <c r="J1201" t="n">
        <v>0</v>
      </c>
    </row>
    <row r="1202">
      <c r="A1202" t="inlineStr">
        <is>
          <t>bd72e5c7600bbb1f9bd6b2c685b601865189288dd091034acbd70174e29080b3</t>
        </is>
      </c>
      <c r="B1202" t="inlineStr">
        <is>
          <t>Framsikt / Visma (Skole)</t>
        </is>
      </c>
      <c r="C1202" t="n">
        <v>1</v>
      </c>
      <c r="D1202" t="n">
        <v>16</v>
      </c>
      <c r="E1202" t="n">
        <v>3</v>
      </c>
      <c r="F1202" t="n">
        <v>20250801</v>
      </c>
      <c r="G1202" t="n">
        <v>2000</v>
      </c>
      <c r="H1202" t="n">
        <v>2000</v>
      </c>
      <c r="I1202" t="n">
        <v>0</v>
      </c>
      <c r="J1202" t="n">
        <v>2000</v>
      </c>
    </row>
    <row r="1203">
      <c r="A1203" t="inlineStr">
        <is>
          <t>6d343930286367794a0c663739a5b31946d71d1582e9a3ed86aada3fedf83269</t>
        </is>
      </c>
      <c r="B1203" t="inlineStr">
        <is>
          <t>Framsikt / Visma (Skole)</t>
        </is>
      </c>
      <c r="C1203" t="n">
        <v>1</v>
      </c>
      <c r="D1203" t="n">
        <v>16</v>
      </c>
      <c r="E1203" t="n">
        <v>3</v>
      </c>
      <c r="F1203" t="n">
        <v>20250801</v>
      </c>
      <c r="G1203" t="n">
        <v>0</v>
      </c>
      <c r="H1203" t="n">
        <v>0</v>
      </c>
      <c r="I1203" t="n">
        <v>0</v>
      </c>
      <c r="J1203" t="n">
        <v>0</v>
      </c>
    </row>
    <row r="1204">
      <c r="A1204" t="inlineStr">
        <is>
          <t>b2efe30dab53641723417f039b66e056d13d708cdb3025769bb1b92793d3696f</t>
        </is>
      </c>
      <c r="B1204" t="inlineStr">
        <is>
          <t>Framsikt / Visma (Skole)</t>
        </is>
      </c>
      <c r="C1204" t="n">
        <v>1</v>
      </c>
      <c r="D1204" t="n">
        <v>14</v>
      </c>
      <c r="E1204" t="n">
        <v>3</v>
      </c>
      <c r="F1204" t="n">
        <v>20250801</v>
      </c>
      <c r="G1204" t="n">
        <v>0</v>
      </c>
      <c r="H1204" t="n">
        <v>0</v>
      </c>
      <c r="I1204" t="n">
        <v>0</v>
      </c>
      <c r="J1204" t="n">
        <v>0</v>
      </c>
    </row>
    <row r="1205">
      <c r="A1205" t="inlineStr">
        <is>
          <t>8b672c7d5017299988f6c07862485bc6dddf528d9f520bb185dc80f92281423f</t>
        </is>
      </c>
      <c r="B1205" t="inlineStr">
        <is>
          <t>Framsikt / Visma (Skole)</t>
        </is>
      </c>
      <c r="C1205" t="n">
        <v>1</v>
      </c>
      <c r="D1205" t="n">
        <v>16</v>
      </c>
      <c r="E1205" t="n">
        <v>3</v>
      </c>
      <c r="F1205" t="n">
        <v>20250801</v>
      </c>
      <c r="G1205" t="n">
        <v>2000</v>
      </c>
      <c r="H1205" t="n">
        <v>2000</v>
      </c>
      <c r="I1205" t="n">
        <v>0</v>
      </c>
      <c r="J1205" t="n">
        <v>2000</v>
      </c>
    </row>
    <row r="1206">
      <c r="A1206" t="inlineStr">
        <is>
          <t>2378c00c56381ce52258469e74f3cdd65da59750f765a917061e3dc2e8d31a5d</t>
        </is>
      </c>
      <c r="B1206" t="inlineStr">
        <is>
          <t>Framsikt / Visma (Skole)</t>
        </is>
      </c>
      <c r="C1206" t="n">
        <v>1</v>
      </c>
      <c r="D1206" t="n">
        <v>16</v>
      </c>
      <c r="E1206" t="n">
        <v>3</v>
      </c>
      <c r="F1206" t="n">
        <v>20250801</v>
      </c>
      <c r="G1206" t="n">
        <v>0</v>
      </c>
      <c r="H1206" t="n">
        <v>0</v>
      </c>
      <c r="I1206" t="n">
        <v>0</v>
      </c>
      <c r="J1206" t="n">
        <v>0</v>
      </c>
    </row>
    <row r="1207">
      <c r="A1207" t="inlineStr">
        <is>
          <t>ccbac65fdac1f9a35cc8aca44f5df2ecbe2b5569464bc2b9138f6b28a6859f70</t>
        </is>
      </c>
      <c r="B1207" t="inlineStr">
        <is>
          <t>Framsikt / Visma (Skole)</t>
        </is>
      </c>
      <c r="C1207" t="n">
        <v>1</v>
      </c>
      <c r="D1207" t="n">
        <v>16</v>
      </c>
      <c r="E1207" t="n">
        <v>3</v>
      </c>
      <c r="F1207" t="n">
        <v>20250801</v>
      </c>
      <c r="G1207" t="n">
        <v>5000</v>
      </c>
      <c r="H1207" t="n">
        <v>5000</v>
      </c>
      <c r="I1207" t="n">
        <v>26000</v>
      </c>
      <c r="J1207" t="n">
        <v>-21000</v>
      </c>
    </row>
    <row r="1208">
      <c r="A1208" t="inlineStr">
        <is>
          <t>6ba52266653523250a21978d67bdfd66bbd10a1db81d6cdeee80d90719cf7cbd</t>
        </is>
      </c>
      <c r="B1208" t="inlineStr">
        <is>
          <t>Framsikt / Visma (Skole)</t>
        </is>
      </c>
      <c r="C1208" t="n">
        <v>1</v>
      </c>
      <c r="D1208" t="n">
        <v>16</v>
      </c>
      <c r="E1208" t="n">
        <v>3</v>
      </c>
      <c r="F1208" t="n">
        <v>20250801</v>
      </c>
      <c r="G1208" t="n">
        <v>0</v>
      </c>
      <c r="H1208" t="n">
        <v>0</v>
      </c>
      <c r="I1208" t="n">
        <v>0</v>
      </c>
      <c r="J1208" t="n">
        <v>0</v>
      </c>
    </row>
    <row r="1209">
      <c r="A1209" t="inlineStr">
        <is>
          <t>c7cb8c44b8f674f72f6bfab57b3c4f3d88278894ebbbe520caf27dbb117524b8</t>
        </is>
      </c>
      <c r="B1209" t="inlineStr">
        <is>
          <t>Framsikt / Visma (Skole)</t>
        </is>
      </c>
      <c r="C1209" t="n">
        <v>1</v>
      </c>
      <c r="D1209" t="n">
        <v>16</v>
      </c>
      <c r="E1209" t="n">
        <v>3</v>
      </c>
      <c r="F1209" t="n">
        <v>20250801</v>
      </c>
      <c r="G1209" t="n">
        <v>0</v>
      </c>
      <c r="H1209" t="n">
        <v>0</v>
      </c>
      <c r="I1209" t="n">
        <v>0</v>
      </c>
      <c r="J1209" t="n">
        <v>0</v>
      </c>
    </row>
    <row r="1210">
      <c r="A1210" t="inlineStr">
        <is>
          <t>702a7e491cafea1a3a1ab3792622d337c6f59a19c56f7c0de78ca527f154471e</t>
        </is>
      </c>
      <c r="B1210" t="inlineStr">
        <is>
          <t>Framsikt / Visma (Skole)</t>
        </is>
      </c>
      <c r="C1210" t="n">
        <v>1</v>
      </c>
      <c r="D1210" t="n">
        <v>16</v>
      </c>
      <c r="E1210" t="n">
        <v>3</v>
      </c>
      <c r="F1210" t="n">
        <v>20250801</v>
      </c>
      <c r="G1210" t="n">
        <v>6000</v>
      </c>
      <c r="H1210" t="n">
        <v>6000</v>
      </c>
      <c r="I1210" t="n">
        <v>0</v>
      </c>
      <c r="J1210" t="n">
        <v>6000</v>
      </c>
    </row>
    <row r="1211">
      <c r="A1211" t="inlineStr">
        <is>
          <t>fb8f7f03a38ce6a940adf75d145e266dd133b71f2d99418df2ca84c6cd1c0f3c</t>
        </is>
      </c>
      <c r="B1211" t="inlineStr">
        <is>
          <t>Framsikt / Visma (Skole)</t>
        </is>
      </c>
      <c r="C1211" t="n">
        <v>1</v>
      </c>
      <c r="D1211" t="n">
        <v>16</v>
      </c>
      <c r="E1211" t="n">
        <v>3</v>
      </c>
      <c r="F1211" t="n">
        <v>20250801</v>
      </c>
      <c r="G1211" t="n">
        <v>0</v>
      </c>
      <c r="H1211" t="n">
        <v>0</v>
      </c>
      <c r="I1211" t="n">
        <v>0</v>
      </c>
      <c r="J1211" t="n">
        <v>0</v>
      </c>
    </row>
    <row r="1212">
      <c r="A1212" t="inlineStr">
        <is>
          <t>d2e074360e156e83bec36ed2da90e165df1ce8ca995e628a447ed17937bb6cee</t>
        </is>
      </c>
      <c r="B1212" t="inlineStr">
        <is>
          <t>Framsikt / Visma (Skole)</t>
        </is>
      </c>
      <c r="C1212" t="n">
        <v>1</v>
      </c>
      <c r="D1212" t="n">
        <v>16</v>
      </c>
      <c r="E1212" t="n">
        <v>3</v>
      </c>
      <c r="F1212" t="n">
        <v>20250801</v>
      </c>
      <c r="G1212" t="n">
        <v>1000</v>
      </c>
      <c r="H1212" t="n">
        <v>1000</v>
      </c>
      <c r="I1212" t="n">
        <v>0</v>
      </c>
      <c r="J1212" t="n">
        <v>1000</v>
      </c>
    </row>
    <row r="1213">
      <c r="A1213" t="inlineStr">
        <is>
          <t>26a8ce592c32a6f05d743989fd3a03bbdc587223a8b55b0308c3808bf14185cd</t>
        </is>
      </c>
      <c r="B1213" t="inlineStr">
        <is>
          <t>Framsikt / Visma (Skole)</t>
        </is>
      </c>
      <c r="C1213" t="n">
        <v>1</v>
      </c>
      <c r="D1213" t="n">
        <v>26</v>
      </c>
      <c r="E1213" t="n">
        <v>3</v>
      </c>
      <c r="F1213" t="n">
        <v>20250801</v>
      </c>
      <c r="G1213" t="n">
        <v>1000</v>
      </c>
      <c r="H1213" t="n">
        <v>1000</v>
      </c>
      <c r="I1213" t="n">
        <v>0</v>
      </c>
      <c r="J1213" t="n">
        <v>1000</v>
      </c>
    </row>
    <row r="1214">
      <c r="A1214" t="inlineStr">
        <is>
          <t>6c14e6b68b5c12d0f33dc54e17b4434f31b40fea7f3f176b6aef63edee6971da</t>
        </is>
      </c>
      <c r="B1214" t="inlineStr">
        <is>
          <t>Framsikt / Visma (Skole)</t>
        </is>
      </c>
      <c r="C1214" t="n">
        <v>1</v>
      </c>
      <c r="D1214" t="n">
        <v>26</v>
      </c>
      <c r="E1214" t="n">
        <v>3</v>
      </c>
      <c r="F1214" t="n">
        <v>20250801</v>
      </c>
      <c r="G1214" t="n">
        <v>81000</v>
      </c>
      <c r="H1214" t="n">
        <v>81000</v>
      </c>
      <c r="I1214" t="n">
        <v>107000</v>
      </c>
      <c r="J1214" t="n">
        <v>-26000</v>
      </c>
    </row>
    <row r="1215">
      <c r="A1215" t="inlineStr">
        <is>
          <t>217595f9dd3b81295a8c64a811d0149996832d39ac5e819314ff6741b0cb59ab</t>
        </is>
      </c>
      <c r="B1215" t="inlineStr">
        <is>
          <t>Framsikt / Visma (Skole)</t>
        </is>
      </c>
      <c r="C1215" t="n">
        <v>1</v>
      </c>
      <c r="D1215" t="n">
        <v>16</v>
      </c>
      <c r="E1215" t="n">
        <v>3</v>
      </c>
      <c r="F1215" t="n">
        <v>20250801</v>
      </c>
      <c r="G1215" t="n">
        <v>0</v>
      </c>
      <c r="H1215" t="n">
        <v>0</v>
      </c>
      <c r="I1215" t="n">
        <v>0</v>
      </c>
      <c r="J1215" t="n">
        <v>0</v>
      </c>
    </row>
    <row r="1216">
      <c r="A1216" t="inlineStr">
        <is>
          <t>acbbdd1753259e2c9fe25fcb8bbf63c54a3decb4a2adaa024d37ceb2e2e335eb</t>
        </is>
      </c>
      <c r="B1216" t="inlineStr">
        <is>
          <t>Framsikt / Visma (Skole)</t>
        </is>
      </c>
      <c r="C1216" t="n">
        <v>1</v>
      </c>
      <c r="D1216" t="n">
        <v>5</v>
      </c>
      <c r="E1216" t="n">
        <v>3</v>
      </c>
      <c r="F1216" t="n">
        <v>20250801</v>
      </c>
      <c r="G1216" t="n">
        <v>-57000</v>
      </c>
      <c r="H1216" t="n">
        <v>-57000</v>
      </c>
      <c r="I1216" t="n">
        <v>0</v>
      </c>
      <c r="J1216" t="n">
        <v>-57000</v>
      </c>
    </row>
    <row r="1217">
      <c r="A1217" t="inlineStr">
        <is>
          <t>e6deded0c09320c5d1d75880797c9ee21e11b8496119bdb4d10e3a66fb0c3808</t>
        </is>
      </c>
      <c r="B1217" t="inlineStr">
        <is>
          <t>Framsikt / Visma (Skole)</t>
        </is>
      </c>
      <c r="C1217" t="n">
        <v>1</v>
      </c>
      <c r="D1217" t="n">
        <v>5</v>
      </c>
      <c r="E1217" t="n">
        <v>3</v>
      </c>
      <c r="F1217" t="n">
        <v>20250801</v>
      </c>
      <c r="G1217" t="n">
        <v>0</v>
      </c>
      <c r="H1217" t="n">
        <v>0</v>
      </c>
      <c r="I1217" t="n">
        <v>0</v>
      </c>
      <c r="J1217" t="n">
        <v>0</v>
      </c>
    </row>
    <row r="1218">
      <c r="A1218" t="inlineStr">
        <is>
          <t>4393a1a522cc194b3638dee461b8bfe441fc59b7a98d722938855f9954b700f7</t>
        </is>
      </c>
      <c r="B1218" t="inlineStr">
        <is>
          <t>Framsikt / Visma (Skole)</t>
        </is>
      </c>
      <c r="C1218" t="n">
        <v>1</v>
      </c>
      <c r="D1218" t="n">
        <v>5</v>
      </c>
      <c r="E1218" t="n">
        <v>3</v>
      </c>
      <c r="F1218" t="n">
        <v>20250801</v>
      </c>
      <c r="G1218" t="n">
        <v>0</v>
      </c>
      <c r="H1218" t="n">
        <v>0</v>
      </c>
      <c r="I1218" t="n">
        <v>0</v>
      </c>
      <c r="J1218" t="n">
        <v>0</v>
      </c>
    </row>
    <row r="1219">
      <c r="A1219" t="inlineStr">
        <is>
          <t>ac232f473b046e5d250b069d8460f82019e5f50cdcaabf983c78dab77aac9929</t>
        </is>
      </c>
      <c r="B1219" t="inlineStr">
        <is>
          <t>Framsikt / Visma (Skole)</t>
        </is>
      </c>
      <c r="C1219" t="n">
        <v>1</v>
      </c>
      <c r="D1219" t="n">
        <v>34</v>
      </c>
      <c r="E1219" t="n">
        <v>3</v>
      </c>
      <c r="F1219" t="n">
        <v>20250801</v>
      </c>
      <c r="G1219" t="n">
        <v>0</v>
      </c>
      <c r="H1219" t="n">
        <v>0</v>
      </c>
      <c r="I1219" t="n">
        <v>0</v>
      </c>
      <c r="J1219" t="n">
        <v>0</v>
      </c>
    </row>
    <row r="1220">
      <c r="A1220" t="inlineStr">
        <is>
          <t>0fb69cc0f9d885c9bd75ba6572ee480fef9ae109c08739fc7eaaa73407136dc5</t>
        </is>
      </c>
      <c r="B1220" t="inlineStr">
        <is>
          <t>Framsikt / Visma (Skole)</t>
        </is>
      </c>
      <c r="C1220" t="n">
        <v>1</v>
      </c>
      <c r="D1220" t="n">
        <v>16</v>
      </c>
      <c r="E1220" t="n">
        <v>3</v>
      </c>
      <c r="F1220" t="n">
        <v>20250801</v>
      </c>
      <c r="G1220" t="n">
        <v>0</v>
      </c>
      <c r="H1220" t="n">
        <v>0</v>
      </c>
      <c r="I1220" t="n">
        <v>-50000</v>
      </c>
      <c r="J1220" t="n">
        <v>50000</v>
      </c>
    </row>
    <row r="1221">
      <c r="A1221" t="inlineStr">
        <is>
          <t>4501e12414ae2f73df5a091b491e4b02aee697b09dd5522fdd9d9819cde96e97</t>
        </is>
      </c>
      <c r="B1221" t="inlineStr">
        <is>
          <t>Framsikt / Visma (Skole)</t>
        </is>
      </c>
      <c r="C1221" t="n">
        <v>1</v>
      </c>
      <c r="D1221" t="n">
        <v>5</v>
      </c>
      <c r="E1221" t="n">
        <v>3</v>
      </c>
      <c r="F1221" t="n">
        <v>20250801</v>
      </c>
      <c r="G1221" t="n">
        <v>0</v>
      </c>
      <c r="H1221" t="n">
        <v>0</v>
      </c>
      <c r="I1221" t="n">
        <v>0</v>
      </c>
      <c r="J1221" t="n">
        <v>0</v>
      </c>
    </row>
    <row r="1222">
      <c r="A1222" t="inlineStr">
        <is>
          <t>17cd35e10c1e1da5d2a32a2e65eb7413605c5bbfdacf40cf549c84443d759db2</t>
        </is>
      </c>
      <c r="B1222" t="inlineStr">
        <is>
          <t>Framsikt / Visma (Skole)</t>
        </is>
      </c>
      <c r="C1222" t="n">
        <v>1</v>
      </c>
      <c r="D1222" t="n">
        <v>2</v>
      </c>
      <c r="E1222" t="n">
        <v>3</v>
      </c>
      <c r="F1222" t="n">
        <v>20250801</v>
      </c>
      <c r="G1222" t="n">
        <v>5000</v>
      </c>
      <c r="H1222" t="n">
        <v>5000</v>
      </c>
      <c r="I1222" t="n">
        <v>0</v>
      </c>
      <c r="J1222" t="n">
        <v>5000</v>
      </c>
    </row>
    <row r="1223">
      <c r="A1223" t="inlineStr">
        <is>
          <t>68e0d52455c2edb2d93cab5afa9622f69d7b4e4ae3b89190e32ea88e4e3897b2</t>
        </is>
      </c>
      <c r="B1223" t="inlineStr">
        <is>
          <t>Framsikt / Visma (Skole)</t>
        </is>
      </c>
      <c r="C1223" t="n">
        <v>1</v>
      </c>
      <c r="D1223" t="n">
        <v>2</v>
      </c>
      <c r="E1223" t="n">
        <v>3</v>
      </c>
      <c r="F1223" t="n">
        <v>20250801</v>
      </c>
      <c r="G1223" t="n">
        <v>0</v>
      </c>
      <c r="H1223" t="n">
        <v>0</v>
      </c>
      <c r="I1223" t="n">
        <v>0</v>
      </c>
      <c r="J1223" t="n">
        <v>0</v>
      </c>
    </row>
    <row r="1224">
      <c r="A1224" t="inlineStr">
        <is>
          <t>878d32a8b5313fe94cc3bf086657ebac0db92b3b8c47b9d406b73ccdbf46cba1</t>
        </is>
      </c>
      <c r="B1224" t="inlineStr">
        <is>
          <t>Framsikt / Visma (Skole)</t>
        </is>
      </c>
      <c r="C1224" t="n">
        <v>1</v>
      </c>
      <c r="D1224" t="n">
        <v>3</v>
      </c>
      <c r="E1224" t="n">
        <v>3</v>
      </c>
      <c r="F1224" t="n">
        <v>20250801</v>
      </c>
      <c r="G1224" t="n">
        <v>27000</v>
      </c>
      <c r="H1224" t="n">
        <v>27000</v>
      </c>
      <c r="I1224" t="n">
        <v>40000</v>
      </c>
      <c r="J1224" t="n">
        <v>-13000</v>
      </c>
    </row>
    <row r="1225">
      <c r="A1225" t="inlineStr">
        <is>
          <t>9c627c4a87eb9a695f5a63bf768f9ecf7db93ed19aa6d26e67ffd785f726de04</t>
        </is>
      </c>
      <c r="B1225" t="inlineStr">
        <is>
          <t>Framsikt / Visma (Skole)</t>
        </is>
      </c>
      <c r="C1225" t="n">
        <v>1</v>
      </c>
      <c r="D1225" t="n">
        <v>4</v>
      </c>
      <c r="E1225" t="n">
        <v>3</v>
      </c>
      <c r="F1225" t="n">
        <v>20250801</v>
      </c>
      <c r="G1225" t="n">
        <v>21000</v>
      </c>
      <c r="H1225" t="n">
        <v>21000</v>
      </c>
      <c r="I1225" t="n">
        <v>0</v>
      </c>
      <c r="J1225" t="n">
        <v>21000</v>
      </c>
    </row>
    <row r="1226">
      <c r="A1226" t="inlineStr">
        <is>
          <t>994cd458f1e3f0d24c4e2cd05c78b62feba6be82b50bff66535e74408a15f0b5</t>
        </is>
      </c>
      <c r="B1226" t="inlineStr">
        <is>
          <t>Framsikt / Visma (Skole)</t>
        </is>
      </c>
      <c r="C1226" t="n">
        <v>1</v>
      </c>
      <c r="D1226" t="n">
        <v>6</v>
      </c>
      <c r="E1226" t="n">
        <v>3</v>
      </c>
      <c r="F1226" t="n">
        <v>20250801</v>
      </c>
      <c r="G1226" t="n">
        <v>0</v>
      </c>
      <c r="H1226" t="n">
        <v>0</v>
      </c>
      <c r="I1226" t="n">
        <v>0</v>
      </c>
      <c r="J1226" t="n">
        <v>0</v>
      </c>
    </row>
    <row r="1227">
      <c r="A1227" t="inlineStr">
        <is>
          <t>76ac23012c98053bc4a9b06faee8c88fbfa4a93ad27a41484176c2f444b6aeec</t>
        </is>
      </c>
      <c r="B1227" t="inlineStr">
        <is>
          <t>Framsikt / Visma (Skole)</t>
        </is>
      </c>
      <c r="C1227" t="n">
        <v>1</v>
      </c>
      <c r="D1227" t="n">
        <v>6</v>
      </c>
      <c r="E1227" t="n">
        <v>3</v>
      </c>
      <c r="F1227" t="n">
        <v>20250801</v>
      </c>
      <c r="G1227" t="n">
        <v>0</v>
      </c>
      <c r="H1227" t="n">
        <v>0</v>
      </c>
      <c r="I1227" t="n">
        <v>0</v>
      </c>
      <c r="J1227" t="n">
        <v>0</v>
      </c>
    </row>
    <row r="1228">
      <c r="A1228" t="inlineStr">
        <is>
          <t>cc52cc0c7004b1bfb1b253132e1da884eabf714a38af77e97ac1c1ddf06a30ba</t>
        </is>
      </c>
      <c r="B1228" t="inlineStr">
        <is>
          <t>Framsikt / Visma (Skole)</t>
        </is>
      </c>
      <c r="C1228" t="n">
        <v>1</v>
      </c>
      <c r="D1228" t="n">
        <v>6</v>
      </c>
      <c r="E1228" t="n">
        <v>3</v>
      </c>
      <c r="F1228" t="n">
        <v>20250801</v>
      </c>
      <c r="G1228" t="n">
        <v>6000</v>
      </c>
      <c r="H1228" t="n">
        <v>6000</v>
      </c>
      <c r="I1228" t="n">
        <v>4000</v>
      </c>
      <c r="J1228" t="n">
        <v>2000</v>
      </c>
    </row>
    <row r="1229">
      <c r="A1229" t="inlineStr">
        <is>
          <t>dd500de8b2bfa607cf0bea34fe62eecfb532acb9dfb0f92a9effa655f0beaf96</t>
        </is>
      </c>
      <c r="B1229" t="inlineStr">
        <is>
          <t>Framsikt / Visma (Skole)</t>
        </is>
      </c>
      <c r="C1229" t="n">
        <v>1</v>
      </c>
      <c r="D1229" t="n">
        <v>10</v>
      </c>
      <c r="E1229" t="n">
        <v>3</v>
      </c>
      <c r="F1229" t="n">
        <v>20250801</v>
      </c>
      <c r="G1229" t="n">
        <v>0</v>
      </c>
      <c r="H1229" t="n">
        <v>0</v>
      </c>
      <c r="I1229" t="n">
        <v>0</v>
      </c>
      <c r="J1229" t="n">
        <v>0</v>
      </c>
    </row>
    <row r="1230">
      <c r="A1230" t="inlineStr">
        <is>
          <t>b85470da174d246bad86b859fdadb6c378ba83714714040cc3b2de39de21aa73</t>
        </is>
      </c>
      <c r="B1230" t="inlineStr">
        <is>
          <t>Framsikt / Visma (Skole)</t>
        </is>
      </c>
      <c r="C1230" t="n">
        <v>1</v>
      </c>
      <c r="D1230" t="n">
        <v>16</v>
      </c>
      <c r="E1230" t="n">
        <v>3</v>
      </c>
      <c r="F1230" t="n">
        <v>20250801</v>
      </c>
      <c r="G1230" t="n">
        <v>0</v>
      </c>
      <c r="H1230" t="n">
        <v>0</v>
      </c>
      <c r="I1230" t="n">
        <v>0</v>
      </c>
      <c r="J1230" t="n">
        <v>0</v>
      </c>
    </row>
    <row r="1231">
      <c r="A1231" t="inlineStr">
        <is>
          <t>583cdb658177738b3b892652765625f7fd31f3b7322426c5218426faf25dda47</t>
        </is>
      </c>
      <c r="B1231" t="inlineStr">
        <is>
          <t>Framsikt / Visma (Skole)</t>
        </is>
      </c>
      <c r="C1231" t="n">
        <v>1</v>
      </c>
      <c r="D1231" t="n">
        <v>16</v>
      </c>
      <c r="E1231" t="n">
        <v>3</v>
      </c>
      <c r="F1231" t="n">
        <v>20250801</v>
      </c>
      <c r="G1231" t="n">
        <v>4000</v>
      </c>
      <c r="H1231" t="n">
        <v>4000</v>
      </c>
      <c r="I1231" t="n">
        <v>0</v>
      </c>
      <c r="J1231" t="n">
        <v>4000</v>
      </c>
    </row>
    <row r="1232">
      <c r="A1232" t="inlineStr">
        <is>
          <t>7b7d48b9181916f28a5427fb9d604b450dbcf9fc9d1508730c92c80975ec5bdb</t>
        </is>
      </c>
      <c r="B1232" t="inlineStr">
        <is>
          <t>Framsikt / Visma (Skole)</t>
        </is>
      </c>
      <c r="C1232" t="n">
        <v>1</v>
      </c>
      <c r="D1232" t="n">
        <v>16</v>
      </c>
      <c r="E1232" t="n">
        <v>3</v>
      </c>
      <c r="F1232" t="n">
        <v>20250801</v>
      </c>
      <c r="G1232" t="n">
        <v>16000</v>
      </c>
      <c r="H1232" t="n">
        <v>16000</v>
      </c>
      <c r="I1232" t="n">
        <v>30000</v>
      </c>
      <c r="J1232" t="n">
        <v>-14000</v>
      </c>
    </row>
    <row r="1233">
      <c r="A1233" t="inlineStr">
        <is>
          <t>ab8ae93f948208501df050fda30f91bd985b6b092020e0ebd8a99cdd6caf1d9d</t>
        </is>
      </c>
      <c r="B1233" t="inlineStr">
        <is>
          <t>Framsikt / Visma (Skole)</t>
        </is>
      </c>
      <c r="C1233" t="n">
        <v>1</v>
      </c>
      <c r="D1233" t="n">
        <v>16</v>
      </c>
      <c r="E1233" t="n">
        <v>3</v>
      </c>
      <c r="F1233" t="n">
        <v>20250801</v>
      </c>
      <c r="G1233" t="n">
        <v>0</v>
      </c>
      <c r="H1233" t="n">
        <v>0</v>
      </c>
      <c r="I1233" t="n">
        <v>0</v>
      </c>
      <c r="J1233" t="n">
        <v>0</v>
      </c>
    </row>
    <row r="1234">
      <c r="A1234" t="inlineStr">
        <is>
          <t>117d8e0e2cf8991adcde6fa6e04a6fcb5e16a5135f4dce0fb04047bda53db8d2</t>
        </is>
      </c>
      <c r="B1234" t="inlineStr">
        <is>
          <t>Framsikt / Visma (Skole)</t>
        </is>
      </c>
      <c r="C1234" t="n">
        <v>1</v>
      </c>
      <c r="D1234" t="n">
        <v>26</v>
      </c>
      <c r="E1234" t="n">
        <v>3</v>
      </c>
      <c r="F1234" t="n">
        <v>20250801</v>
      </c>
      <c r="G1234" t="n">
        <v>49000</v>
      </c>
      <c r="H1234" t="n">
        <v>49000</v>
      </c>
      <c r="I1234" t="n">
        <v>50000</v>
      </c>
      <c r="J1234" t="n">
        <v>-1000</v>
      </c>
    </row>
    <row r="1235">
      <c r="A1235" t="inlineStr">
        <is>
          <t>b04dfd7ea4593ee05f38856712f32b94635fde3bea1c15a6fcb32b91b6d87ffc</t>
        </is>
      </c>
      <c r="B1235" t="inlineStr">
        <is>
          <t>Framsikt / Visma (Skole)</t>
        </is>
      </c>
      <c r="C1235" t="n">
        <v>1</v>
      </c>
      <c r="D1235" t="n">
        <v>34</v>
      </c>
      <c r="E1235" t="n">
        <v>3</v>
      </c>
      <c r="F1235" t="n">
        <v>20250801</v>
      </c>
      <c r="G1235" t="n">
        <v>-4000</v>
      </c>
      <c r="H1235" t="n">
        <v>4000</v>
      </c>
      <c r="I1235" t="n">
        <v>0</v>
      </c>
      <c r="J1235" t="n">
        <v>4000</v>
      </c>
    </row>
    <row r="1236">
      <c r="A1236" t="inlineStr">
        <is>
          <t>9871a15309f88494b0fee4bf2a0b4c64afa436bc0b31bc5d136e63782930fae9</t>
        </is>
      </c>
      <c r="B1236" t="inlineStr">
        <is>
          <t>Framsikt / Visma (Skole)</t>
        </is>
      </c>
      <c r="C1236" t="n">
        <v>2</v>
      </c>
      <c r="D1236" t="n">
        <v>16</v>
      </c>
      <c r="E1236" t="n">
        <v>5</v>
      </c>
      <c r="F1236" t="n">
        <v>20250801</v>
      </c>
      <c r="G1236" t="n">
        <v>0</v>
      </c>
      <c r="H1236" t="n">
        <v>0</v>
      </c>
      <c r="I1236" t="n">
        <v>0</v>
      </c>
      <c r="J1236" t="n">
        <v>0</v>
      </c>
    </row>
    <row r="1237">
      <c r="A1237" t="inlineStr">
        <is>
          <t>475b495eca62500e7b5e5b35b384750533a7d166d316515185d9908d7cff59f9</t>
        </is>
      </c>
      <c r="B1237" t="inlineStr">
        <is>
          <t>Framsikt / Visma (Skole)</t>
        </is>
      </c>
      <c r="C1237" t="n">
        <v>2</v>
      </c>
      <c r="D1237" t="n">
        <v>16</v>
      </c>
      <c r="E1237" t="n">
        <v>5</v>
      </c>
      <c r="F1237" t="n">
        <v>20250801</v>
      </c>
      <c r="G1237" t="n">
        <v>1000</v>
      </c>
      <c r="H1237" t="n">
        <v>1000</v>
      </c>
      <c r="I1237" t="n">
        <v>23000</v>
      </c>
      <c r="J1237" t="n">
        <v>-22000</v>
      </c>
    </row>
    <row r="1238">
      <c r="A1238" t="inlineStr">
        <is>
          <t>b9de876b15c9e96f796448f67ff7728469851b05350351f9ef9c2961c6740a47</t>
        </is>
      </c>
      <c r="B1238" t="inlineStr">
        <is>
          <t>Framsikt / Visma (Skole)</t>
        </is>
      </c>
      <c r="C1238" t="n">
        <v>2</v>
      </c>
      <c r="D1238" t="n">
        <v>16</v>
      </c>
      <c r="E1238" t="n">
        <v>5</v>
      </c>
      <c r="F1238" t="n">
        <v>20250801</v>
      </c>
      <c r="G1238" t="n">
        <v>0</v>
      </c>
      <c r="H1238" t="n">
        <v>0</v>
      </c>
      <c r="I1238" t="n">
        <v>0</v>
      </c>
      <c r="J1238" t="n">
        <v>0</v>
      </c>
    </row>
    <row r="1239">
      <c r="A1239" t="inlineStr">
        <is>
          <t>e7e4432a4c3911047b2034a86efc5ebf3aaa59fb48c79c2095d9d7e760a2113b</t>
        </is>
      </c>
      <c r="B1239" t="inlineStr">
        <is>
          <t>Framsikt / Visma (Skole)</t>
        </is>
      </c>
      <c r="C1239" t="n">
        <v>2</v>
      </c>
      <c r="D1239" t="n">
        <v>26</v>
      </c>
      <c r="E1239" t="n">
        <v>5</v>
      </c>
      <c r="F1239" t="n">
        <v>20250801</v>
      </c>
      <c r="G1239" t="n">
        <v>490000</v>
      </c>
      <c r="H1239" t="n">
        <v>490000</v>
      </c>
      <c r="I1239" t="n">
        <v>490000</v>
      </c>
      <c r="J1239" t="n">
        <v>0</v>
      </c>
    </row>
    <row r="1240">
      <c r="A1240" t="inlineStr">
        <is>
          <t>033a749b08098d15445c62bfc60ebd1699228d7bd6725a84e6e9a5b77b192fa5</t>
        </is>
      </c>
      <c r="B1240" t="inlineStr">
        <is>
          <t>Framsikt / Visma (Skole)</t>
        </is>
      </c>
      <c r="C1240" t="n">
        <v>2</v>
      </c>
      <c r="D1240" t="n">
        <v>26</v>
      </c>
      <c r="E1240" t="n">
        <v>5</v>
      </c>
      <c r="F1240" t="n">
        <v>20250801</v>
      </c>
      <c r="G1240" t="n">
        <v>0</v>
      </c>
      <c r="H1240" t="n">
        <v>0</v>
      </c>
      <c r="I1240" t="n">
        <v>0</v>
      </c>
      <c r="J1240" t="n">
        <v>0</v>
      </c>
    </row>
    <row r="1241">
      <c r="A1241" t="inlineStr">
        <is>
          <t>69de1a500f5c1715485a74745d2e5327588a0ad1a5cf278b36b7d2c632d77b0b</t>
        </is>
      </c>
      <c r="B1241" t="inlineStr">
        <is>
          <t>Framsikt / Visma (Skole)</t>
        </is>
      </c>
      <c r="C1241" t="n">
        <v>2</v>
      </c>
      <c r="D1241" t="n">
        <v>16</v>
      </c>
      <c r="E1241" t="n">
        <v>5</v>
      </c>
      <c r="F1241" t="n">
        <v>20250801</v>
      </c>
      <c r="G1241" t="n">
        <v>0</v>
      </c>
      <c r="H1241" t="n">
        <v>0</v>
      </c>
      <c r="I1241" t="n">
        <v>0</v>
      </c>
      <c r="J1241" t="n">
        <v>0</v>
      </c>
    </row>
    <row r="1242">
      <c r="A1242" t="inlineStr">
        <is>
          <t>c624386ba44001471e147883f34a5bca3a00e3eca7b23fa5cc7168828ff0d46b</t>
        </is>
      </c>
      <c r="B1242" t="inlineStr">
        <is>
          <t>Framsikt / Visma (Skole)</t>
        </is>
      </c>
      <c r="C1242" t="n">
        <v>2</v>
      </c>
      <c r="D1242" t="n">
        <v>34</v>
      </c>
      <c r="E1242" t="n">
        <v>5</v>
      </c>
      <c r="F1242" t="n">
        <v>20250801</v>
      </c>
      <c r="G1242" t="n">
        <v>0</v>
      </c>
      <c r="H1242" t="n">
        <v>0</v>
      </c>
      <c r="I1242" t="n">
        <v>0</v>
      </c>
      <c r="J1242" t="n">
        <v>0</v>
      </c>
    </row>
    <row r="1243">
      <c r="A1243" t="inlineStr">
        <is>
          <t>cc47f9555c071d9fce220f4d8206c860804614ad6f58e80b76d2ba3ffa88eb1a</t>
        </is>
      </c>
      <c r="B1243" t="inlineStr">
        <is>
          <t>Framsikt / Visma (Skole)</t>
        </is>
      </c>
      <c r="C1243" t="n">
        <v>2</v>
      </c>
      <c r="D1243" t="n">
        <v>34</v>
      </c>
      <c r="E1243" t="n">
        <v>5</v>
      </c>
      <c r="F1243" t="n">
        <v>20250801</v>
      </c>
      <c r="G1243" t="n">
        <v>0</v>
      </c>
      <c r="H1243" t="n">
        <v>0</v>
      </c>
      <c r="I1243" t="n">
        <v>0</v>
      </c>
      <c r="J1243" t="n">
        <v>0</v>
      </c>
    </row>
    <row r="1244">
      <c r="A1244" t="inlineStr">
        <is>
          <t>98395821db86768626a5349968f0810a9746f7a9a068573013d065cd6385fbb1</t>
        </is>
      </c>
      <c r="B1244" t="inlineStr">
        <is>
          <t>Framsikt / Visma (Skole)</t>
        </is>
      </c>
      <c r="C1244" t="n">
        <v>5</v>
      </c>
      <c r="D1244" t="n">
        <v>16</v>
      </c>
      <c r="E1244" t="n">
        <v>7</v>
      </c>
      <c r="F1244" t="n">
        <v>20250801</v>
      </c>
      <c r="G1244" t="n">
        <v>469000</v>
      </c>
      <c r="H1244" t="n">
        <v>469000</v>
      </c>
      <c r="I1244" t="n">
        <v>516000</v>
      </c>
      <c r="J1244" t="n">
        <v>-47000</v>
      </c>
    </row>
    <row r="1245">
      <c r="A1245" t="inlineStr">
        <is>
          <t>b0414ae0af9e525f2919b899ef8eedda5326c2fcc306b28632a6884abec59648</t>
        </is>
      </c>
      <c r="B1245" t="inlineStr">
        <is>
          <t>Framsikt / Visma (Skole)</t>
        </is>
      </c>
      <c r="C1245" t="n">
        <v>5</v>
      </c>
      <c r="D1245" t="n">
        <v>16</v>
      </c>
      <c r="E1245" t="n">
        <v>7</v>
      </c>
      <c r="F1245" t="n">
        <v>20250801</v>
      </c>
      <c r="G1245" t="n">
        <v>56000</v>
      </c>
      <c r="H1245" t="n">
        <v>56000</v>
      </c>
      <c r="I1245" t="n">
        <v>0</v>
      </c>
      <c r="J1245" t="n">
        <v>56000</v>
      </c>
    </row>
    <row r="1246">
      <c r="A1246" t="inlineStr">
        <is>
          <t>441ab17252a0230a16b5a6bd9918dcc9cbde938b4c3476d7aa8be71c3a6ab69d</t>
        </is>
      </c>
      <c r="B1246" t="inlineStr">
        <is>
          <t>Framsikt / Visma (Skole)</t>
        </is>
      </c>
      <c r="C1246" t="n">
        <v>5</v>
      </c>
      <c r="D1246" t="n">
        <v>34</v>
      </c>
      <c r="E1246" t="n">
        <v>7</v>
      </c>
      <c r="F1246" t="n">
        <v>20250801</v>
      </c>
      <c r="G1246" t="n">
        <v>-56000</v>
      </c>
      <c r="H1246" t="n">
        <v>56000</v>
      </c>
      <c r="I1246" t="n">
        <v>0</v>
      </c>
      <c r="J1246" t="n">
        <v>56000</v>
      </c>
    </row>
    <row r="1247">
      <c r="A1247" t="inlineStr">
        <is>
          <t>dd672952937ec9756364c8e91b8e0c8c283ceff8e7705c815edc6ad5b6fd5d54</t>
        </is>
      </c>
      <c r="B1247" t="inlineStr">
        <is>
          <t>Framsikt / Visma (Skole)</t>
        </is>
      </c>
      <c r="C1247" t="n">
        <v>4</v>
      </c>
      <c r="D1247" t="n">
        <v>16</v>
      </c>
      <c r="E1247" t="n">
        <v>6</v>
      </c>
      <c r="F1247" t="n">
        <v>20250801</v>
      </c>
      <c r="G1247" t="n">
        <v>0</v>
      </c>
      <c r="H1247" t="n">
        <v>0</v>
      </c>
      <c r="I1247" t="n">
        <v>0</v>
      </c>
      <c r="J1247" t="n">
        <v>0</v>
      </c>
    </row>
    <row r="1248">
      <c r="A1248" t="inlineStr">
        <is>
          <t>6d63fefdf977cfe8988422045f0a69e06bd274500572553ddd071d93d530a20c</t>
        </is>
      </c>
      <c r="B1248" t="inlineStr">
        <is>
          <t>Framsikt / Visma (Skole)</t>
        </is>
      </c>
      <c r="C1248" t="n">
        <v>4</v>
      </c>
      <c r="D1248" t="n">
        <v>16</v>
      </c>
      <c r="E1248" t="n">
        <v>6</v>
      </c>
      <c r="F1248" t="n">
        <v>20250801</v>
      </c>
      <c r="G1248" t="n">
        <v>0</v>
      </c>
      <c r="H1248" t="n">
        <v>0</v>
      </c>
      <c r="I1248" t="n">
        <v>0</v>
      </c>
      <c r="J1248" t="n">
        <v>0</v>
      </c>
    </row>
    <row r="1249">
      <c r="A1249" t="inlineStr">
        <is>
          <t>e9c4f7c078bde409b878dbd599c3155dd32013c4b591363df1c4cd4c782ca680</t>
        </is>
      </c>
      <c r="B1249" t="inlineStr">
        <is>
          <t>Framsikt / Visma (Skole)</t>
        </is>
      </c>
      <c r="C1249" t="n">
        <v>4</v>
      </c>
      <c r="D1249" t="n">
        <v>34</v>
      </c>
      <c r="E1249" t="n">
        <v>6</v>
      </c>
      <c r="F1249" t="n">
        <v>20250801</v>
      </c>
      <c r="G1249" t="n">
        <v>0</v>
      </c>
      <c r="H1249" t="n">
        <v>0</v>
      </c>
      <c r="I1249" t="n">
        <v>0</v>
      </c>
      <c r="J1249" t="n">
        <v>0</v>
      </c>
    </row>
    <row r="1250">
      <c r="A1250" t="inlineStr">
        <is>
          <t>c36315684583d5600e1c48d2f999dcea90402b07fd2f8d0c376b538e83019f19</t>
        </is>
      </c>
      <c r="B1250" t="inlineStr">
        <is>
          <t>Framsikt / Visma (Skole)</t>
        </is>
      </c>
      <c r="C1250" t="n">
        <v>1</v>
      </c>
      <c r="D1250" t="n">
        <v>26</v>
      </c>
      <c r="E1250" t="n">
        <v>4</v>
      </c>
      <c r="F1250" t="n">
        <v>20250801</v>
      </c>
      <c r="G1250" t="n">
        <v>245000</v>
      </c>
      <c r="H1250" t="n">
        <v>245000</v>
      </c>
      <c r="I1250" t="n">
        <v>350000</v>
      </c>
      <c r="J1250" t="n">
        <v>-105000</v>
      </c>
    </row>
    <row r="1251">
      <c r="A1251" t="inlineStr">
        <is>
          <t>e6cc20e2191bb179074a9da7f5cba6cdafeb10fa1512bd001bb3a77bf16192bd</t>
        </is>
      </c>
      <c r="B1251" t="inlineStr">
        <is>
          <t>Framsikt / Visma (Skole)</t>
        </is>
      </c>
      <c r="C1251" t="n">
        <v>1</v>
      </c>
      <c r="D1251" t="n">
        <v>16</v>
      </c>
      <c r="E1251" t="n">
        <v>4</v>
      </c>
      <c r="F1251" t="n">
        <v>20250801</v>
      </c>
      <c r="G1251" t="n">
        <v>41000</v>
      </c>
      <c r="H1251" t="n">
        <v>41000</v>
      </c>
      <c r="I1251" t="n">
        <v>0</v>
      </c>
      <c r="J1251" t="n">
        <v>41000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5" customWidth="1" min="1" max="1"/>
    <col width="16" customWidth="1" min="2" max="2"/>
    <col width="34" customWidth="1" min="3" max="3"/>
    <col width="21" customWidth="1" min="4" max="4"/>
    <col width="22" customWidth="1" min="5" max="5"/>
  </cols>
  <sheetData>
    <row r="1">
      <c r="A1" t="inlineStr">
        <is>
          <t>funksjon_key</t>
        </is>
      </c>
      <c r="B1" t="inlineStr">
        <is>
          <t>funksjon_kode</t>
        </is>
      </c>
      <c r="C1" t="inlineStr">
        <is>
          <t>funksjon_navn</t>
        </is>
      </c>
      <c r="D1" t="inlineStr">
        <is>
          <t>hovedfunksjon_kode</t>
        </is>
      </c>
      <c r="E1" t="inlineStr">
        <is>
          <t>tjenesteomrade_navn</t>
        </is>
      </c>
    </row>
    <row r="2">
      <c r="A2" t="n">
        <v>1</v>
      </c>
      <c r="B2" t="inlineStr">
        <is>
          <t>202</t>
        </is>
      </c>
      <c r="C2" t="inlineStr">
        <is>
          <t>Grunnskoleopplæring</t>
        </is>
      </c>
      <c r="D2" t="inlineStr">
        <is>
          <t>200</t>
        </is>
      </c>
      <c r="E2" t="inlineStr">
        <is>
          <t>Oppvekst</t>
        </is>
      </c>
    </row>
    <row r="3">
      <c r="A3" t="n">
        <v>2</v>
      </c>
      <c r="B3" t="inlineStr">
        <is>
          <t>213</t>
        </is>
      </c>
      <c r="C3" t="inlineStr">
        <is>
          <t>Voksenopplæring</t>
        </is>
      </c>
      <c r="D3" t="inlineStr">
        <is>
          <t>210</t>
        </is>
      </c>
      <c r="E3" t="inlineStr">
        <is>
          <t>Oppvekst</t>
        </is>
      </c>
    </row>
    <row r="4">
      <c r="A4" t="n">
        <v>3</v>
      </c>
      <c r="B4" t="inlineStr">
        <is>
          <t>215</t>
        </is>
      </c>
      <c r="C4" t="inlineStr">
        <is>
          <t>Skolefritidstilbud (SFO)</t>
        </is>
      </c>
      <c r="D4" t="inlineStr">
        <is>
          <t>210</t>
        </is>
      </c>
      <c r="E4" t="inlineStr">
        <is>
          <t>Oppvekst</t>
        </is>
      </c>
    </row>
    <row r="5">
      <c r="A5" t="n">
        <v>4</v>
      </c>
      <c r="B5" t="inlineStr">
        <is>
          <t>222</t>
        </is>
      </c>
      <c r="C5" t="inlineStr">
        <is>
          <t>Skolelokaler</t>
        </is>
      </c>
      <c r="D5" t="inlineStr">
        <is>
          <t>220</t>
        </is>
      </c>
      <c r="E5" t="inlineStr">
        <is>
          <t>Oppvekst / Eiendom</t>
        </is>
      </c>
    </row>
    <row r="6">
      <c r="A6" t="n">
        <v>5</v>
      </c>
      <c r="B6" t="inlineStr">
        <is>
          <t>223</t>
        </is>
      </c>
      <c r="C6" t="inlineStr">
        <is>
          <t>Skoleskyss</t>
        </is>
      </c>
      <c r="D6" t="inlineStr">
        <is>
          <t>220</t>
        </is>
      </c>
      <c r="E6" t="inlineStr">
        <is>
          <t>Oppvekst</t>
        </is>
      </c>
    </row>
    <row r="7">
      <c r="A7" t="n">
        <v>6</v>
      </c>
      <c r="B7" t="inlineStr">
        <is>
          <t>254</t>
        </is>
      </c>
      <c r="C7" t="inlineStr">
        <is>
          <t>Hjemmetjenester og bofellesskap</t>
        </is>
      </c>
      <c r="D7" t="inlineStr">
        <is>
          <t>250</t>
        </is>
      </c>
      <c r="E7" t="inlineStr">
        <is>
          <t>Helse og mestring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50" customWidth="1" min="3" max="3"/>
    <col width="13" customWidth="1" min="4" max="4"/>
    <col width="18" customWidth="1" min="5" max="5"/>
  </cols>
  <sheetData>
    <row r="1">
      <c r="A1" t="inlineStr">
        <is>
          <t>art_key</t>
        </is>
      </c>
      <c r="B1" t="inlineStr">
        <is>
          <t>art_kode</t>
        </is>
      </c>
      <c r="C1" t="inlineStr">
        <is>
          <t>art_navn</t>
        </is>
      </c>
      <c r="D1" t="inlineStr">
        <is>
          <t>art_gruppe</t>
        </is>
      </c>
      <c r="E1" t="inlineStr">
        <is>
          <t>sign_multiplier</t>
        </is>
      </c>
    </row>
    <row r="2">
      <c r="A2" t="n">
        <v>1</v>
      </c>
      <c r="B2" t="inlineStr">
        <is>
          <t>1010</t>
        </is>
      </c>
      <c r="C2" t="inlineStr">
        <is>
          <t>1010 10 Lønn</t>
        </is>
      </c>
      <c r="D2" t="inlineStr">
        <is>
          <t>Personal</t>
        </is>
      </c>
      <c r="E2" t="n">
        <v>1</v>
      </c>
    </row>
    <row r="3">
      <c r="A3" t="n">
        <v>2</v>
      </c>
      <c r="B3" t="inlineStr">
        <is>
          <t>1020</t>
        </is>
      </c>
      <c r="C3" t="inlineStr">
        <is>
          <t>1020 10 Lønn</t>
        </is>
      </c>
      <c r="D3" t="inlineStr">
        <is>
          <t>Personal</t>
        </is>
      </c>
      <c r="E3" t="n">
        <v>1</v>
      </c>
    </row>
    <row r="4">
      <c r="A4" t="n">
        <v>3</v>
      </c>
      <c r="B4" t="inlineStr">
        <is>
          <t>1030</t>
        </is>
      </c>
      <c r="C4" t="inlineStr">
        <is>
          <t>1030 10 Lønn</t>
        </is>
      </c>
      <c r="D4" t="inlineStr">
        <is>
          <t>Personal</t>
        </is>
      </c>
      <c r="E4" t="n">
        <v>1</v>
      </c>
    </row>
    <row r="5">
      <c r="A5" t="n">
        <v>4</v>
      </c>
      <c r="B5" t="inlineStr">
        <is>
          <t>1040</t>
        </is>
      </c>
      <c r="C5" t="inlineStr">
        <is>
          <t>1040 10 Lønn</t>
        </is>
      </c>
      <c r="D5" t="inlineStr">
        <is>
          <t>Personal</t>
        </is>
      </c>
      <c r="E5" t="n">
        <v>1</v>
      </c>
    </row>
    <row r="6">
      <c r="A6" t="n">
        <v>5</v>
      </c>
      <c r="B6" t="inlineStr">
        <is>
          <t>1050</t>
        </is>
      </c>
      <c r="C6" t="inlineStr">
        <is>
          <t>1050 10 Lønn</t>
        </is>
      </c>
      <c r="D6" t="inlineStr">
        <is>
          <t>Personal</t>
        </is>
      </c>
      <c r="E6" t="n">
        <v>1</v>
      </c>
    </row>
    <row r="7">
      <c r="A7" t="n">
        <v>6</v>
      </c>
      <c r="B7" t="inlineStr">
        <is>
          <t>1090</t>
        </is>
      </c>
      <c r="C7" t="inlineStr">
        <is>
          <t>1090 10 Lønn</t>
        </is>
      </c>
      <c r="D7" t="inlineStr">
        <is>
          <t>Personal</t>
        </is>
      </c>
      <c r="E7" t="n">
        <v>1</v>
      </c>
    </row>
    <row r="8">
      <c r="A8" t="n">
        <v>7</v>
      </c>
      <c r="B8" t="inlineStr">
        <is>
          <t>1099</t>
        </is>
      </c>
      <c r="C8" t="inlineStr">
        <is>
          <t>1099 10 Lønn</t>
        </is>
      </c>
      <c r="D8" t="inlineStr">
        <is>
          <t>Personal</t>
        </is>
      </c>
      <c r="E8" t="n">
        <v>1</v>
      </c>
    </row>
    <row r="9">
      <c r="A9" t="n">
        <v>8</v>
      </c>
      <c r="B9" t="inlineStr">
        <is>
          <t>1710</t>
        </is>
      </c>
      <c r="C9" t="inlineStr">
        <is>
          <t>1710 11 Refusjon lønn</t>
        </is>
      </c>
      <c r="D9" t="inlineStr">
        <is>
          <t>Refusjon</t>
        </is>
      </c>
      <c r="E9" t="n">
        <v>-1</v>
      </c>
    </row>
    <row r="10">
      <c r="A10" t="n">
        <v>9</v>
      </c>
      <c r="B10" t="inlineStr">
        <is>
          <t>1100</t>
        </is>
      </c>
      <c r="C10" t="inlineStr">
        <is>
          <t>1100 11 Refusjon lønn</t>
        </is>
      </c>
      <c r="D10" t="inlineStr">
        <is>
          <t>Refusjon</t>
        </is>
      </c>
      <c r="E10" t="n">
        <v>-1</v>
      </c>
    </row>
    <row r="11">
      <c r="A11" t="n">
        <v>10</v>
      </c>
      <c r="B11" t="inlineStr">
        <is>
          <t>1110</t>
        </is>
      </c>
      <c r="C11" t="inlineStr">
        <is>
          <t>1110 11 Refusjon lønn</t>
        </is>
      </c>
      <c r="D11" t="inlineStr">
        <is>
          <t>Refusjon</t>
        </is>
      </c>
      <c r="E11" t="n">
        <v>-1</v>
      </c>
    </row>
    <row r="12">
      <c r="A12" t="n">
        <v>11</v>
      </c>
      <c r="B12" t="inlineStr">
        <is>
          <t>1114</t>
        </is>
      </c>
      <c r="C12" t="inlineStr">
        <is>
          <t>1114 11 Refusjon lønn</t>
        </is>
      </c>
      <c r="D12" t="inlineStr">
        <is>
          <t>Refusjon</t>
        </is>
      </c>
      <c r="E12" t="n">
        <v>-1</v>
      </c>
    </row>
    <row r="13">
      <c r="A13" t="n">
        <v>12</v>
      </c>
      <c r="B13" t="inlineStr">
        <is>
          <t>1115</t>
        </is>
      </c>
      <c r="C13" t="inlineStr">
        <is>
          <t>1115 11 Refusjon lønn</t>
        </is>
      </c>
      <c r="D13" t="inlineStr">
        <is>
          <t>Refusjon</t>
        </is>
      </c>
      <c r="E13" t="n">
        <v>-1</v>
      </c>
    </row>
    <row r="14">
      <c r="A14" t="n">
        <v>13</v>
      </c>
      <c r="B14" t="inlineStr">
        <is>
          <t>1120</t>
        </is>
      </c>
      <c r="C14" t="inlineStr">
        <is>
          <t>1120 11 Refusjon lønn</t>
        </is>
      </c>
      <c r="D14" t="inlineStr">
        <is>
          <t>Refusjon</t>
        </is>
      </c>
      <c r="E14" t="n">
        <v>-1</v>
      </c>
    </row>
    <row r="15">
      <c r="A15" t="n">
        <v>14</v>
      </c>
      <c r="B15" t="inlineStr">
        <is>
          <t>1130</t>
        </is>
      </c>
      <c r="C15" t="inlineStr">
        <is>
          <t>1130 11 Refusjon lønn</t>
        </is>
      </c>
      <c r="D15" t="inlineStr">
        <is>
          <t>Refusjon</t>
        </is>
      </c>
      <c r="E15" t="n">
        <v>-1</v>
      </c>
    </row>
    <row r="16">
      <c r="A16" t="n">
        <v>15</v>
      </c>
      <c r="B16" t="inlineStr">
        <is>
          <t>1140</t>
        </is>
      </c>
      <c r="C16" t="inlineStr">
        <is>
          <t>1140 11 Refusjon lønn</t>
        </is>
      </c>
      <c r="D16" t="inlineStr">
        <is>
          <t>Refusjon</t>
        </is>
      </c>
      <c r="E16" t="n">
        <v>-1</v>
      </c>
    </row>
    <row r="17">
      <c r="A17" t="n">
        <v>16</v>
      </c>
      <c r="B17" t="inlineStr">
        <is>
          <t>1150</t>
        </is>
      </c>
      <c r="C17" t="inlineStr">
        <is>
          <t>1150 11 Refusjon lønn</t>
        </is>
      </c>
      <c r="D17" t="inlineStr">
        <is>
          <t>Refusjon</t>
        </is>
      </c>
      <c r="E17" t="n">
        <v>-1</v>
      </c>
    </row>
    <row r="18">
      <c r="A18" t="n">
        <v>17</v>
      </c>
      <c r="B18" t="inlineStr">
        <is>
          <t>1160</t>
        </is>
      </c>
      <c r="C18" t="inlineStr">
        <is>
          <t>1160 11 Refusjon lønn</t>
        </is>
      </c>
      <c r="D18" t="inlineStr">
        <is>
          <t>Refusjon</t>
        </is>
      </c>
      <c r="E18" t="n">
        <v>-1</v>
      </c>
    </row>
    <row r="19">
      <c r="A19" t="n">
        <v>18</v>
      </c>
      <c r="B19" t="inlineStr">
        <is>
          <t>1170</t>
        </is>
      </c>
      <c r="C19" t="inlineStr">
        <is>
          <t>1170 11 Refusjon lønn</t>
        </is>
      </c>
      <c r="D19" t="inlineStr">
        <is>
          <t>Refusjon</t>
        </is>
      </c>
      <c r="E19" t="n">
        <v>-1</v>
      </c>
    </row>
    <row r="20">
      <c r="A20" t="n">
        <v>19</v>
      </c>
      <c r="B20" t="inlineStr">
        <is>
          <t>1195</t>
        </is>
      </c>
      <c r="C20" t="inlineStr">
        <is>
          <t>1195 11 Refusjon lønn</t>
        </is>
      </c>
      <c r="D20" t="inlineStr">
        <is>
          <t>Refusjon</t>
        </is>
      </c>
      <c r="E20" t="n">
        <v>-1</v>
      </c>
    </row>
    <row r="21">
      <c r="A21" t="n">
        <v>20</v>
      </c>
      <c r="B21" t="inlineStr">
        <is>
          <t>1200</t>
        </is>
      </c>
      <c r="C21" t="inlineStr">
        <is>
          <t>1200 11 Refusjon lønn</t>
        </is>
      </c>
      <c r="D21" t="inlineStr">
        <is>
          <t>Refusjon</t>
        </is>
      </c>
      <c r="E21" t="n">
        <v>-1</v>
      </c>
    </row>
    <row r="22">
      <c r="A22" t="n">
        <v>21</v>
      </c>
      <c r="B22" t="inlineStr">
        <is>
          <t>1210</t>
        </is>
      </c>
      <c r="C22" t="inlineStr">
        <is>
          <t>1210 11 Refusjon lønn</t>
        </is>
      </c>
      <c r="D22" t="inlineStr">
        <is>
          <t>Refusjon</t>
        </is>
      </c>
      <c r="E22" t="n">
        <v>-1</v>
      </c>
    </row>
    <row r="23">
      <c r="A23" t="n">
        <v>22</v>
      </c>
      <c r="B23" t="inlineStr">
        <is>
          <t>1220</t>
        </is>
      </c>
      <c r="C23" t="inlineStr">
        <is>
          <t>1220 11 Refusjon lønn</t>
        </is>
      </c>
      <c r="D23" t="inlineStr">
        <is>
          <t>Refusjon</t>
        </is>
      </c>
      <c r="E23" t="n">
        <v>-1</v>
      </c>
    </row>
    <row r="24">
      <c r="A24" t="n">
        <v>23</v>
      </c>
      <c r="B24" t="inlineStr">
        <is>
          <t>1230</t>
        </is>
      </c>
      <c r="C24" t="inlineStr">
        <is>
          <t>1230 11 Refusjon lønn</t>
        </is>
      </c>
      <c r="D24" t="inlineStr">
        <is>
          <t>Refusjon</t>
        </is>
      </c>
      <c r="E24" t="n">
        <v>-1</v>
      </c>
    </row>
    <row r="25">
      <c r="A25" t="n">
        <v>24</v>
      </c>
      <c r="B25" t="inlineStr">
        <is>
          <t>1240</t>
        </is>
      </c>
      <c r="C25" t="inlineStr">
        <is>
          <t>1240 11 Refusjon lønn</t>
        </is>
      </c>
      <c r="D25" t="inlineStr">
        <is>
          <t>Refusjon</t>
        </is>
      </c>
      <c r="E25" t="n">
        <v>-1</v>
      </c>
    </row>
    <row r="26">
      <c r="A26" t="n">
        <v>25</v>
      </c>
      <c r="B26" t="inlineStr">
        <is>
          <t>1250</t>
        </is>
      </c>
      <c r="C26" t="inlineStr">
        <is>
          <t>1250 11 Refusjon lønn</t>
        </is>
      </c>
      <c r="D26" t="inlineStr">
        <is>
          <t>Refusjon</t>
        </is>
      </c>
      <c r="E26" t="n">
        <v>-1</v>
      </c>
    </row>
    <row r="27">
      <c r="A27" t="n">
        <v>26</v>
      </c>
      <c r="B27" t="inlineStr">
        <is>
          <t>1270</t>
        </is>
      </c>
      <c r="C27" t="inlineStr">
        <is>
          <t>1270 11 Refusjon lønn</t>
        </is>
      </c>
      <c r="D27" t="inlineStr">
        <is>
          <t>Refusjon</t>
        </is>
      </c>
      <c r="E27" t="n">
        <v>-1</v>
      </c>
    </row>
    <row r="28">
      <c r="A28" t="n">
        <v>27</v>
      </c>
      <c r="B28" t="inlineStr">
        <is>
          <t>1260</t>
        </is>
      </c>
      <c r="C28" t="inlineStr">
        <is>
          <t>1260 11 Refusjon lønn</t>
        </is>
      </c>
      <c r="D28" t="inlineStr">
        <is>
          <t>Refusjon</t>
        </is>
      </c>
      <c r="E28" t="n">
        <v>-1</v>
      </c>
    </row>
    <row r="29">
      <c r="A29" t="n">
        <v>28</v>
      </c>
      <c r="B29" t="inlineStr">
        <is>
          <t>1429</t>
        </is>
      </c>
      <c r="C29" t="inlineStr">
        <is>
          <t>1429 14 Overføringer</t>
        </is>
      </c>
      <c r="D29" t="inlineStr">
        <is>
          <t>Drift</t>
        </is>
      </c>
      <c r="E29" t="n">
        <v>1</v>
      </c>
    </row>
    <row r="30">
      <c r="A30" t="n">
        <v>29</v>
      </c>
      <c r="B30" t="inlineStr">
        <is>
          <t>1729</t>
        </is>
      </c>
      <c r="C30" t="inlineStr">
        <is>
          <t>1729 14 Overføringer</t>
        </is>
      </c>
      <c r="D30" t="inlineStr">
        <is>
          <t>Drift</t>
        </is>
      </c>
      <c r="E30" t="n">
        <v>1</v>
      </c>
    </row>
    <row r="31">
      <c r="A31" t="n">
        <v>30</v>
      </c>
      <c r="B31" t="inlineStr">
        <is>
          <t>1500</t>
        </is>
      </c>
      <c r="C31" t="inlineStr">
        <is>
          <t>1500 15 Finansutgifter</t>
        </is>
      </c>
      <c r="D31" t="inlineStr">
        <is>
          <t>Drift</t>
        </is>
      </c>
      <c r="E31" t="n">
        <v>1</v>
      </c>
    </row>
    <row r="32">
      <c r="A32" t="n">
        <v>31</v>
      </c>
      <c r="B32" t="inlineStr">
        <is>
          <t>1600</t>
        </is>
      </c>
      <c r="C32" t="inlineStr">
        <is>
          <t>1600 16 Brukerbetaling</t>
        </is>
      </c>
      <c r="D32" t="inlineStr">
        <is>
          <t>Refusjon</t>
        </is>
      </c>
      <c r="E32" t="n">
        <v>-1</v>
      </c>
    </row>
    <row r="33">
      <c r="A33" t="n">
        <v>32</v>
      </c>
      <c r="B33" t="inlineStr">
        <is>
          <t>1700</t>
        </is>
      </c>
      <c r="C33" t="inlineStr">
        <is>
          <t>1700 17 Refusjoner</t>
        </is>
      </c>
      <c r="D33" t="inlineStr">
        <is>
          <t>Refusjon</t>
        </is>
      </c>
      <c r="E33" t="n">
        <v>-1</v>
      </c>
    </row>
    <row r="34">
      <c r="A34" t="n">
        <v>33</v>
      </c>
      <c r="B34" t="inlineStr">
        <is>
          <t>1770</t>
        </is>
      </c>
      <c r="C34" t="inlineStr">
        <is>
          <t>1770 17 Refusjoner</t>
        </is>
      </c>
      <c r="D34" t="inlineStr">
        <is>
          <t>Refusjon</t>
        </is>
      </c>
      <c r="E34" t="n">
        <v>-1</v>
      </c>
    </row>
    <row r="35">
      <c r="A35" t="n">
        <v>34</v>
      </c>
      <c r="B35" t="inlineStr">
        <is>
          <t>1690</t>
        </is>
      </c>
      <c r="C35" t="inlineStr">
        <is>
          <t>1690 Kompensasjon moms påløpt i driftsregnskapet</t>
        </is>
      </c>
      <c r="D35" t="inlineStr">
        <is>
          <t>Refusjon</t>
        </is>
      </c>
      <c r="E35" t="n">
        <v>-1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32" customWidth="1" min="3" max="3"/>
    <col width="21" customWidth="1" min="4" max="4"/>
  </cols>
  <sheetData>
    <row r="1">
      <c r="A1" t="inlineStr">
        <is>
          <t>ansvar_key</t>
        </is>
      </c>
      <c r="B1" t="inlineStr">
        <is>
          <t>ansvar_kode</t>
        </is>
      </c>
      <c r="C1" t="inlineStr">
        <is>
          <t>ansvar_navn</t>
        </is>
      </c>
      <c r="D1" t="inlineStr">
        <is>
          <t>kommunalsjefomrade</t>
        </is>
      </c>
    </row>
    <row r="2">
      <c r="A2" t="n">
        <v>1</v>
      </c>
      <c r="B2" t="inlineStr">
        <is>
          <t>2020</t>
        </is>
      </c>
      <c r="C2" t="inlineStr">
        <is>
          <t>Mevold Grunnskole (Åseral)</t>
        </is>
      </c>
      <c r="D2" t="inlineStr">
        <is>
          <t>Oppvekst</t>
        </is>
      </c>
    </row>
    <row r="3">
      <c r="A3" t="n">
        <v>2</v>
      </c>
      <c r="B3" t="inlineStr">
        <is>
          <t>2021</t>
        </is>
      </c>
      <c r="C3" t="inlineStr">
        <is>
          <t>SFO-avdelingene</t>
        </is>
      </c>
      <c r="D3" t="inlineStr">
        <is>
          <t>Oppvekst</t>
        </is>
      </c>
    </row>
    <row r="4">
      <c r="A4" t="n">
        <v>3</v>
      </c>
      <c r="B4" t="inlineStr">
        <is>
          <t>2022</t>
        </is>
      </c>
      <c r="C4" t="inlineStr">
        <is>
          <t>Grunnskole felles / Leirskole</t>
        </is>
      </c>
      <c r="D4" t="inlineStr">
        <is>
          <t>Oppvekst</t>
        </is>
      </c>
    </row>
    <row r="5">
      <c r="A5" t="n">
        <v>4</v>
      </c>
      <c r="B5" t="inlineStr">
        <is>
          <t>2029</t>
        </is>
      </c>
      <c r="C5" t="inlineStr">
        <is>
          <t>Interkommunal PPT-enhet</t>
        </is>
      </c>
      <c r="D5" t="inlineStr">
        <is>
          <t>Oppvekst</t>
        </is>
      </c>
    </row>
    <row r="6">
      <c r="A6" t="n">
        <v>5</v>
      </c>
      <c r="B6" t="inlineStr">
        <is>
          <t>2130</t>
        </is>
      </c>
      <c r="C6" t="inlineStr">
        <is>
          <t>Kommunal voksenopplæring</t>
        </is>
      </c>
      <c r="D6" t="inlineStr">
        <is>
          <t>Oppvekst</t>
        </is>
      </c>
    </row>
    <row r="7">
      <c r="A7" t="n">
        <v>6</v>
      </c>
      <c r="B7" t="inlineStr">
        <is>
          <t>2220</t>
        </is>
      </c>
      <c r="C7" t="inlineStr">
        <is>
          <t>Skolelokaler / Eiendom</t>
        </is>
      </c>
      <c r="D7" t="inlineStr">
        <is>
          <t>Oppvekst / Eiendom</t>
        </is>
      </c>
    </row>
    <row r="8">
      <c r="A8" t="n">
        <v>7</v>
      </c>
      <c r="B8" t="inlineStr">
        <is>
          <t>2230</t>
        </is>
      </c>
      <c r="C8" t="inlineStr">
        <is>
          <t>Skoleskyss / Sentral stab</t>
        </is>
      </c>
      <c r="D8" t="inlineStr">
        <is>
          <t>Oppvekst</t>
        </is>
      </c>
    </row>
    <row r="9">
      <c r="A9" t="n">
        <v>8</v>
      </c>
      <c r="B9" t="inlineStr">
        <is>
          <t>2540</t>
        </is>
      </c>
      <c r="C9" t="inlineStr">
        <is>
          <t>Slettheia Bofellesskap</t>
        </is>
      </c>
      <c r="D9" t="inlineStr">
        <is>
          <t>Helse og mestring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1" customWidth="1" min="1" max="1"/>
    <col width="13" customWidth="1" min="2" max="2"/>
    <col width="10" customWidth="1" min="3" max="3"/>
    <col width="10" customWidth="1" min="4" max="4"/>
    <col width="10" customWidth="1" min="5" max="5"/>
  </cols>
  <sheetData>
    <row r="1">
      <c r="A1" t="inlineStr">
        <is>
          <t>dato_key</t>
        </is>
      </c>
      <c r="B1" t="inlineStr">
        <is>
          <t>full_dato</t>
        </is>
      </c>
      <c r="C1" t="inlineStr">
        <is>
          <t>ar</t>
        </is>
      </c>
      <c r="D1" t="inlineStr">
        <is>
          <t>tertial</t>
        </is>
      </c>
      <c r="E1" t="inlineStr">
        <is>
          <t>maned</t>
        </is>
      </c>
    </row>
    <row r="2">
      <c r="A2" t="n">
        <v>20240101</v>
      </c>
      <c r="B2" t="inlineStr">
        <is>
          <t>2024-01-01</t>
        </is>
      </c>
      <c r="C2" t="n">
        <v>2024</v>
      </c>
      <c r="D2" t="n">
        <v>1</v>
      </c>
      <c r="E2" t="n">
        <v>1</v>
      </c>
    </row>
    <row r="3">
      <c r="A3" t="n">
        <v>20240201</v>
      </c>
      <c r="B3" t="inlineStr">
        <is>
          <t>2024-02-01</t>
        </is>
      </c>
      <c r="C3" t="n">
        <v>2024</v>
      </c>
      <c r="D3" t="n">
        <v>1</v>
      </c>
      <c r="E3" t="n">
        <v>2</v>
      </c>
    </row>
    <row r="4">
      <c r="A4" t="n">
        <v>20240301</v>
      </c>
      <c r="B4" t="inlineStr">
        <is>
          <t>2024-03-01</t>
        </is>
      </c>
      <c r="C4" t="n">
        <v>2024</v>
      </c>
      <c r="D4" t="n">
        <v>1</v>
      </c>
      <c r="E4" t="n">
        <v>3</v>
      </c>
    </row>
    <row r="5">
      <c r="A5" t="n">
        <v>20240401</v>
      </c>
      <c r="B5" t="inlineStr">
        <is>
          <t>2024-04-01</t>
        </is>
      </c>
      <c r="C5" t="n">
        <v>2024</v>
      </c>
      <c r="D5" t="n">
        <v>1</v>
      </c>
      <c r="E5" t="n">
        <v>4</v>
      </c>
    </row>
    <row r="6">
      <c r="A6" t="n">
        <v>20240501</v>
      </c>
      <c r="B6" t="inlineStr">
        <is>
          <t>2024-05-01</t>
        </is>
      </c>
      <c r="C6" t="n">
        <v>2024</v>
      </c>
      <c r="D6" t="n">
        <v>2</v>
      </c>
      <c r="E6" t="n">
        <v>5</v>
      </c>
    </row>
    <row r="7">
      <c r="A7" t="n">
        <v>20240601</v>
      </c>
      <c r="B7" t="inlineStr">
        <is>
          <t>2024-06-01</t>
        </is>
      </c>
      <c r="C7" t="n">
        <v>2024</v>
      </c>
      <c r="D7" t="n">
        <v>2</v>
      </c>
      <c r="E7" t="n">
        <v>6</v>
      </c>
    </row>
    <row r="8">
      <c r="A8" t="n">
        <v>20240701</v>
      </c>
      <c r="B8" t="inlineStr">
        <is>
          <t>2024-07-01</t>
        </is>
      </c>
      <c r="C8" t="n">
        <v>2024</v>
      </c>
      <c r="D8" t="n">
        <v>2</v>
      </c>
      <c r="E8" t="n">
        <v>7</v>
      </c>
    </row>
    <row r="9">
      <c r="A9" t="n">
        <v>20240801</v>
      </c>
      <c r="B9" t="inlineStr">
        <is>
          <t>2024-08-01</t>
        </is>
      </c>
      <c r="C9" t="n">
        <v>2024</v>
      </c>
      <c r="D9" t="n">
        <v>2</v>
      </c>
      <c r="E9" t="n">
        <v>8</v>
      </c>
    </row>
    <row r="10">
      <c r="A10" t="n">
        <v>20240901</v>
      </c>
      <c r="B10" t="inlineStr">
        <is>
          <t>2024-09-01</t>
        </is>
      </c>
      <c r="C10" t="n">
        <v>2024</v>
      </c>
      <c r="D10" t="n">
        <v>3</v>
      </c>
      <c r="E10" t="n">
        <v>9</v>
      </c>
    </row>
    <row r="11">
      <c r="A11" t="n">
        <v>20241001</v>
      </c>
      <c r="B11" t="inlineStr">
        <is>
          <t>2024-10-01</t>
        </is>
      </c>
      <c r="C11" t="n">
        <v>2024</v>
      </c>
      <c r="D11" t="n">
        <v>3</v>
      </c>
      <c r="E11" t="n">
        <v>10</v>
      </c>
    </row>
    <row r="12">
      <c r="A12" t="n">
        <v>20241101</v>
      </c>
      <c r="B12" t="inlineStr">
        <is>
          <t>2024-11-01</t>
        </is>
      </c>
      <c r="C12" t="n">
        <v>2024</v>
      </c>
      <c r="D12" t="n">
        <v>3</v>
      </c>
      <c r="E12" t="n">
        <v>11</v>
      </c>
    </row>
    <row r="13">
      <c r="A13" t="n">
        <v>20241201</v>
      </c>
      <c r="B13" t="inlineStr">
        <is>
          <t>2024-12-01</t>
        </is>
      </c>
      <c r="C13" t="n">
        <v>2024</v>
      </c>
      <c r="D13" t="n">
        <v>3</v>
      </c>
      <c r="E13" t="n">
        <v>12</v>
      </c>
    </row>
    <row r="14">
      <c r="A14" t="n">
        <v>20250101</v>
      </c>
      <c r="B14" t="inlineStr">
        <is>
          <t>2025-01-01</t>
        </is>
      </c>
      <c r="C14" t="n">
        <v>2025</v>
      </c>
      <c r="D14" t="n">
        <v>1</v>
      </c>
      <c r="E14" t="n">
        <v>1</v>
      </c>
    </row>
    <row r="15">
      <c r="A15" t="n">
        <v>20250201</v>
      </c>
      <c r="B15" t="inlineStr">
        <is>
          <t>2025-02-01</t>
        </is>
      </c>
      <c r="C15" t="n">
        <v>2025</v>
      </c>
      <c r="D15" t="n">
        <v>1</v>
      </c>
      <c r="E15" t="n">
        <v>2</v>
      </c>
    </row>
    <row r="16">
      <c r="A16" t="n">
        <v>20250301</v>
      </c>
      <c r="B16" t="inlineStr">
        <is>
          <t>2025-03-01</t>
        </is>
      </c>
      <c r="C16" t="n">
        <v>2025</v>
      </c>
      <c r="D16" t="n">
        <v>1</v>
      </c>
      <c r="E16" t="n">
        <v>3</v>
      </c>
    </row>
    <row r="17">
      <c r="A17" t="n">
        <v>20250401</v>
      </c>
      <c r="B17" t="inlineStr">
        <is>
          <t>2025-04-01</t>
        </is>
      </c>
      <c r="C17" t="n">
        <v>2025</v>
      </c>
      <c r="D17" t="n">
        <v>1</v>
      </c>
      <c r="E17" t="n">
        <v>4</v>
      </c>
    </row>
    <row r="18">
      <c r="A18" t="n">
        <v>20250501</v>
      </c>
      <c r="B18" t="inlineStr">
        <is>
          <t>2025-05-01</t>
        </is>
      </c>
      <c r="C18" t="n">
        <v>2025</v>
      </c>
      <c r="D18" t="n">
        <v>2</v>
      </c>
      <c r="E18" t="n">
        <v>5</v>
      </c>
    </row>
    <row r="19">
      <c r="A19" t="n">
        <v>20250601</v>
      </c>
      <c r="B19" t="inlineStr">
        <is>
          <t>2025-06-01</t>
        </is>
      </c>
      <c r="C19" t="n">
        <v>2025</v>
      </c>
      <c r="D19" t="n">
        <v>2</v>
      </c>
      <c r="E19" t="n">
        <v>6</v>
      </c>
    </row>
    <row r="20">
      <c r="A20" t="n">
        <v>20250701</v>
      </c>
      <c r="B20" t="inlineStr">
        <is>
          <t>2025-07-01</t>
        </is>
      </c>
      <c r="C20" t="n">
        <v>2025</v>
      </c>
      <c r="D20" t="n">
        <v>2</v>
      </c>
      <c r="E20" t="n">
        <v>7</v>
      </c>
    </row>
    <row r="21">
      <c r="A21" t="n">
        <v>20250801</v>
      </c>
      <c r="B21" t="inlineStr">
        <is>
          <t>2025-08-01</t>
        </is>
      </c>
      <c r="C21" t="n">
        <v>2025</v>
      </c>
      <c r="D21" t="n">
        <v>2</v>
      </c>
      <c r="E21" t="n">
        <v>8</v>
      </c>
    </row>
    <row r="22">
      <c r="A22" t="n">
        <v>20250901</v>
      </c>
      <c r="B22" t="inlineStr">
        <is>
          <t>2025-09-01</t>
        </is>
      </c>
      <c r="C22" t="n">
        <v>2025</v>
      </c>
      <c r="D22" t="n">
        <v>3</v>
      </c>
      <c r="E22" t="n">
        <v>9</v>
      </c>
    </row>
    <row r="23">
      <c r="A23" t="n">
        <v>20251001</v>
      </c>
      <c r="B23" t="inlineStr">
        <is>
          <t>2025-10-01</t>
        </is>
      </c>
      <c r="C23" t="n">
        <v>2025</v>
      </c>
      <c r="D23" t="n">
        <v>3</v>
      </c>
      <c r="E23" t="n">
        <v>10</v>
      </c>
    </row>
    <row r="24">
      <c r="A24" t="n">
        <v>20251101</v>
      </c>
      <c r="B24" t="inlineStr">
        <is>
          <t>2025-11-01</t>
        </is>
      </c>
      <c r="C24" t="n">
        <v>2025</v>
      </c>
      <c r="D24" t="n">
        <v>3</v>
      </c>
      <c r="E24" t="n">
        <v>11</v>
      </c>
    </row>
    <row r="25">
      <c r="A25" t="n">
        <v>20251201</v>
      </c>
      <c r="B25" t="inlineStr">
        <is>
          <t>2025-12-01</t>
        </is>
      </c>
      <c r="C25" t="n">
        <v>2025</v>
      </c>
      <c r="D25" t="n">
        <v>3</v>
      </c>
      <c r="E25" t="n">
        <v>12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2026-10-12T12:21:06Z</dcterms:created>
  <dcterms:modified xmlns:dcterms="http://purl.org/dc/terms/" xmlns:xsi="http://www.w3.org/2001/XMLSchema-instance" xsi:type="dcterms:W3CDTF">2026-10-12T12:21:06Z</dcterms:modified>
</cp:coreProperties>
</file>