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drawings/drawing2.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frank\Desktop\Jobb\"/>
    </mc:Choice>
  </mc:AlternateContent>
  <xr:revisionPtr revIDLastSave="0" documentId="13_ncr:1_{E66F1DAF-878A-47D1-B11A-5D38DF2C96DC}" xr6:coauthVersionLast="47" xr6:coauthVersionMax="47" xr10:uidLastSave="{00000000-0000-0000-0000-000000000000}"/>
  <bookViews>
    <workbookView xWindow="-120" yWindow="-16320" windowWidth="29040" windowHeight="15720" tabRatio="601" xr2:uid="{00000000-000D-0000-FFFF-FFFF00000000}"/>
  </bookViews>
  <sheets>
    <sheet name="Workflow" sheetId="6" r:id="rId1"/>
    <sheet name="1 Nåsituasjon" sheetId="12" r:id="rId2"/>
    <sheet name="2 Prognose EOY" sheetId="2" r:id="rId3"/>
    <sheet name="3 AI tiltak og effekt" sheetId="3" r:id="rId4"/>
    <sheet name="4 Ny Prognose EOY" sheetId="4" r:id="rId5"/>
    <sheet name="5 Langsiktig effekt" sheetId="5" r:id="rId6"/>
    <sheet name="Styringsoversikt" sheetId="13" r:id="rId7"/>
    <sheet name="Pivot - måned" sheetId="9" r:id="rId8"/>
    <sheet name="Pivot - kontoplan" sheetId="10" r:id="rId9"/>
    <sheet name="Metode og kontroll" sheetId="11" r:id="rId10"/>
    <sheet name="Datamodell" sheetId="7" r:id="rId11"/>
    <sheet name="Rådata BoEnhet pr 2tertial" sheetId="8" r:id="rId12"/>
    <sheet name="Chart Data" sheetId="14" state="hidden" r:id="rId13"/>
  </sheets>
  <definedNames>
    <definedName name="Slicer_Hovedgruppe">#N/A</definedName>
    <definedName name="Slicer_Undergruppe">#N/A</definedName>
  </definedNames>
  <calcPr calcId="191029" forceFullCalc="1"/>
  <pivotCaches>
    <pivotCache cacheId="8"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2" i="4" l="1"/>
  <c r="B73" i="4"/>
  <c r="B74" i="4"/>
  <c r="B75" i="4"/>
  <c r="B76" i="4"/>
  <c r="B77" i="4"/>
  <c r="B78" i="4"/>
  <c r="B79" i="4"/>
  <c r="B80" i="4"/>
  <c r="B81" i="4"/>
  <c r="B82" i="4"/>
  <c r="B83" i="4"/>
  <c r="D30" i="2"/>
  <c r="D72" i="4" s="1"/>
  <c r="D31" i="2"/>
  <c r="D73" i="4" s="1"/>
  <c r="D32" i="2"/>
  <c r="D74" i="4" s="1"/>
  <c r="D33" i="2"/>
  <c r="D75" i="4" s="1"/>
  <c r="D34" i="2"/>
  <c r="D76" i="4" s="1"/>
  <c r="D35" i="2"/>
  <c r="D77" i="4" s="1"/>
  <c r="D36" i="2"/>
  <c r="D78" i="4" s="1"/>
  <c r="D37" i="2"/>
  <c r="C30" i="2"/>
  <c r="C72" i="4" s="1"/>
  <c r="C31" i="2"/>
  <c r="C73" i="4" s="1"/>
  <c r="C32" i="2"/>
  <c r="C74" i="4" s="1"/>
  <c r="C33" i="2"/>
  <c r="C75" i="4" s="1"/>
  <c r="C34" i="2"/>
  <c r="C76" i="4" s="1"/>
  <c r="C35" i="2"/>
  <c r="C77" i="4" s="1"/>
  <c r="C36" i="2"/>
  <c r="C78" i="4" s="1"/>
  <c r="C37" i="2"/>
  <c r="C79" i="4" s="1"/>
  <c r="C38" i="2"/>
  <c r="C80" i="4" s="1"/>
  <c r="C39" i="2"/>
  <c r="C81" i="4" s="1"/>
  <c r="C40" i="2"/>
  <c r="C82" i="4" s="1"/>
  <c r="C41" i="2"/>
  <c r="C83" i="4" s="1"/>
  <c r="D30" i="4"/>
  <c r="E12" i="5"/>
  <c r="F12" i="5"/>
  <c r="E13" i="5"/>
  <c r="F13" i="5"/>
  <c r="C12" i="5"/>
  <c r="D12" i="5"/>
  <c r="C13" i="5"/>
  <c r="D13" i="5"/>
  <c r="B11" i="2"/>
  <c r="D15" i="13" s="1"/>
  <c r="AA9" i="14"/>
  <c r="AA8" i="14"/>
  <c r="AA7" i="14"/>
  <c r="AA6" i="14"/>
  <c r="AA5" i="14"/>
  <c r="AA4" i="14"/>
  <c r="AA3" i="14"/>
  <c r="AA2" i="14"/>
  <c r="P89" i="14"/>
  <c r="Q89" i="14" s="1"/>
  <c r="P88" i="14"/>
  <c r="P87" i="14"/>
  <c r="Q87" i="14" s="1"/>
  <c r="P86" i="14"/>
  <c r="Q86" i="14" s="1"/>
  <c r="P85" i="14"/>
  <c r="Q85" i="14" s="1"/>
  <c r="P84" i="14"/>
  <c r="Q84" i="14" s="1"/>
  <c r="P83" i="14"/>
  <c r="P82" i="14"/>
  <c r="Q82" i="14" s="1"/>
  <c r="P81" i="14"/>
  <c r="Q81" i="14" s="1"/>
  <c r="P80" i="14"/>
  <c r="P79" i="14"/>
  <c r="P78" i="14"/>
  <c r="Q78" i="14" s="1"/>
  <c r="P77" i="14"/>
  <c r="Q77" i="14" s="1"/>
  <c r="P76" i="14"/>
  <c r="P75" i="14"/>
  <c r="P74" i="14"/>
  <c r="Q74" i="14" s="1"/>
  <c r="P73" i="14"/>
  <c r="Q73" i="14" s="1"/>
  <c r="P72" i="14"/>
  <c r="P71" i="14"/>
  <c r="Q71" i="14" s="1"/>
  <c r="P70" i="14"/>
  <c r="P69" i="14"/>
  <c r="Q69" i="14" s="1"/>
  <c r="P68" i="14"/>
  <c r="Q68" i="14" s="1"/>
  <c r="P67" i="14"/>
  <c r="P66" i="14"/>
  <c r="Q66" i="14" s="1"/>
  <c r="P65" i="14"/>
  <c r="Q65" i="14" s="1"/>
  <c r="P64" i="14"/>
  <c r="P63" i="14"/>
  <c r="Q63" i="14" s="1"/>
  <c r="P62" i="14"/>
  <c r="Q62" i="14" s="1"/>
  <c r="P61" i="14"/>
  <c r="P60" i="14"/>
  <c r="Q60" i="14" s="1"/>
  <c r="P59" i="14"/>
  <c r="P58" i="14"/>
  <c r="Q58" i="14" s="1"/>
  <c r="P57" i="14"/>
  <c r="Q57" i="14" s="1"/>
  <c r="P56" i="14"/>
  <c r="Q56" i="14" s="1"/>
  <c r="P55" i="14"/>
  <c r="Q55" i="14" s="1"/>
  <c r="P54" i="14"/>
  <c r="P53" i="14"/>
  <c r="Q53" i="14" s="1"/>
  <c r="P52" i="14"/>
  <c r="P51" i="14"/>
  <c r="Q51" i="14" s="1"/>
  <c r="P50" i="14"/>
  <c r="P49" i="14"/>
  <c r="Q49" i="14" s="1"/>
  <c r="P48" i="14"/>
  <c r="P47" i="14"/>
  <c r="P46" i="14"/>
  <c r="P45" i="14"/>
  <c r="Q45" i="14" s="1"/>
  <c r="P44" i="14"/>
  <c r="P43" i="14"/>
  <c r="Q43" i="14" s="1"/>
  <c r="P42" i="14"/>
  <c r="P41" i="14"/>
  <c r="P40" i="14"/>
  <c r="Q40" i="14" s="1"/>
  <c r="P39" i="14"/>
  <c r="Q39" i="14" s="1"/>
  <c r="P38" i="14"/>
  <c r="P37" i="14"/>
  <c r="Q37" i="14" s="1"/>
  <c r="P36" i="14"/>
  <c r="P35" i="14"/>
  <c r="Q35" i="14" s="1"/>
  <c r="P34" i="14"/>
  <c r="Q34" i="14" s="1"/>
  <c r="P33" i="14"/>
  <c r="Q33" i="14" s="1"/>
  <c r="P32" i="14"/>
  <c r="Q32" i="14" s="1"/>
  <c r="P31" i="14"/>
  <c r="P30" i="14"/>
  <c r="Q30" i="14" s="1"/>
  <c r="P29" i="14"/>
  <c r="P28" i="14"/>
  <c r="Q28" i="14" s="1"/>
  <c r="P27" i="14"/>
  <c r="Q27" i="14" s="1"/>
  <c r="P26" i="14"/>
  <c r="P25" i="14"/>
  <c r="P24" i="14"/>
  <c r="Q24" i="14" s="1"/>
  <c r="P23" i="14"/>
  <c r="P22" i="14"/>
  <c r="P21" i="14"/>
  <c r="P20" i="14"/>
  <c r="P19" i="14"/>
  <c r="P18" i="14"/>
  <c r="P17" i="14"/>
  <c r="P16" i="14"/>
  <c r="P15" i="14"/>
  <c r="P14" i="14"/>
  <c r="P13" i="14"/>
  <c r="P12" i="14"/>
  <c r="P11" i="14"/>
  <c r="Q11" i="14" s="1"/>
  <c r="P10" i="14"/>
  <c r="Q10" i="14" s="1"/>
  <c r="P9" i="14"/>
  <c r="Q9" i="14" s="1"/>
  <c r="P8" i="14"/>
  <c r="Q8" i="14" s="1"/>
  <c r="P7" i="14"/>
  <c r="P6" i="14"/>
  <c r="Q6" i="14" s="1"/>
  <c r="P5" i="14"/>
  <c r="Q5" i="14" s="1"/>
  <c r="M4" i="14"/>
  <c r="N4" i="14" s="1"/>
  <c r="P4" i="14" s="1"/>
  <c r="Q4" i="14" s="1"/>
  <c r="M3" i="14"/>
  <c r="N3" i="14" s="1"/>
  <c r="P3" i="14" s="1"/>
  <c r="Q3" i="14" s="1"/>
  <c r="G9" i="14"/>
  <c r="J9" i="14" s="1"/>
  <c r="F9" i="14"/>
  <c r="E9" i="14"/>
  <c r="G8" i="14"/>
  <c r="J8" i="14" s="1"/>
  <c r="F8" i="14"/>
  <c r="E8" i="14"/>
  <c r="G7" i="14"/>
  <c r="J7" i="14" s="1"/>
  <c r="F7" i="14"/>
  <c r="E7" i="14"/>
  <c r="G6" i="14"/>
  <c r="J6" i="14" s="1"/>
  <c r="F6" i="14"/>
  <c r="E6" i="14"/>
  <c r="G5" i="14"/>
  <c r="J5" i="14" s="1"/>
  <c r="F5" i="14"/>
  <c r="E5" i="14"/>
  <c r="G4" i="14"/>
  <c r="J4" i="14" s="1"/>
  <c r="F4" i="14"/>
  <c r="E4" i="14"/>
  <c r="G3" i="14"/>
  <c r="J3" i="14" s="1"/>
  <c r="F3" i="14"/>
  <c r="E3" i="14"/>
  <c r="M2" i="14"/>
  <c r="N2" i="14" s="1"/>
  <c r="E2" i="14"/>
  <c r="F2" i="14"/>
  <c r="G2" i="14"/>
  <c r="J2" i="14" s="1"/>
  <c r="B7" i="14"/>
  <c r="C7" i="14" s="1"/>
  <c r="B6" i="14"/>
  <c r="C6" i="14" s="1"/>
  <c r="B5" i="14"/>
  <c r="C5" i="14" s="1"/>
  <c r="B4" i="14"/>
  <c r="C4" i="14" s="1"/>
  <c r="B3" i="14"/>
  <c r="C3" i="14" s="1"/>
  <c r="B2" i="14"/>
  <c r="C2" i="14" s="1"/>
  <c r="Q11" i="3"/>
  <c r="Q10" i="3"/>
  <c r="Q9" i="3"/>
  <c r="Q8" i="3"/>
  <c r="Q7" i="3"/>
  <c r="Q6" i="3"/>
  <c r="E9" i="13"/>
  <c r="E6" i="5"/>
  <c r="B6" i="5"/>
  <c r="E21" i="4"/>
  <c r="E18" i="3"/>
  <c r="E16" i="3"/>
  <c r="D31" i="4" s="1"/>
  <c r="E15" i="3"/>
  <c r="O11" i="3"/>
  <c r="O10" i="3"/>
  <c r="O9" i="3"/>
  <c r="O8" i="3"/>
  <c r="O7" i="3"/>
  <c r="O6" i="3"/>
  <c r="E6" i="2"/>
  <c r="J7" i="12"/>
  <c r="F7" i="12"/>
  <c r="B6" i="2" s="1"/>
  <c r="B7" i="12"/>
  <c r="C10" i="11"/>
  <c r="C11" i="11"/>
  <c r="C12" i="11"/>
  <c r="C13" i="11"/>
  <c r="C15" i="11"/>
  <c r="C16" i="11"/>
  <c r="E37" i="2" l="1"/>
  <c r="E79" i="4" s="1"/>
  <c r="D79" i="4"/>
  <c r="F37" i="2"/>
  <c r="E41" i="2"/>
  <c r="G13" i="5"/>
  <c r="G12" i="5"/>
  <c r="C14" i="5"/>
  <c r="D14" i="5"/>
  <c r="H6" i="2"/>
  <c r="E40" i="2" s="1"/>
  <c r="D7" i="13"/>
  <c r="G7" i="13" s="1"/>
  <c r="AC9" i="14"/>
  <c r="AB9" i="14"/>
  <c r="AC8" i="14"/>
  <c r="AB8" i="14"/>
  <c r="AC7" i="14"/>
  <c r="AB7" i="14"/>
  <c r="AC6" i="14"/>
  <c r="AB6" i="14"/>
  <c r="AC5" i="14"/>
  <c r="AB5" i="14"/>
  <c r="AC4" i="14"/>
  <c r="AB4" i="14"/>
  <c r="AC3" i="14"/>
  <c r="AB3" i="14"/>
  <c r="AB2" i="14"/>
  <c r="AC2" i="14"/>
  <c r="N7" i="12"/>
  <c r="Y7" i="14"/>
  <c r="X7" i="14"/>
  <c r="Y6" i="14"/>
  <c r="X6" i="14"/>
  <c r="Y5" i="14"/>
  <c r="X5" i="14"/>
  <c r="Y4" i="14"/>
  <c r="X4" i="14"/>
  <c r="Y3" i="14"/>
  <c r="X3" i="14"/>
  <c r="W4" i="14"/>
  <c r="V4" i="14"/>
  <c r="W3" i="14"/>
  <c r="V3" i="14"/>
  <c r="X2" i="14"/>
  <c r="Y2" i="14"/>
  <c r="C14" i="11"/>
  <c r="P2" i="14"/>
  <c r="V2" i="14"/>
  <c r="W2" i="14"/>
  <c r="E6" i="4"/>
  <c r="D9" i="13"/>
  <c r="E17" i="3"/>
  <c r="D32" i="4" s="1"/>
  <c r="F40" i="2" l="1"/>
  <c r="E82" i="4"/>
  <c r="F41" i="2"/>
  <c r="E83" i="4"/>
  <c r="F79" i="4"/>
  <c r="H79" i="4" s="1"/>
  <c r="G79" i="4"/>
  <c r="G14" i="5"/>
  <c r="E38" i="2"/>
  <c r="E39" i="2"/>
  <c r="I12" i="5"/>
  <c r="I14" i="5"/>
  <c r="H7" i="13"/>
  <c r="Q47" i="14"/>
  <c r="Q42" i="14"/>
  <c r="Q18" i="14"/>
  <c r="Q64" i="14"/>
  <c r="Q61" i="14"/>
  <c r="Q21" i="14"/>
  <c r="Q31" i="14"/>
  <c r="Q29" i="14"/>
  <c r="Q26" i="14"/>
  <c r="Q25" i="14"/>
  <c r="Q23" i="14"/>
  <c r="Q20" i="14"/>
  <c r="Q14" i="14"/>
  <c r="Q7" i="14"/>
  <c r="Q38" i="14"/>
  <c r="Q13" i="14"/>
  <c r="Q44" i="14"/>
  <c r="Q19" i="14"/>
  <c r="Q12" i="14"/>
  <c r="Q80" i="14"/>
  <c r="Q76" i="14"/>
  <c r="Q52" i="14"/>
  <c r="Q48" i="14"/>
  <c r="Q41" i="14"/>
  <c r="Q17" i="14"/>
  <c r="Q88" i="14"/>
  <c r="Q75" i="14"/>
  <c r="Q72" i="14"/>
  <c r="Q67" i="14"/>
  <c r="Q50" i="14"/>
  <c r="Q70" i="14"/>
  <c r="Q36" i="14"/>
  <c r="Q54" i="14"/>
  <c r="Q79" i="14"/>
  <c r="Q59" i="14"/>
  <c r="Q46" i="14"/>
  <c r="Q22" i="14"/>
  <c r="Q16" i="14"/>
  <c r="Q2" i="14"/>
  <c r="Q83" i="14"/>
  <c r="Q15" i="14"/>
  <c r="E18" i="4"/>
  <c r="G9" i="13"/>
  <c r="H9" i="13" s="1"/>
  <c r="K6" i="2"/>
  <c r="G82" i="4" l="1"/>
  <c r="F82" i="4"/>
  <c r="H82" i="4" s="1"/>
  <c r="F83" i="4"/>
  <c r="H83" i="4" s="1"/>
  <c r="G83" i="4"/>
  <c r="F38" i="2"/>
  <c r="E80" i="4"/>
  <c r="F39" i="2"/>
  <c r="E81" i="4"/>
  <c r="D16" i="13"/>
  <c r="D17" i="13" s="1"/>
  <c r="C30" i="4"/>
  <c r="E30" i="4" s="1"/>
  <c r="C31" i="4"/>
  <c r="E31" i="4" s="1"/>
  <c r="E7" i="13"/>
  <c r="T11" i="14"/>
  <c r="T10" i="14"/>
  <c r="T9" i="14"/>
  <c r="T8" i="14"/>
  <c r="T7" i="14"/>
  <c r="T6" i="14"/>
  <c r="T5" i="14"/>
  <c r="T4" i="14"/>
  <c r="T3" i="14"/>
  <c r="S11" i="14"/>
  <c r="S10" i="14"/>
  <c r="S9" i="14"/>
  <c r="S8" i="14"/>
  <c r="S7" i="14"/>
  <c r="S6" i="14"/>
  <c r="S5" i="14"/>
  <c r="S4" i="14"/>
  <c r="S3" i="14"/>
  <c r="T2" i="14"/>
  <c r="S2" i="14"/>
  <c r="E11" i="2"/>
  <c r="E17" i="4"/>
  <c r="E19" i="4" s="1"/>
  <c r="C32" i="4" s="1"/>
  <c r="E32" i="4" s="1"/>
  <c r="G80" i="4" l="1"/>
  <c r="F80" i="4"/>
  <c r="H80" i="4" s="1"/>
  <c r="F81" i="4"/>
  <c r="H81" i="4" s="1"/>
  <c r="G81" i="4"/>
  <c r="G30" i="4"/>
  <c r="J30" i="4"/>
  <c r="D8" i="13"/>
  <c r="H11" i="2"/>
  <c r="K11" i="2" s="1"/>
  <c r="E20" i="4"/>
  <c r="K17" i="4" s="1"/>
  <c r="D18" i="13"/>
  <c r="B6" i="4"/>
  <c r="G8" i="13" l="1"/>
  <c r="H8" i="13" s="1"/>
  <c r="E8" i="13"/>
  <c r="D10" i="13"/>
  <c r="G10" i="13" s="1"/>
  <c r="H10" i="13" s="1"/>
  <c r="H6" i="4"/>
  <c r="K6" i="4"/>
  <c r="E10" i="13" l="1"/>
</calcChain>
</file>

<file path=xl/sharedStrings.xml><?xml version="1.0" encoding="utf-8"?>
<sst xmlns="http://schemas.openxmlformats.org/spreadsheetml/2006/main" count="10010" uniqueCount="509">
  <si>
    <t>Budsjett YTD</t>
  </si>
  <si>
    <t>Regnskap YTD</t>
  </si>
  <si>
    <t>Årsbudsjett</t>
  </si>
  <si>
    <t>Styringsspørsmål: Hvor er avviket, hva driver utviklingen, og er utviklingen midlertidig eller strukturell?</t>
  </si>
  <si>
    <t>2 | PROGNOSE END OF YEAR - før nye tiltak</t>
  </si>
  <si>
    <t>Gjenstående budsjett</t>
  </si>
  <si>
    <t>Trendjustering</t>
  </si>
  <si>
    <t>EOY prognose</t>
  </si>
  <si>
    <t>EOY avvik</t>
  </si>
  <si>
    <t>EOY avvik %</t>
  </si>
  <si>
    <t>Styringssignal</t>
  </si>
  <si>
    <t>MVP-formel: EOY = Regnskap YTD + gjenstående budsjett + 50 % av positivt YTD-avvik. Formålet er en transparent første prognose som kan sammenlignes med senere modeller.</t>
  </si>
  <si>
    <t>ID</t>
  </si>
  <si>
    <t>Tiltak</t>
  </si>
  <si>
    <t>Horisont</t>
  </si>
  <si>
    <t>Effektbase</t>
  </si>
  <si>
    <t>Sats</t>
  </si>
  <si>
    <t>Sannsynlighet</t>
  </si>
  <si>
    <t>EOY-effekt</t>
  </si>
  <si>
    <t>Tjenesterisiko</t>
  </si>
  <si>
    <t>HR/tariff</t>
  </si>
  <si>
    <t>Governance</t>
  </si>
  <si>
    <t>Årlig strukturell effekt</t>
  </si>
  <si>
    <t>T1</t>
  </si>
  <si>
    <t>Oppfølging refusjoner og inntektskrav</t>
  </si>
  <si>
    <t>Kort</t>
  </si>
  <si>
    <t>KREVER FAGKONTROLL</t>
  </si>
  <si>
    <t>T2</t>
  </si>
  <si>
    <t>Redusere unødvendig vikarbruk via intern dekning</t>
  </si>
  <si>
    <t>KREVER HR/TARIFF</t>
  </si>
  <si>
    <t>T3</t>
  </si>
  <si>
    <t>Redusere overtid gjennom planlegging</t>
  </si>
  <si>
    <t>T4</t>
  </si>
  <si>
    <t>Kontroll av ikke-kritiske kjøp</t>
  </si>
  <si>
    <t>T5</t>
  </si>
  <si>
    <t>Turnus- og kapasitetsanalyse</t>
  </si>
  <si>
    <t>Lang</t>
  </si>
  <si>
    <t>T6</t>
  </si>
  <si>
    <t>Digital oppfølging og planprosess</t>
  </si>
  <si>
    <t>Viktig: Tiltakene er kandidattiltak og modellestimater. Før et tiltak inngår i anbefalt tiltakspakke må relevant fag-, HR/tariff-, HMS-, fullmakts- og eventuelt juridisk kontroll være gjennomført.</t>
  </si>
  <si>
    <t>EOY avvik før tiltak</t>
  </si>
  <si>
    <t>Lukket andel</t>
  </si>
  <si>
    <t>5 | LANGSIKTIGE TILTAK - strukturell effekt over tid</t>
  </si>
  <si>
    <t>Langsiktig EOY-effekt inneværende år</t>
  </si>
  <si>
    <t>Estimert helårseffekt neste år</t>
  </si>
  <si>
    <t>Tidshorisont</t>
  </si>
  <si>
    <t>Formål</t>
  </si>
  <si>
    <t>1-4 år</t>
  </si>
  <si>
    <t>Varig balanse</t>
  </si>
  <si>
    <t>WORKFLOW | Fra situasjonsbilde til realisert effekt</t>
  </si>
  <si>
    <t>1. Nåsituasjon</t>
  </si>
  <si>
    <t>Budsjett, regnskap, avvik, trend og drivere</t>
  </si>
  <si>
    <t>↓</t>
  </si>
  <si>
    <t>2. EOY-prognose</t>
  </si>
  <si>
    <t>Transparent rullerende prognose uten nye tiltak</t>
  </si>
  <si>
    <t>3. AI-kandidattiltak</t>
  </si>
  <si>
    <t>Generer relevante kort- og langsiktige kandidattiltak</t>
  </si>
  <si>
    <t>4. Governance Gate</t>
  </si>
  <si>
    <t>Kontroller lov, tariff, HMS, tjeneste, personvern og fullmakt</t>
  </si>
  <si>
    <t>5. Optimalisering</t>
  </si>
  <si>
    <t>Finn forsvarlig kombinasjon som minimerer restavvik og risiko</t>
  </si>
  <si>
    <t>6. Leder godkjenner</t>
  </si>
  <si>
    <t>Godkjenn, endre eller avvis. Begrunnelse logges</t>
  </si>
  <si>
    <t>7. Ny EOY-prognose</t>
  </si>
  <si>
    <t>Reberegn scenario med godkjente tiltak</t>
  </si>
  <si>
    <t>8. Effektoppfølging</t>
  </si>
  <si>
    <t>Mål faktisk realisert økonomisk effekt</t>
  </si>
  <si>
    <t>9. Langsiktig læring</t>
  </si>
  <si>
    <t>Bruk realisering til neste prognose og økonomiplan</t>
  </si>
  <si>
    <t>DATAMODELL | Bo og Miljø MVP</t>
  </si>
  <si>
    <t>Dimensjoner
Dim_Dato
Dim_Art
Dim_Funksjon
Dim_Ansvar
Dim_Kontoklasse</t>
  </si>
  <si>
    <t>Fact_Regnskap
transaksjon_id
KOSTRA keys
korrigert_beløp
budsjett_beløp</t>
  </si>
  <si>
    <t>Fact_Prognose
EOY
avvik
modellversjon</t>
  </si>
  <si>
    <t>→</t>
  </si>
  <si>
    <t>Fact_Alert
KPI
severity
driver
confidence</t>
  </si>
  <si>
    <t>Dim_Tiltak
kategori
horisont
kontrollbehov
fullmakt</t>
  </si>
  <si>
    <t>Fact_Tiltak_Estimat
EOY-effekt
helårseffekt
risiko
sannsynlighet</t>
  </si>
  <si>
    <t>Governance
lov/tariff
HMS/tjeneste
fullmakt
status</t>
  </si>
  <si>
    <t>Fact_Scenario
EOY før
effekt
EOY etter</t>
  </si>
  <si>
    <t>Audit_AI_Actions
AI anbefaling
human decision
begrunnelse</t>
  </si>
  <si>
    <t>Tiltak_Resultat
estimert
realisert
realiseringsgrad</t>
  </si>
  <si>
    <t>Periode</t>
  </si>
  <si>
    <t>Måned</t>
  </si>
  <si>
    <t>Måned_Nr</t>
  </si>
  <si>
    <t>Tertial</t>
  </si>
  <si>
    <t>Status</t>
  </si>
  <si>
    <t>Lokasjon</t>
  </si>
  <si>
    <t>KOSTRA_Funksjon</t>
  </si>
  <si>
    <t>Tjenesteområde</t>
  </si>
  <si>
    <t>Hovedgruppe</t>
  </si>
  <si>
    <t>Undergruppe</t>
  </si>
  <si>
    <t>KOSTRA_Art</t>
  </si>
  <si>
    <t>Kontokode</t>
  </si>
  <si>
    <t>Kontonavn</t>
  </si>
  <si>
    <t>Budsjett</t>
  </si>
  <si>
    <t>Regnskap</t>
  </si>
  <si>
    <t>Avvik</t>
  </si>
  <si>
    <t>Merforbruk</t>
  </si>
  <si>
    <t>2024-01</t>
  </si>
  <si>
    <t>Januar</t>
  </si>
  <si>
    <t>Bokført</t>
  </si>
  <si>
    <t>Kommunal Boenhet</t>
  </si>
  <si>
    <t>Helse og mestring</t>
  </si>
  <si>
    <t>1 Lønn</t>
  </si>
  <si>
    <t>10 Lønn</t>
  </si>
  <si>
    <t>Fastlønn - ordinære</t>
  </si>
  <si>
    <t>2024-02</t>
  </si>
  <si>
    <t>Februar</t>
  </si>
  <si>
    <t>2024-03</t>
  </si>
  <si>
    <t>Mars</t>
  </si>
  <si>
    <t>2024-04</t>
  </si>
  <si>
    <t>April</t>
  </si>
  <si>
    <t>2024-05</t>
  </si>
  <si>
    <t>Mai</t>
  </si>
  <si>
    <t>2024-06</t>
  </si>
  <si>
    <t>Juni</t>
  </si>
  <si>
    <t>2024-07</t>
  </si>
  <si>
    <t>Juli</t>
  </si>
  <si>
    <t>2024-08</t>
  </si>
  <si>
    <t>August</t>
  </si>
  <si>
    <t>2024-09</t>
  </si>
  <si>
    <t>September</t>
  </si>
  <si>
    <t>2024-10</t>
  </si>
  <si>
    <t>Oktober</t>
  </si>
  <si>
    <t>2024-11</t>
  </si>
  <si>
    <t>November</t>
  </si>
  <si>
    <t>2024-12</t>
  </si>
  <si>
    <t>Desember</t>
  </si>
  <si>
    <t>Fastlønn - lørdags- og søndagstillegg</t>
  </si>
  <si>
    <t>Fastlønn - kvelds- og nattillegg</t>
  </si>
  <si>
    <t>Fastlønn - helligdagstillegg</t>
  </si>
  <si>
    <t>Fastlønn - veiledningstillegg</t>
  </si>
  <si>
    <t>Vikar - sykefravær - med refusjon</t>
  </si>
  <si>
    <t>Vikar - sykefravær - uten refusjon</t>
  </si>
  <si>
    <t>Vikar - foreldrepermisjon</t>
  </si>
  <si>
    <t>Vikar - lønnet perm inkl tillitsverv og velf.perm.</t>
  </si>
  <si>
    <t>Vikar - feriefravær</t>
  </si>
  <si>
    <t>Vikar - korttidsfravær</t>
  </si>
  <si>
    <t>Vikar - lørdags- og søndagstillegg</t>
  </si>
  <si>
    <t>Vikar - kvelds- og nattillegg</t>
  </si>
  <si>
    <t>Vikar - helligdagstillegg</t>
  </si>
  <si>
    <t>Ekstrahjelp</t>
  </si>
  <si>
    <t>Ekstrahjelp - lørdags- og søndagstillegg</t>
  </si>
  <si>
    <t>Ekstrahjelp - kvelds- og nattillegg</t>
  </si>
  <si>
    <t>Ekstrahjelp - helligdagstillegg</t>
  </si>
  <si>
    <t>Engasjementer / midlertidige stillinger</t>
  </si>
  <si>
    <t>Sommer- og sesonghjelp</t>
  </si>
  <si>
    <t>Overtidslønn</t>
  </si>
  <si>
    <t>Lærlinger</t>
  </si>
  <si>
    <t>Lønn utrykning</t>
  </si>
  <si>
    <t>Turtillegg - reise med pasient / klient/brukere</t>
  </si>
  <si>
    <t>Forskjøvet arbeidstid</t>
  </si>
  <si>
    <t>Skattepl. telefongodtgjørelse</t>
  </si>
  <si>
    <t>Skattepl. klesgodtgjørelse</t>
  </si>
  <si>
    <t>Skattepl. km-godtgjørelse</t>
  </si>
  <si>
    <t>Pensjon fellesordningen - ordinære (klp)</t>
  </si>
  <si>
    <t>Arbeidsgiveravgift</t>
  </si>
  <si>
    <t>11 Refusjon lønn</t>
  </si>
  <si>
    <t>Refusjon sykepenger</t>
  </si>
  <si>
    <t>Refusjon foreldrepenger</t>
  </si>
  <si>
    <t>2 Utgifter</t>
  </si>
  <si>
    <t>Kontormateriell / rekvisita</t>
  </si>
  <si>
    <t>Kopieringsmatriell - papir / toner (ikke leie)</t>
  </si>
  <si>
    <t>Medisinsk forbruksmateriell</t>
  </si>
  <si>
    <t>Medisiner</t>
  </si>
  <si>
    <t>Matvarer / drikke - ikke møtevirksomhet</t>
  </si>
  <si>
    <t>Bevertning møter / kurs / opplæring / overtidsmat</t>
  </si>
  <si>
    <t>Pant</t>
  </si>
  <si>
    <t>Velferdstiltak / arrangementer -  ansatte</t>
  </si>
  <si>
    <t>Påskjønnelser - jfr reglement</t>
  </si>
  <si>
    <t>Arbeidsklær / verneutstyr / uniformer</t>
  </si>
  <si>
    <t>GAVE EKOM USKATT (LT 4800)</t>
  </si>
  <si>
    <t>MOTPOST GAVE EKOM USKATT (LT 4802)</t>
  </si>
  <si>
    <t>Plast og papir</t>
  </si>
  <si>
    <t>Renholdsutstyr</t>
  </si>
  <si>
    <t>Rengjøringsmidler</t>
  </si>
  <si>
    <t>Tekstiler og gardiner</t>
  </si>
  <si>
    <t>Planter</t>
  </si>
  <si>
    <t>Brukerbelønning</t>
  </si>
  <si>
    <t>Annet forbruksmateriell, varer og tjenester</t>
  </si>
  <si>
    <t>Tilskudd lærlinger (intern)</t>
  </si>
  <si>
    <t>Interne inntekter/utgifter</t>
  </si>
  <si>
    <t>Abonnement / samtale for mobil, telefon, nettbrett</t>
  </si>
  <si>
    <t>Bank og finansielle gebyrer</t>
  </si>
  <si>
    <t>Stillingsannonser</t>
  </si>
  <si>
    <t>Kurs / konferanser/opplæring - inkl. hotell</t>
  </si>
  <si>
    <t>Km-godtgjørelse, inkl. passasjertillegg - oppl.pl</t>
  </si>
  <si>
    <t>Drivstoff - inkludert strøm til el-biler, bio</t>
  </si>
  <si>
    <t>Vedlikehold / service transportmidler og anleggsm.</t>
  </si>
  <si>
    <t>SKADER OG EGENANDELER TRANSPORTMIDLER OG ANLEGGSMASKINER</t>
  </si>
  <si>
    <t>Reiseutg. buss, tog,taxi, fly, leiebil, bom, park.</t>
  </si>
  <si>
    <t>Flyttetjenester</t>
  </si>
  <si>
    <t>Tv-lisens og kabel-tv</t>
  </si>
  <si>
    <t>Kommunale gebyrer</t>
  </si>
  <si>
    <t>Andre avgifter, gebyrer og lisenser</t>
  </si>
  <si>
    <t>Inventar - møbler, madrasser</t>
  </si>
  <si>
    <t>Datautstyr, ikke elev-pcer</t>
  </si>
  <si>
    <t>Kjøp av mobiltlf / telefon / nettbrett</t>
  </si>
  <si>
    <t>Hvite / brune varer / elektriske produkter</t>
  </si>
  <si>
    <t>Kjøkkenutstyr</t>
  </si>
  <si>
    <t>Annet utstyr / andre maskiner</t>
  </si>
  <si>
    <t>Leie / leasing av transportmidler</t>
  </si>
  <si>
    <t>Leie av kontorutstyr / maskiner</t>
  </si>
  <si>
    <t>Vedlikehold - bygning</t>
  </si>
  <si>
    <t>Vedlikehold - elektriske installasjoner</t>
  </si>
  <si>
    <t>Drifts- / serviceavtaler - kontormaskiner</t>
  </si>
  <si>
    <t>Driftsavtaler - medisinsk utstyr</t>
  </si>
  <si>
    <t>Materialer til vedl. - bygg</t>
  </si>
  <si>
    <t>Kjøp av vikarbyråtjenester</t>
  </si>
  <si>
    <t>Renholdstjenester</t>
  </si>
  <si>
    <t>Bedriftshelsetjenester</t>
  </si>
  <si>
    <t>14 Overføringer</t>
  </si>
  <si>
    <t>Merverdiavgift som gir rett til momskompensasjon</t>
  </si>
  <si>
    <t>Kompensasjon for merverdiavgift</t>
  </si>
  <si>
    <t>15 Finansutgifter</t>
  </si>
  <si>
    <t>Forsinkelsesrenter (mora)</t>
  </si>
  <si>
    <t>3 Inntekter</t>
  </si>
  <si>
    <t>16 Brukerbetaling</t>
  </si>
  <si>
    <t>Brukerbetaling for kommunale tjenester -</t>
  </si>
  <si>
    <t>17 Refusjoner</t>
  </si>
  <si>
    <t>Øremerkede statstilskudd</t>
  </si>
  <si>
    <t>Refusjon fra private</t>
  </si>
  <si>
    <t>Grand Total</t>
  </si>
  <si>
    <t>Sum Budsjett</t>
  </si>
  <si>
    <t>Sum Regnskap</t>
  </si>
  <si>
    <t>Sum Merforbruk</t>
  </si>
  <si>
    <t>(Multiple Items)</t>
  </si>
  <si>
    <t>BOKFØRT • månedlig budsjettkontroll</t>
  </si>
  <si>
    <t>Datakilde: tbl_BoMiljo  |  Filter: Status = Bokført  |  Periode: jan–aug 2024</t>
  </si>
  <si>
    <t>Merforbruk = Regnskap − Budsjett. Positivt tall er ugunstig; negative inntekter er kreditposter.</t>
  </si>
  <si>
    <t>AVVIK • kostnadsstruktur og drivere</t>
  </si>
  <si>
    <t>Begge pivotene bruker hele tbl_BoMiljo; Status er satt til Bokført. Oppdater pivottabellene etter kildeendring.</t>
  </si>
  <si>
    <t>Beløp i kroner. Inntekter og refusjoner beholder negativt regnskapsfortegn; netto summeres uten fortegnsbytte.</t>
  </si>
  <si>
    <t>DETALJ • undergruppe</t>
  </si>
  <si>
    <t>METODE OG KONTROLL</t>
  </si>
  <si>
    <t>Kilde</t>
  </si>
  <si>
    <t>Rådata!tbl_BoMiljo (1 056 datarader; 88 kontolinjer × 12 måneder)</t>
  </si>
  <si>
    <t>Tidsvindu</t>
  </si>
  <si>
    <t>2024-01–2024-08 bokført; 2024-09–2024-12 er gjenstående budsjett og ekskludert fra regnskapsdiagrammer.</t>
  </si>
  <si>
    <t>Populasjon</t>
  </si>
  <si>
    <t>Status = Bokført (704 rader), med samme filter i alle tre pivottabeller.</t>
  </si>
  <si>
    <t>Måltall</t>
  </si>
  <si>
    <t>Sum Budsjett, Sum Regnskap, Sum Merforbruk, gruppert per periode / hovedgruppe / undergruppe.</t>
  </si>
  <si>
    <t>Fortegn</t>
  </si>
  <si>
    <t>Merforbruk = Regnskap − Budsjett. Positivt = over budsjett; negativt = under budsjett. Inntekter kan være negative.</t>
  </si>
  <si>
    <t>Oppdatering</t>
  </si>
  <si>
    <t>Bruk Excels innebygde Oppdater pivottabell / Oppdater alle når tbl_BoMiljo endres. Diagrammer leser pivotceller.</t>
  </si>
  <si>
    <t>Begrensning</t>
  </si>
  <si>
    <t>Diagrammer fra pivotceller er ordinære Excel-diagrammer, ikke native PivotCharts; de følger pivotverdier ved oppdatering, men områdene er låst til dagens antall kategorier.</t>
  </si>
  <si>
    <t>Kontroll – bokført budsjett</t>
  </si>
  <si>
    <t>Kontroll – bokført regnskap</t>
  </si>
  <si>
    <t>Kontroll – bokført merforbruk</t>
  </si>
  <si>
    <t>Kontroll – kildeberegnet avvik</t>
  </si>
  <si>
    <t>Differanse pivot mot kilde</t>
  </si>
  <si>
    <t>Bokførte datarader</t>
  </si>
  <si>
    <t>Gjenstående budsjett-rader</t>
  </si>
  <si>
    <t>BO OG MILJØ  |  budsjettkontroll 2024</t>
  </si>
  <si>
    <t>Merforbruk YTD</t>
  </si>
  <si>
    <t>Avvik %</t>
  </si>
  <si>
    <t>LESNING AV AVVIK</t>
  </si>
  <si>
    <t>Trendandel av positivt YTD-avvik (redigerbar forutsetning)</t>
  </si>
  <si>
    <t>PROGNOSE | modell, ikke bokført regnskap</t>
  </si>
  <si>
    <t>EOY = bokført regnskap + gjenstående budsjett + MAX(0; YTD-merforbruk) × trendandel.</t>
  </si>
  <si>
    <t>Prognosen gjelder dataperioden i Rådata (2024), ikke dagens kalenderår; fornyes når kildedata oppdateres.</t>
  </si>
  <si>
    <t>3 | ACTION TO TAKE • kandidater, kontroll og beslutning</t>
  </si>
  <si>
    <t>Beslutning</t>
  </si>
  <si>
    <t>Kontroll dokumentert</t>
  </si>
  <si>
    <t>Godkjent EOY-effekt</t>
  </si>
  <si>
    <t>Neste steg / handling</t>
  </si>
  <si>
    <t>Kandidat</t>
  </si>
  <si>
    <t>Nei</t>
  </si>
  <si>
    <t>Avstem refusjonskrav mot grunnlagsbilag; fagkontroll før inndriving.</t>
  </si>
  <si>
    <t>Analyser turnus og ledig intern kapasitet; HR/tariff og tjenestekvalitet må godkjenne.</t>
  </si>
  <si>
    <t>Gjennomgå overtidsårsaker og arbeidsplan; avklar HR/tariff og HMS.</t>
  </si>
  <si>
    <t>Gjennomgå innkjøpslinjer og avtaler; faglig vurdering før endring.</t>
  </si>
  <si>
    <t>Utarbeid kapasitets- og turnusanalyse; HR/tariff og tjenesteleder vurderer.</t>
  </si>
  <si>
    <t>Test digital oppfølgingsprosess i liten skala; fagkontroll og gevinstmåling.</t>
  </si>
  <si>
    <t>STYRINGSKONTROLL</t>
  </si>
  <si>
    <t>Tiltak / antall</t>
  </si>
  <si>
    <t>Modellert EOY-effekt</t>
  </si>
  <si>
    <t>Dokumentert og godkjent effekt</t>
  </si>
  <si>
    <t>Gjenstår fag-/HR-kontroll</t>
  </si>
  <si>
    <t>BEREGNING OG OPPFØLGING</t>
  </si>
  <si>
    <t>Effektbase, satser, sannsynlighet, risiko og H/L er eksisterende modellestimater – ikke dokumenterte realiserte besparelser.</t>
  </si>
  <si>
    <t>H = modellert effekt inneværende år; L = tidligere estimert årlig effekt. Modellen for disse inngangstallene er ikke dokumentert i rådata.</t>
  </si>
  <si>
    <t>Godkjent effekt i O beregnes først når beslutning = Godkjent OG kontroll dokumentert = Ja. Registrer bare Ja etter fag-/HR-/HMS-/fullmaktskontroll.</t>
  </si>
  <si>
    <t>Vurder mulig dobbelttelling mellom vikar, overtid, turnus og refusjoner før godkjenning; følg opp faktisk effekt mot regnskap.</t>
  </si>
  <si>
    <t>Kontrollflagg i K er opprinnelig behovsvurdering, ikke dokumentasjon på gjennomført kontroll.</t>
  </si>
  <si>
    <t>4 | NY PROGNOSE • scenario og godkjent effekt</t>
  </si>
  <si>
    <t>Scenario: alle kandidater (ikke godkjent)</t>
  </si>
  <si>
    <t>Scenario: restavvik etter kandidater</t>
  </si>
  <si>
    <t>GODKJENT SPOR</t>
  </si>
  <si>
    <t>Årsprognose før tiltak</t>
  </si>
  <si>
    <t>Årsprognose etter godkjente tiltak</t>
  </si>
  <si>
    <t>Restavvik mot årsbudsjett</t>
  </si>
  <si>
    <t>Godkjente tiltak (antall)</t>
  </si>
  <si>
    <t>Øverste rad er et hypotetisk fullt kandidat-scenario, ikke en vedtatt gevinst. Godkjent spor nedenfor teller kun dokumenterte godkjenninger.</t>
  </si>
  <si>
    <t>Inngangsestimatene for tiltak er ikke automatisk oppdatert fra rådata. Revider dem etter hvert regnskapsuttak og kontroller dobbelttelling.</t>
  </si>
  <si>
    <t>BO OG MILJØ  |  fra status til dokumentert effekt</t>
  </si>
  <si>
    <t>2024-data • bokført til og med august • beløp i kroner • positivt avvik = merforbruk</t>
  </si>
  <si>
    <t>TRINN</t>
  </si>
  <si>
    <t>NØKKELTALL</t>
  </si>
  <si>
    <t>BESLUTNING / TOLKNING</t>
  </si>
  <si>
    <t>01  Status</t>
  </si>
  <si>
    <t>Bokført YTD-merforbruk</t>
  </si>
  <si>
    <t>02  Prognose</t>
  </si>
  <si>
    <t>EOY-merforbruk før tiltak</t>
  </si>
  <si>
    <t>03  Action to Take</t>
  </si>
  <si>
    <t>Potensial fra seks kandidater</t>
  </si>
  <si>
    <t>04  Ny prognose</t>
  </si>
  <si>
    <t>Restavvik etter godkjente tiltak</t>
  </si>
  <si>
    <t>SCENARIOBRO  |  ikke bland kandidater med vedtatte tiltak</t>
  </si>
  <si>
    <t>EOY prognose før tiltak</t>
  </si>
  <si>
    <t>EOY hvis alle kandidater realiseres</t>
  </si>
  <si>
    <t>EOY etter dokumentert godkjente tiltak</t>
  </si>
  <si>
    <t>KILDE OG KONTROLL</t>
  </si>
  <si>
    <t>Status = Bokført: budsjett og regnskap fra tbl_BoMiljo. Gjenstående budsjett tas først med i årsprognosen.</t>
  </si>
  <si>
    <t>Prognose: bokført regnskap + gjenstående budsjett + 50 % av positivt YTD-merforbruk (justerbar andel i prognosearket).</t>
  </si>
  <si>
    <t>Tiltakseffektene er eksisterende modellanslag, ikke realiserte resultater; beregningsgrunnlaget bak anslagene er ikke dokumentert i rådata.</t>
  </si>
  <si>
    <t>Kun tiltak med både «Godkjent» og «Ja» for dokumentert kontroll reduserer godkjent ny prognose. Kontroll mot dobbelttelling kreves.</t>
  </si>
  <si>
    <t>Det finnes ingen registrerte vedtak eller realiserte effekter ved opprettelse. Bruk tiltaksarkets blå inndatafelt for beslutning og kontroll.</t>
  </si>
  <si>
    <t>BELØP (KR)</t>
  </si>
  <si>
    <t>KONTROLLMÅL</t>
  </si>
  <si>
    <t>ANDEL</t>
  </si>
  <si>
    <t>TRAFIKKLYS (helse)</t>
  </si>
  <si>
    <t>YTD-avvik / YTD-budsjett</t>
  </si>
  <si>
    <t>EOY-avvik / årsbudsjett</t>
  </si>
  <si>
    <t>Godkjent / kandidatpotensial</t>
  </si>
  <si>
    <t>Restavvik / årsbudsjett</t>
  </si>
  <si>
    <t>Beslutningssignal</t>
  </si>
  <si>
    <t>Beslutningssignal: RØD = kontroll ikke dokumentert; GUL = kontroll dokumentert, ikke godkjent; GRØNN = godkjent og kontroll dokumentert; AVVIST separat.</t>
  </si>
  <si>
    <t>FILTRER VISNINGEN</t>
  </si>
  <si>
    <t>01 · MÅNEDSVISNING</t>
  </si>
  <si>
    <t>02 · KONTOPLANDETALJ</t>
  </si>
  <si>
    <t>Måneds-KPIene og de to øverste diagrammene leser månedspivoten; hovedgruppe- og undergruppediagrammene har egne pivotkilder.</t>
  </si>
  <si>
    <t>Merforbruk (kr)</t>
  </si>
  <si>
    <t>Budsjett (kr)</t>
  </si>
  <si>
    <t>Regnskap (kr)</t>
  </si>
  <si>
    <t>Måneds-KPI og begge øverste diagrammer følger hovedgruppe-sliceren. Undergruppediagrammet følger sin egen slicer. Gruppediagrammet viser alltid alle.</t>
  </si>
  <si>
    <t>Oppdater pivottabellene etter endring i tbl_BoMiljo. Slicerutvalgene er uavhengige; sammenlign ikke filtrert måneds-KPI med ufiltrert gruppeavvik.</t>
  </si>
  <si>
    <t>Merforbruk = regnskap − budsjett. Bokført jan–aug 2024; sep–des er ikke bokført og inngår ikke i diagrammene.</t>
  </si>
  <si>
    <t>Påvirker måneds-KPI og de to øverste diagrammene.</t>
  </si>
  <si>
    <t>Ordinære Excel-diagrammer leser pivotresultater via GETPIVOTDATA i skjult Chart Data. Nye kategorier må legges til i diagramkilden.</t>
  </si>
  <si>
    <t>Konto · beskrivelse</t>
  </si>
  <si>
    <t>Rang merforbruk</t>
  </si>
  <si>
    <t>101000 · Fastlønn - ordinære</t>
  </si>
  <si>
    <t>101030 · Fastlønn - lørdags- og søndagstillegg</t>
  </si>
  <si>
    <t>101031 · Fastlønn - kvelds- og nattillegg</t>
  </si>
  <si>
    <t>101032 · Fastlønn - helligdagstillegg</t>
  </si>
  <si>
    <t>101040 · Fastlønn - veiledningstillegg</t>
  </si>
  <si>
    <t>102000 · Vikar - sykefravær - med refusjon</t>
  </si>
  <si>
    <t>102001 · Vikar - sykefravær - uten refusjon</t>
  </si>
  <si>
    <t>102002 · Vikar - foreldrepermisjon</t>
  </si>
  <si>
    <t>102010 · Vikar - lønnet perm inkl tillitsverv og velf.perm.</t>
  </si>
  <si>
    <t>102011 · Vikar - feriefravær</t>
  </si>
  <si>
    <t>102013 · Vikar - korttidsfravær</t>
  </si>
  <si>
    <t>102030 · Vikar - lørdags- og søndagstillegg</t>
  </si>
  <si>
    <t>102031 · Vikar - kvelds- og nattillegg</t>
  </si>
  <si>
    <t>102032 · Vikar - helligdagstillegg</t>
  </si>
  <si>
    <t>103000 · Ekstrahjelp</t>
  </si>
  <si>
    <t>103030 · Ekstrahjelp - lørdags- og søndagstillegg</t>
  </si>
  <si>
    <t>103031 · Ekstrahjelp - kvelds- og nattillegg</t>
  </si>
  <si>
    <t>103032 · Ekstrahjelp - helligdagstillegg</t>
  </si>
  <si>
    <t>103040 · Engasjementer / midlertidige stillinger</t>
  </si>
  <si>
    <t>103050 · Sommer- og sesonghjelp</t>
  </si>
  <si>
    <t>104000 · Overtidslønn</t>
  </si>
  <si>
    <t>105000 · Lærlinger</t>
  </si>
  <si>
    <t>105042 · Lønn utrykning</t>
  </si>
  <si>
    <t>105045 · Turtillegg - reise med pasient / klient/brukere</t>
  </si>
  <si>
    <t>105046 · Forskjøvet arbeidstid</t>
  </si>
  <si>
    <t>105060 · Skattepl. telefongodtgjørelse</t>
  </si>
  <si>
    <t>105064 · Skattepl. klesgodtgjørelse</t>
  </si>
  <si>
    <t>105065 · Skattepl. km-godtgjørelse</t>
  </si>
  <si>
    <t>109000 · Pensjon fellesordningen - ordinære (klp)</t>
  </si>
  <si>
    <t>109999 · Arbeidsgiveravgift</t>
  </si>
  <si>
    <t>110000 · Kontormateriell / rekvisita</t>
  </si>
  <si>
    <t>110020 · Kopieringsmatriell - papir / toner (ikke leie)</t>
  </si>
  <si>
    <t>111000 · Medisinsk forbruksmateriell</t>
  </si>
  <si>
    <t>111400 · Medisiner</t>
  </si>
  <si>
    <t>111500 · Matvarer / drikke - ikke møtevirksomhet</t>
  </si>
  <si>
    <t>111502 · Bevertning møter / kurs / opplæring / overtidsmat</t>
  </si>
  <si>
    <t>111509 · Pant</t>
  </si>
  <si>
    <t>112000 · Velferdstiltak / arrangementer -  ansatte</t>
  </si>
  <si>
    <t>112002 · Påskjønnelser - jfr reglement</t>
  </si>
  <si>
    <t>112010 · Arbeidsklær / verneutstyr / uniformer</t>
  </si>
  <si>
    <t>112012 · GAVE EKOM USKATT (LT 4800)</t>
  </si>
  <si>
    <t>112013 · MOTPOST GAVE EKOM USKATT (LT 4802)</t>
  </si>
  <si>
    <t>112020 · Plast og papir</t>
  </si>
  <si>
    <t>112021 · Renholdsutstyr</t>
  </si>
  <si>
    <t>112022 · Rengjøringsmidler</t>
  </si>
  <si>
    <t>112024 · Tekstiler og gardiner</t>
  </si>
  <si>
    <t>112025 · Planter</t>
  </si>
  <si>
    <t>112060 · Brukerbelønning</t>
  </si>
  <si>
    <t>112090 · Annet forbruksmateriell, varer og tjenester</t>
  </si>
  <si>
    <t>112098 · Tilskudd lærlinger (intern)</t>
  </si>
  <si>
    <t>112099 · Interne inntekter/utgifter</t>
  </si>
  <si>
    <t>113000 · Abonnement / samtale for mobil, telefon, nettbrett</t>
  </si>
  <si>
    <t>113004 · Bank og finansielle gebyrer</t>
  </si>
  <si>
    <t>114000 · Stillingsannonser</t>
  </si>
  <si>
    <t>115000 · Kurs / konferanser/opplæring - inkl. hotell</t>
  </si>
  <si>
    <t>116000 · Km-godtgjørelse, inkl. passasjertillegg - oppl.pl</t>
  </si>
  <si>
    <t>117000 · Drivstoff - inkludert strøm til el-biler, bio</t>
  </si>
  <si>
    <t>117002 · Vedlikehold / service transportmidler og anleggsm.</t>
  </si>
  <si>
    <t>117004 · SKADER OG EGENANDELER TRANSPORTMIDLER OG ANLEGGSMASKINER</t>
  </si>
  <si>
    <t>117030 · Reiseutg. buss, tog,taxi, fly, leiebil, bom, park.</t>
  </si>
  <si>
    <t>117040 · Flyttetjenester</t>
  </si>
  <si>
    <t>119520 · Tv-lisens og kabel-tv</t>
  </si>
  <si>
    <t>119550 · Kommunale gebyrer</t>
  </si>
  <si>
    <t>119590 · Andre avgifter, gebyrer og lisenser</t>
  </si>
  <si>
    <t>120000 · Inventar - møbler, madrasser</t>
  </si>
  <si>
    <t>120010 · Datautstyr, ikke elev-pcer</t>
  </si>
  <si>
    <t>120015 · Kjøp av mobiltlf / telefon / nettbrett</t>
  </si>
  <si>
    <t>120030 · Hvite / brune varer / elektriske produkter</t>
  </si>
  <si>
    <t>120045 · Kjøkkenutstyr</t>
  </si>
  <si>
    <t>120090 · Annet utstyr / andre maskiner</t>
  </si>
  <si>
    <t>121010 · Leie / leasing av transportmidler</t>
  </si>
  <si>
    <t>122000 · Leie av kontorutstyr / maskiner</t>
  </si>
  <si>
    <t>123020 · Vedlikehold - bygning</t>
  </si>
  <si>
    <t>123022 · Vedlikehold - elektriske installasjoner</t>
  </si>
  <si>
    <t>124010 · Drifts- / serviceavtaler - kontormaskiner</t>
  </si>
  <si>
    <t>124023 · Driftsavtaler - medisinsk utstyr</t>
  </si>
  <si>
    <t>125000 · Materialer til vedl. - bygg</t>
  </si>
  <si>
    <t>126000 · Renholdstjenester</t>
  </si>
  <si>
    <t>127040 · Kjøp av vikarbyråtjenester</t>
  </si>
  <si>
    <t>127050 · Bedriftshelsetjenester</t>
  </si>
  <si>
    <t>142900 · Merverdiavgift som gir rett til momskompensasjon</t>
  </si>
  <si>
    <t>150010 · Forsinkelsesrenter (mora)</t>
  </si>
  <si>
    <t>160000 · Brukerbetaling for kommunale tjenester -</t>
  </si>
  <si>
    <t>170080 · Øremerkede statstilskudd</t>
  </si>
  <si>
    <t>171000 · Refusjon sykepenger</t>
  </si>
  <si>
    <t>171005 · Refusjon foreldrepenger</t>
  </si>
  <si>
    <t>172900 · Kompensasjon for merverdiavgift</t>
  </si>
  <si>
    <t>177000 · Refusjon fra private</t>
  </si>
  <si>
    <t>Topp 10 konto · minste nederst</t>
  </si>
  <si>
    <t>KONTONIVÅ  |  største drivere bak merforbruket</t>
  </si>
  <si>
    <t>Topp 10 positive avvik per kontokode, kun Status = Bokført • rangert med største øverst • beløp i kroner</t>
  </si>
  <si>
    <t>Rang · undergruppe</t>
  </si>
  <si>
    <t>Rang · hovedgruppe</t>
  </si>
  <si>
    <t>Hovedgruppe · stigende kilde</t>
  </si>
  <si>
    <t>Undergruppe · stigende kilde</t>
  </si>
  <si>
    <t>Avvik % = (budsjett − regnskap) / budsjett. Merforbruk er negativt: rødt ≤−10 %, gult −10 til −5 %, grønt &gt;−5 %.</t>
  </si>
  <si>
    <t>Helsescore for trafikklys = 1 + avvik %; kandidatstatus måles separat etter godkjent andel.</t>
  </si>
  <si>
    <t>Styringssignal: RØD ved avvik ≤ −10 %, GUL fra −5 % til over −10 %, ellers GRØNN. Negative prosent betyr merforbruk.</t>
  </si>
  <si>
    <t>Merforbruk &gt; 0 (kr)</t>
  </si>
  <si>
    <t>Mindreforbruk &lt; 0 (kr)</t>
  </si>
  <si>
    <t>Månedsdiagram: negative stolper (mindreforbruk i kroner) er lyserøde, positive stolper (merforbruk i kroner) lysegrønne. Avvik % har motsatt fortegn.</t>
  </si>
  <si>
    <t>Langsiktige tiltak skal ikke brukes som om årets avvik er løst. De vises separat fordi de primært skal redusere strukturelt kostnadspress og risiko i neste økonomiplanperiode.</t>
  </si>
  <si>
    <t>TO LANGSIKTIGE KANDIDATER | modellanslag, ikke vedtatt effekt</t>
  </si>
  <si>
    <t>EOY-estimat (kr)</t>
  </si>
  <si>
    <t>Helårsestimat (kr)</t>
  </si>
  <si>
    <t>Kontroll</t>
  </si>
  <si>
    <t>Godkjent helår (kr)</t>
  </si>
  <si>
    <t>T5 · Turnus/kapasitet</t>
  </si>
  <si>
    <t>T6 · Digital planprosess</t>
  </si>
  <si>
    <t>Sum av anslag</t>
  </si>
  <si>
    <t>MER ÅRLIG POTENSIAL</t>
  </si>
  <si>
    <t>Mot anslått EOY-effekt</t>
  </si>
  <si>
    <t>SLIK LESES ANALYSEN</t>
  </si>
  <si>
    <t>01 · Tid</t>
  </si>
  <si>
    <t>EOY gjelder 2024-dataperiodens gjenværende måneder. Helår er et modellert årlig nivå ved full effekt, ikke dokumentert resultat for et konkret senere år.</t>
  </si>
  <si>
    <t>02 · Forskjell</t>
  </si>
  <si>
    <t>Økningen mellom EOY- og helårsestimatet er opptrappingspotensial, ikke et tillegg som kan legges til inneværende års prognose.</t>
  </si>
  <si>
    <t>03 · Beslutning</t>
  </si>
  <si>
    <t>Bare tiltak med både «Godkjent» og «Ja» for dokumentert kontroll teller i godkjent helår. Endre beslutning og kontroll på tiltaksarket.</t>
  </si>
  <si>
    <t>04 · Tjeneste/HR</t>
  </si>
  <si>
    <t>T5 krever HR-/tariff- og tjenestekontroll. T6 krever fagkontroll og en liten test med målbar gevinst før utrulling.</t>
  </si>
  <si>
    <t>05 · Dobbeltelling</t>
  </si>
  <si>
    <t>T5 kan overlappe tiltak om vikarbruk og overtid. Dokumenter avgrensning og følg faktisk effekt mot regnskap før beløp tas inn i økonomiplanen.</t>
  </si>
  <si>
    <t>06 · Modellgrense</t>
  </si>
  <si>
    <t>Effektbaser, sannsynligheter og effektestimater er eksisterende kandidatanslag. Underliggende beregning kan ikke etterprøves fra rådata alene.</t>
  </si>
  <si>
    <t>Ny prognose er ikke et nytt budsjett. Øvre rad viser et hypotetisk scenario der alle seks kandidater gir anslått effekt. Det godkjente sporet under viser bare effekt fra tiltak som både er godkjent og kontrollert; restavviket må fortsatt følges opp.</t>
  </si>
  <si>
    <t>SCENARIOBRO  |  årsprognose og restavvik i kroner</t>
  </si>
  <si>
    <t>Utfallsbane</t>
  </si>
  <si>
    <t>Årsprognose (kr)</t>
  </si>
  <si>
    <t>Tiltakseffekt (kr)</t>
  </si>
  <si>
    <t>Restavvik (kr)</t>
  </si>
  <si>
    <t>Før nye tiltak</t>
  </si>
  <si>
    <t>Alle kandidater · hypotese</t>
  </si>
  <si>
    <t>Kun dokumentert godkjent</t>
  </si>
  <si>
    <t>FAKTISK BESLUTNINGSGRUNNLAG</t>
  </si>
  <si>
    <t>Kandidatscenario er ikke en vedtatt besparelse. Sammenlign først godkjent spor med årsbudsjettet.</t>
  </si>
  <si>
    <t>Oppfølging: kontrollér overlapp mellom vikar, overtid og turnus, dokumenter vedtak, og mål faktisk realisert effekt.</t>
  </si>
  <si>
    <t>SLIK LESER DU DIAGRAMMET</t>
  </si>
  <si>
    <t>Restavvik = årsprognose − årsbudsjett. Positivt beløp betyr merforbruk; diagrammet starter på null for proporsjonal sammenligning.</t>
  </si>
  <si>
    <t>Før tiltak: bokført regnskap + gjenstående budsjett + trendjustering. Trendandel er redigerbar på prognosearket.</t>
  </si>
  <si>
    <t>Alle kandidater: seks eksisterende modellanslag trekkes fra prognosen som et hypotetisk fullt utfall, ikke som vedtak.</t>
  </si>
  <si>
    <t>Godkjent spor: kun effekt fra tiltak med «Godkjent» OG dokumentert kontroll «Ja» trekkes fra prognosen.</t>
  </si>
  <si>
    <t>Estimert effekt er ikke realisert regnskapseffekt. Forutsetninger, tjenestekvalitet og mulig dobbelttelling må vurderes før iverksetting.</t>
  </si>
  <si>
    <t>Mulig lukket andel · hypotese</t>
  </si>
  <si>
    <t>Lukket med godkjente tiltak</t>
  </si>
  <si>
    <t>Forskjellen er ikke en realisert eller godkjent gevinst.</t>
  </si>
  <si>
    <t>MÅNEDLIG UTVIKLING | bokført mot modellert årsslutt</t>
  </si>
  <si>
    <t>Budsjett YTD (kr)</t>
  </si>
  <si>
    <t>Regnskap YTD (kr)</t>
  </si>
  <si>
    <t>Prognose YTD (kr)</t>
  </si>
  <si>
    <t>Heltrukken regnskapslinje = bokført januar–august. Prognoselinjen starter i august og viser modellert september–desember; ikke bokførte resultater.</t>
  </si>
  <si>
    <t>Trendjusteringen fordeles jevnt over fire gjenstående måneder for visualisering. Årsslutt i desember avstemmes mot KPI for EOY-prognose.</t>
  </si>
  <si>
    <t>Merforbruk YTD (kr)</t>
  </si>
  <si>
    <t>Etiketter på prognoselinjen = akkumulert merforbruk (prognose minus budsjett), ikke linjens prognosebeløp. August er bokført avvik.</t>
  </si>
  <si>
    <t>NY ÅRSSLUTTKURVE  |  godkjent effekt mot kandidatpotensial</t>
  </si>
  <si>
    <t>Bokført YTD</t>
  </si>
  <si>
    <t>Før tiltak</t>
  </si>
  <si>
    <t>Godkjent prognose</t>
  </si>
  <si>
    <t>Bokført t.o.m. august. September–desember er scenarier, ikke nye regnskapstall. Kandidatbanen er hypotetisk og ikke vedtatt.</t>
  </si>
  <si>
    <t>Illustrasjonsregel: effekt fases inn med ¼ per gjenstående måned. Godkjent bane trekker kun fra dokumentert godkjent EOY-effekt; endepunkt = E19.</t>
  </si>
  <si>
    <t>Godkjent prognose er foreløpig identisk med «før tiltak»: 0 av 6 tiltak er dokumentert godkjent. Oransje kurve er et hypotetisk fullt kandidatscenario.</t>
  </si>
  <si>
    <t>Godkjent merforbruk YTD (kr)</t>
  </si>
  <si>
    <t>Etiketter på oransje godkjent prognoselinje = akkumulert merforbruk mot budsjett, ikke prognosebeløpet. 0 godkjente tiltak gir samme bane som før tiltak.</t>
  </si>
  <si>
    <r>
      <t xml:space="preserve">Bare tiltak som både har beslutningen «Godkjent» </t>
    </r>
    <r>
      <rPr>
        <b/>
        <sz val="11"/>
        <color rgb="FF424242"/>
        <rFont val="Aptos"/>
        <family val="2"/>
      </rPr>
      <t>og dokumentert kontroll «Ja», får redusere prognosen.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</si>
</sst>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Red]\(#,##0\);\-"/>
    <numFmt numFmtId="165" formatCode="0.0%"/>
    <numFmt numFmtId="166" formatCode="#,##0;[Red]\(#,##0\);\–"/>
    <numFmt numFmtId="167" formatCode="#,##0;\(#,##0\);\–"/>
    <numFmt numFmtId="169" formatCode="0.00&quot;×&quot;"/>
    <numFmt numFmtId="170" formatCode="#,##0&quot; kr&quot;"/>
  </numFmts>
  <fonts count="46" x14ac:knownFonts="1">
    <font>
      <sz val="11"/>
      <color theme="1"/>
      <name val="Calibri"/>
      <family val="2"/>
      <scheme val="minor"/>
    </font>
    <font>
      <b/>
      <sz val="11"/>
      <color rgb="FF667085"/>
      <name val="Calibri"/>
    </font>
    <font>
      <b/>
      <sz val="15"/>
      <color rgb="FF17365D"/>
      <name val="Calibri"/>
    </font>
    <font>
      <b/>
      <sz val="15"/>
      <color rgb="FFE52521"/>
      <name val="Calibri"/>
    </font>
    <font>
      <b/>
      <sz val="11"/>
      <color rgb="FF17365D"/>
      <name val="Calibri"/>
    </font>
    <font>
      <b/>
      <sz val="9"/>
      <color rgb="FFFFFFFF"/>
      <name val="Calibri"/>
    </font>
    <font>
      <b/>
      <sz val="12"/>
      <color rgb="FFFFFFFF"/>
      <name val="Calibri"/>
    </font>
    <font>
      <b/>
      <sz val="18"/>
      <color rgb="FF17365D"/>
      <name val="Calibri"/>
    </font>
    <font>
      <b/>
      <sz val="11"/>
      <color rgb="FFFFFFFF"/>
      <name val="Calibri"/>
    </font>
    <font>
      <b/>
      <sz val="11"/>
      <color theme="1"/>
      <name val="Calibri"/>
      <family val="2"/>
      <scheme val="minor"/>
    </font>
    <font>
      <b/>
      <sz val="17"/>
      <color rgb="FFFFFFFF"/>
      <name val="Calibri"/>
      <family val="2"/>
      <scheme val="minor"/>
    </font>
    <font>
      <sz val="11"/>
      <color rgb="FF486176"/>
      <name val="Calibri"/>
      <family val="2"/>
      <scheme val="minor"/>
    </font>
    <font>
      <sz val="11"/>
      <color rgb="FFFFFFFF"/>
      <name val="Calibri"/>
      <family val="2"/>
      <scheme val="minor"/>
    </font>
    <font>
      <b/>
      <sz val="11"/>
      <color rgb="FF19364B"/>
      <name val="Calibri"/>
      <family val="2"/>
      <scheme val="minor"/>
    </font>
    <font>
      <b/>
      <sz val="11"/>
      <color rgb="FFFFFFFF"/>
      <name val="Calibri"/>
      <family val="2"/>
      <scheme val="minor"/>
    </font>
    <font>
      <sz val="11"/>
      <color rgb="FF1455A0"/>
      <name val="Calibri"/>
      <family val="2"/>
      <scheme val="minor"/>
    </font>
    <font>
      <sz val="11"/>
      <color rgb="FF294859"/>
      <name val="Calibri"/>
      <family val="2"/>
      <scheme val="minor"/>
    </font>
    <font>
      <b/>
      <sz val="11"/>
      <color rgb="FF294859"/>
      <name val="Calibri"/>
      <family val="2"/>
      <scheme val="minor"/>
    </font>
    <font>
      <b/>
      <sz val="18"/>
      <color rgb="FFFFFFFF"/>
      <name val="Calibri"/>
      <family val="2"/>
      <scheme val="minor"/>
    </font>
    <font>
      <b/>
      <sz val="15"/>
      <color theme="1"/>
      <name val="Calibri"/>
      <family val="2"/>
      <scheme val="minor"/>
    </font>
    <font>
      <sz val="11"/>
      <color rgb="FF8C2424"/>
      <name val="Calibri"/>
      <family val="2"/>
      <scheme val="minor"/>
    </font>
    <font>
      <b/>
      <sz val="15"/>
      <color rgb="FF8C2424"/>
      <name val="Calibri"/>
    </font>
    <font>
      <b/>
      <sz val="11"/>
      <color rgb="FF28566D"/>
      <name val="Calibri"/>
      <family val="2"/>
      <scheme val="minor"/>
    </font>
    <font>
      <b/>
      <sz val="10"/>
      <color rgb="FF486176"/>
      <name val="Calibri"/>
      <family val="2"/>
      <scheme val="minor"/>
    </font>
    <font>
      <b/>
      <sz val="18"/>
      <color rgb="FF19364B"/>
      <name val="Calibri"/>
      <family val="2"/>
      <scheme val="minor"/>
    </font>
    <font>
      <b/>
      <sz val="18"/>
      <color rgb="FFA74630"/>
      <name val="Calibri"/>
      <family val="2"/>
      <scheme val="minor"/>
    </font>
    <font>
      <sz val="11"/>
      <color rgb="FFA74630"/>
      <name val="Calibri"/>
      <family val="2"/>
      <scheme val="minor"/>
    </font>
    <font>
      <b/>
      <sz val="13"/>
      <color rgb="FFFFFFFF"/>
      <name val="Calibri"/>
      <family val="2"/>
      <scheme val="minor"/>
    </font>
    <font>
      <sz val="11"/>
      <color rgb="FF14643C"/>
      <name val="Calibri"/>
      <family val="2"/>
      <scheme val="minor"/>
    </font>
    <font>
      <b/>
      <sz val="10"/>
      <color rgb="FFFFFFFF"/>
      <name val="Calibri"/>
      <family val="2"/>
      <scheme val="minor"/>
    </font>
    <font>
      <b/>
      <sz val="17"/>
      <color rgb="FFFFFFFF"/>
      <name val="Calibri"/>
    </font>
    <font>
      <b/>
      <sz val="11"/>
      <color rgb="FF486176"/>
      <name val="Calibri"/>
    </font>
    <font>
      <b/>
      <sz val="15"/>
      <color rgb="FF19364B"/>
      <name val="Calibri"/>
    </font>
    <font>
      <b/>
      <sz val="15"/>
      <color rgb="FF526A7B"/>
      <name val="Calibri"/>
    </font>
    <font>
      <b/>
      <sz val="15"/>
      <color rgb="FF087D91"/>
      <name val="Calibri"/>
    </font>
    <font>
      <sz val="11"/>
      <color rgb="FF19364B"/>
      <name val="Calibri"/>
      <family val="2"/>
      <scheme val="minor"/>
    </font>
    <font>
      <sz val="11"/>
      <color rgb="FF526A7B"/>
      <name val="Calibri"/>
      <family val="2"/>
      <scheme val="minor"/>
    </font>
    <font>
      <b/>
      <sz val="11"/>
      <color rgb="FF526A7B"/>
      <name val="Calibri"/>
      <family val="2"/>
      <scheme val="minor"/>
    </font>
    <font>
      <sz val="11"/>
      <color rgb="FF087D91"/>
      <name val="Calibri"/>
      <family val="2"/>
      <scheme val="minor"/>
    </font>
    <font>
      <b/>
      <sz val="11"/>
      <color rgb="FF087D91"/>
      <name val="Calibri"/>
      <family val="2"/>
      <scheme val="minor"/>
    </font>
    <font>
      <sz val="11"/>
      <color rgb="FF986148"/>
      <name val="Calibri"/>
      <family val="2"/>
      <scheme val="minor"/>
    </font>
    <font>
      <b/>
      <sz val="11"/>
      <color rgb="FF17365D"/>
      <name val="Calibri"/>
      <family val="2"/>
    </font>
    <font>
      <b/>
      <sz val="11"/>
      <color rgb="FF183B50"/>
      <name val="Calibri"/>
      <family val="2"/>
      <scheme val="minor"/>
    </font>
    <font>
      <b/>
      <sz val="20"/>
      <color rgb="FF183B50"/>
      <name val="Calibri"/>
      <family val="2"/>
      <scheme val="minor"/>
    </font>
    <font>
      <sz val="11"/>
      <color rgb="FF7C4D30"/>
      <name val="Calibri"/>
      <family val="2"/>
      <scheme val="minor"/>
    </font>
    <font>
      <b/>
      <sz val="11"/>
      <color rgb="FF424242"/>
      <name val="Aptos"/>
      <family val="2"/>
    </font>
  </fonts>
  <fills count="36">
    <fill>
      <patternFill patternType="none"/>
    </fill>
    <fill>
      <patternFill patternType="gray125"/>
    </fill>
    <fill>
      <patternFill patternType="solid">
        <fgColor rgb="FFEAF0F4"/>
      </patternFill>
    </fill>
    <fill>
      <patternFill patternType="solid">
        <fgColor rgb="FFE2F0D9"/>
      </patternFill>
    </fill>
    <fill>
      <patternFill patternType="solid">
        <fgColor rgb="FFFCE4D6"/>
      </patternFill>
    </fill>
    <fill>
      <patternFill patternType="solid">
        <fgColor rgb="FF19364B"/>
        <bgColor indexed="64"/>
      </patternFill>
    </fill>
    <fill>
      <patternFill patternType="solid">
        <fgColor rgb="FFE9F1F5"/>
        <bgColor indexed="64"/>
      </patternFill>
    </fill>
    <fill>
      <patternFill patternType="solid">
        <fgColor rgb="FFDCEAF6"/>
        <bgColor indexed="64"/>
      </patternFill>
    </fill>
    <fill>
      <patternFill patternType="solid">
        <fgColor rgb="FFE6F0F4"/>
        <bgColor indexed="64"/>
      </patternFill>
    </fill>
    <fill>
      <patternFill patternType="solid">
        <fgColor rgb="FFF0F5F7"/>
        <bgColor indexed="64"/>
      </patternFill>
    </fill>
    <fill>
      <patternFill patternType="solid">
        <fgColor rgb="FFFAF0E7"/>
        <bgColor indexed="64"/>
      </patternFill>
    </fill>
    <fill>
      <patternFill patternType="solid">
        <fgColor rgb="FFE2EFF1"/>
        <bgColor indexed="64"/>
      </patternFill>
    </fill>
    <fill>
      <patternFill patternType="solid">
        <fgColor rgb="FFDDF1E4"/>
        <bgColor indexed="64"/>
      </patternFill>
    </fill>
    <fill>
      <patternFill patternType="solid">
        <fgColor rgb="FFF8BFC0"/>
        <bgColor indexed="64"/>
      </patternFill>
    </fill>
    <fill>
      <patternFill patternType="solid">
        <fgColor rgb="FF526A7B"/>
        <bgColor indexed="64"/>
      </patternFill>
    </fill>
    <fill>
      <patternFill patternType="solid">
        <fgColor rgb="FF087D91"/>
        <bgColor indexed="64"/>
      </patternFill>
    </fill>
    <fill>
      <patternFill patternType="solid">
        <fgColor rgb="FFE6EDF1"/>
        <bgColor indexed="64"/>
      </patternFill>
    </fill>
    <fill>
      <patternFill patternType="solid">
        <fgColor rgb="FFDDF1F0"/>
        <bgColor indexed="64"/>
      </patternFill>
    </fill>
    <fill>
      <patternFill patternType="solid">
        <fgColor rgb="FFE7F5EE"/>
        <bgColor indexed="64"/>
      </patternFill>
    </fill>
    <fill>
      <patternFill patternType="solid">
        <fgColor rgb="FFF5E7D8"/>
        <bgColor indexed="64"/>
      </patternFill>
    </fill>
    <fill>
      <patternFill patternType="solid">
        <fgColor rgb="FF0F6B78"/>
        <bgColor indexed="64"/>
      </patternFill>
    </fill>
    <fill>
      <patternFill patternType="solid">
        <fgColor rgb="FF286D55"/>
        <bgColor indexed="64"/>
      </patternFill>
    </fill>
    <fill>
      <patternFill patternType="solid">
        <fgColor rgb="FF584974"/>
        <bgColor indexed="64"/>
      </patternFill>
    </fill>
    <fill>
      <patternFill patternType="solid">
        <fgColor rgb="FF885A38"/>
        <bgColor indexed="64"/>
      </patternFill>
    </fill>
    <fill>
      <patternFill patternType="solid">
        <fgColor theme="0"/>
        <bgColor indexed="64"/>
      </patternFill>
    </fill>
    <fill>
      <patternFill patternType="solid">
        <fgColor rgb="FF244A61"/>
        <bgColor indexed="64"/>
      </patternFill>
    </fill>
    <fill>
      <patternFill patternType="solid">
        <fgColor rgb="FFE8F2F4"/>
        <bgColor indexed="64"/>
      </patternFill>
    </fill>
    <fill>
      <patternFill patternType="solid">
        <fgColor rgb="FF183B50"/>
        <bgColor indexed="64"/>
      </patternFill>
    </fill>
    <fill>
      <patternFill patternType="solid">
        <fgColor rgb="FF28576B"/>
        <bgColor indexed="64"/>
      </patternFill>
    </fill>
    <fill>
      <patternFill patternType="solid">
        <fgColor rgb="FFF7EEE1"/>
        <bgColor indexed="64"/>
      </patternFill>
    </fill>
    <fill>
      <patternFill patternType="solid">
        <fgColor rgb="FFE6F2F2"/>
        <bgColor indexed="64"/>
      </patternFill>
    </fill>
    <fill>
      <patternFill patternType="solid">
        <fgColor rgb="FFECF4F5"/>
        <bgColor indexed="64"/>
      </patternFill>
    </fill>
    <fill>
      <patternFill patternType="solid">
        <fgColor rgb="FFDDE9ED"/>
        <bgColor indexed="64"/>
      </patternFill>
    </fill>
    <fill>
      <patternFill patternType="solid">
        <fgColor rgb="FFF2E8DF"/>
        <bgColor indexed="64"/>
      </patternFill>
    </fill>
    <fill>
      <patternFill patternType="solid">
        <fgColor rgb="FFEFF5F5"/>
        <bgColor indexed="64"/>
      </patternFill>
    </fill>
    <fill>
      <patternFill patternType="solid">
        <fgColor rgb="FFE0EAED"/>
        <bgColor indexed="64"/>
      </patternFill>
    </fill>
  </fills>
  <borders count="2">
    <border>
      <left/>
      <right/>
      <top/>
      <bottom/>
      <diagonal/>
    </border>
    <border>
      <left/>
      <right/>
      <top/>
      <bottom style="thin">
        <color rgb="FFD9E2F3"/>
      </bottom>
      <diagonal/>
    </border>
  </borders>
  <cellStyleXfs count="1">
    <xf numFmtId="0" fontId="0" fillId="0" borderId="0"/>
  </cellStyleXfs>
  <cellXfs count="160">
    <xf numFmtId="0" fontId="0" fillId="0" borderId="0" xfId="0"/>
    <xf numFmtId="0" fontId="0" fillId="0" borderId="1" xfId="0" applyBorder="1" applyAlignment="1">
      <alignment vertical="center" wrapText="1"/>
    </xf>
    <xf numFmtId="165" fontId="0" fillId="0" borderId="1" xfId="0" applyNumberFormat="1" applyBorder="1" applyAlignment="1">
      <alignment vertical="center" wrapText="1"/>
    </xf>
    <xf numFmtId="0" fontId="0" fillId="4" borderId="1" xfId="0" applyFill="1" applyBorder="1" applyAlignment="1">
      <alignment vertical="center" wrapText="1"/>
    </xf>
    <xf numFmtId="0" fontId="7" fillId="0" borderId="0" xfId="0" applyFont="1" applyAlignment="1">
      <alignment horizontal="center"/>
    </xf>
    <xf numFmtId="0" fontId="0" fillId="0" borderId="0" xfId="0"/>
    <xf numFmtId="164" fontId="3" fillId="0" borderId="0" xfId="0" applyNumberFormat="1" applyFont="1" applyAlignment="1">
      <alignment vertical="center"/>
    </xf>
    <xf numFmtId="0" fontId="1" fillId="2" borderId="0" xfId="0" applyFont="1" applyFill="1"/>
    <xf numFmtId="0" fontId="4" fillId="4" borderId="0" xfId="0" applyFont="1" applyFill="1" applyAlignment="1">
      <alignment vertical="center" wrapText="1"/>
    </xf>
    <xf numFmtId="0" fontId="4" fillId="3" borderId="0" xfId="0" applyFont="1" applyFill="1" applyAlignment="1">
      <alignment vertical="center" wrapText="1"/>
    </xf>
    <xf numFmtId="0" fontId="7" fillId="0" borderId="0" xfId="0" applyFont="1" applyAlignment="1">
      <alignment horizontal="center"/>
    </xf>
    <xf numFmtId="0" fontId="0" fillId="0" borderId="0" xfId="0" pivotButton="1"/>
    <xf numFmtId="0" fontId="9" fillId="0" borderId="0" xfId="0" applyFont="1"/>
    <xf numFmtId="0" fontId="10" fillId="5" borderId="0" xfId="0" applyFont="1" applyFill="1"/>
    <xf numFmtId="0" fontId="0" fillId="5" borderId="0" xfId="0" applyFill="1"/>
    <xf numFmtId="0" fontId="11" fillId="0" borderId="0" xfId="0" applyFont="1"/>
    <xf numFmtId="166" fontId="0" fillId="0" borderId="0" xfId="0" applyNumberFormat="1"/>
    <xf numFmtId="0" fontId="0" fillId="0" borderId="0" xfId="0" applyAlignment="1">
      <alignment wrapText="1"/>
    </xf>
    <xf numFmtId="0" fontId="11" fillId="0" borderId="0" xfId="0" applyFont="1" applyAlignment="1">
      <alignment wrapText="1"/>
    </xf>
    <xf numFmtId="165" fontId="0" fillId="0" borderId="0" xfId="0" applyNumberFormat="1"/>
    <xf numFmtId="0" fontId="12" fillId="5" borderId="0" xfId="0" applyFont="1" applyFill="1"/>
    <xf numFmtId="0" fontId="0" fillId="6" borderId="0" xfId="0" applyFill="1"/>
    <xf numFmtId="0" fontId="13" fillId="6" borderId="0" xfId="0" applyFont="1" applyFill="1"/>
    <xf numFmtId="0" fontId="16" fillId="0" borderId="0" xfId="0" applyFont="1"/>
    <xf numFmtId="0" fontId="16" fillId="0" borderId="0" xfId="0" applyFont="1"/>
    <xf numFmtId="9" fontId="16" fillId="7" borderId="0" xfId="0" applyNumberFormat="1" applyFont="1" applyFill="1"/>
    <xf numFmtId="0" fontId="16" fillId="8" borderId="0" xfId="0" applyFont="1" applyFill="1"/>
    <xf numFmtId="0" fontId="17" fillId="8" borderId="0" xfId="0" applyFont="1" applyFill="1"/>
    <xf numFmtId="166" fontId="0" fillId="0" borderId="0" xfId="0" applyNumberFormat="1"/>
    <xf numFmtId="0" fontId="15" fillId="7" borderId="0" xfId="0" applyFont="1" applyFill="1"/>
    <xf numFmtId="0" fontId="9" fillId="9" borderId="0" xfId="0" applyFont="1" applyFill="1"/>
    <xf numFmtId="0" fontId="0" fillId="9" borderId="0" xfId="0" applyFill="1"/>
    <xf numFmtId="0" fontId="9" fillId="10" borderId="0" xfId="0" applyFont="1" applyFill="1"/>
    <xf numFmtId="0" fontId="0" fillId="10" borderId="0" xfId="0" applyFill="1"/>
    <xf numFmtId="0" fontId="9" fillId="11" borderId="0" xfId="0" applyFont="1" applyFill="1"/>
    <xf numFmtId="0" fontId="0" fillId="11" borderId="0" xfId="0" applyFill="1"/>
    <xf numFmtId="0" fontId="14" fillId="5" borderId="0" xfId="0" applyFont="1" applyFill="1"/>
    <xf numFmtId="0" fontId="22" fillId="0" borderId="0" xfId="0" applyFont="1"/>
    <xf numFmtId="0" fontId="23" fillId="6" borderId="0" xfId="0" applyFont="1" applyFill="1"/>
    <xf numFmtId="165" fontId="24" fillId="6" borderId="0" xfId="0" applyNumberFormat="1" applyFont="1" applyFill="1"/>
    <xf numFmtId="0" fontId="26" fillId="0" borderId="0" xfId="0" applyFont="1"/>
    <xf numFmtId="0" fontId="27" fillId="5" borderId="0" xfId="0" applyFont="1" applyFill="1"/>
    <xf numFmtId="0" fontId="29" fillId="14" borderId="0" xfId="0" applyFont="1" applyFill="1"/>
    <xf numFmtId="0" fontId="12" fillId="14" borderId="0" xfId="0" applyFont="1" applyFill="1"/>
    <xf numFmtId="166" fontId="12" fillId="14" borderId="0" xfId="0" applyNumberFormat="1" applyFont="1" applyFill="1"/>
    <xf numFmtId="0" fontId="29" fillId="15" borderId="0" xfId="0" applyFont="1" applyFill="1"/>
    <xf numFmtId="0" fontId="12" fillId="15" borderId="0" xfId="0" applyFont="1" applyFill="1"/>
    <xf numFmtId="166" fontId="12" fillId="15" borderId="0" xfId="0" applyNumberFormat="1" applyFont="1" applyFill="1"/>
    <xf numFmtId="0" fontId="0" fillId="5" borderId="0" xfId="0" applyFill="1"/>
    <xf numFmtId="0" fontId="30" fillId="5" borderId="0" xfId="0" applyFont="1" applyFill="1" applyAlignment="1">
      <alignment vertical="center"/>
    </xf>
    <xf numFmtId="0" fontId="0" fillId="6" borderId="0" xfId="0" applyFill="1"/>
    <xf numFmtId="0" fontId="31" fillId="6" borderId="0" xfId="0" applyFont="1" applyFill="1"/>
    <xf numFmtId="165" fontId="32" fillId="6" borderId="0" xfId="0" applyNumberFormat="1" applyFont="1" applyFill="1" applyAlignment="1">
      <alignment vertical="center"/>
    </xf>
    <xf numFmtId="164" fontId="32" fillId="6" borderId="0" xfId="0" applyNumberFormat="1" applyFont="1" applyFill="1" applyAlignment="1">
      <alignment vertical="center"/>
    </xf>
    <xf numFmtId="0" fontId="31" fillId="16" borderId="0" xfId="0" applyFont="1" applyFill="1"/>
    <xf numFmtId="0" fontId="0" fillId="16" borderId="0" xfId="0" applyFill="1"/>
    <xf numFmtId="166" fontId="0" fillId="16" borderId="0" xfId="0" applyNumberFormat="1" applyFill="1"/>
    <xf numFmtId="0" fontId="31" fillId="17" borderId="0" xfId="0" applyFont="1" applyFill="1"/>
    <xf numFmtId="0" fontId="0" fillId="17" borderId="0" xfId="0" applyFill="1"/>
    <xf numFmtId="166" fontId="0" fillId="17" borderId="0" xfId="0" applyNumberFormat="1" applyFill="1"/>
    <xf numFmtId="0" fontId="8" fillId="5" borderId="0" xfId="0" applyFont="1" applyFill="1"/>
    <xf numFmtId="0" fontId="36" fillId="5" borderId="0" xfId="0" applyFont="1" applyFill="1"/>
    <xf numFmtId="0" fontId="36" fillId="0" borderId="0" xfId="0" applyFont="1"/>
    <xf numFmtId="0" fontId="37" fillId="5" borderId="0" xfId="0" applyFont="1" applyFill="1"/>
    <xf numFmtId="166" fontId="36" fillId="0" borderId="0" xfId="0" applyNumberFormat="1" applyFont="1"/>
    <xf numFmtId="0" fontId="38" fillId="5" borderId="0" xfId="0" applyFont="1" applyFill="1"/>
    <xf numFmtId="0" fontId="38" fillId="0" borderId="0" xfId="0" applyFont="1"/>
    <xf numFmtId="0" fontId="39" fillId="5" borderId="0" xfId="0" applyFont="1" applyFill="1"/>
    <xf numFmtId="166" fontId="38" fillId="0" borderId="0" xfId="0" applyNumberFormat="1" applyFont="1"/>
    <xf numFmtId="166" fontId="14" fillId="5" borderId="0" xfId="0" applyNumberFormat="1" applyFont="1" applyFill="1"/>
    <xf numFmtId="166" fontId="37" fillId="5" borderId="0" xfId="0" applyNumberFormat="1" applyFont="1" applyFill="1"/>
    <xf numFmtId="166" fontId="39" fillId="5" borderId="0" xfId="0" applyNumberFormat="1" applyFont="1" applyFill="1"/>
    <xf numFmtId="166" fontId="36" fillId="5" borderId="0" xfId="0" applyNumberFormat="1" applyFont="1" applyFill="1"/>
    <xf numFmtId="166" fontId="38" fillId="5" borderId="0" xfId="0" applyNumberFormat="1" applyFont="1" applyFill="1"/>
    <xf numFmtId="166" fontId="0" fillId="5" borderId="0" xfId="0" applyNumberFormat="1" applyFill="1"/>
    <xf numFmtId="0" fontId="9" fillId="6" borderId="0" xfId="0" applyFont="1" applyFill="1"/>
    <xf numFmtId="0" fontId="5" fillId="5" borderId="0" xfId="0" applyFont="1" applyFill="1" applyAlignment="1">
      <alignment horizontal="center" wrapText="1"/>
    </xf>
    <xf numFmtId="0" fontId="31" fillId="13" borderId="0" xfId="0" applyFont="1" applyFill="1"/>
    <xf numFmtId="0" fontId="0" fillId="13" borderId="0" xfId="0" applyFill="1"/>
    <xf numFmtId="165" fontId="21" fillId="13" borderId="0" xfId="0" applyNumberFormat="1" applyFont="1" applyFill="1" applyAlignment="1">
      <alignment vertical="center"/>
    </xf>
    <xf numFmtId="0" fontId="1" fillId="13" borderId="0" xfId="0" applyFont="1" applyFill="1"/>
    <xf numFmtId="0" fontId="31" fillId="19" borderId="0" xfId="0" applyFont="1" applyFill="1"/>
    <xf numFmtId="0" fontId="0" fillId="19" borderId="0" xfId="0" applyFill="1"/>
    <xf numFmtId="0" fontId="6" fillId="20" borderId="0" xfId="0" applyFont="1" applyFill="1" applyAlignment="1">
      <alignment horizontal="center" vertical="center" wrapText="1"/>
    </xf>
    <xf numFmtId="0" fontId="0" fillId="20" borderId="0" xfId="0" applyFill="1"/>
    <xf numFmtId="0" fontId="6" fillId="21" borderId="0" xfId="0" applyFont="1" applyFill="1" applyAlignment="1">
      <alignment horizontal="center" vertical="center" wrapText="1"/>
    </xf>
    <xf numFmtId="0" fontId="0" fillId="21" borderId="0" xfId="0" applyFill="1"/>
    <xf numFmtId="0" fontId="6" fillId="22" borderId="0" xfId="0" applyFont="1" applyFill="1" applyAlignment="1">
      <alignment horizontal="center" vertical="center" wrapText="1"/>
    </xf>
    <xf numFmtId="0" fontId="0" fillId="22" borderId="0" xfId="0" applyFill="1"/>
    <xf numFmtId="0" fontId="16" fillId="2" borderId="0" xfId="0" applyFont="1" applyFill="1" applyAlignment="1">
      <alignment vertical="center" wrapText="1"/>
    </xf>
    <xf numFmtId="0" fontId="5" fillId="20" borderId="0" xfId="0" applyFont="1" applyFill="1" applyAlignment="1">
      <alignment vertical="top" wrapText="1"/>
    </xf>
    <xf numFmtId="0" fontId="5" fillId="5" borderId="0" xfId="0" applyFont="1" applyFill="1" applyAlignment="1">
      <alignment vertical="top" wrapText="1"/>
    </xf>
    <xf numFmtId="0" fontId="5" fillId="22" borderId="0" xfId="0" applyFont="1" applyFill="1" applyAlignment="1">
      <alignment vertical="top" wrapText="1"/>
    </xf>
    <xf numFmtId="0" fontId="5" fillId="23" borderId="0" xfId="0" applyFont="1" applyFill="1" applyAlignment="1">
      <alignment vertical="top" wrapText="1"/>
    </xf>
    <xf numFmtId="0" fontId="0" fillId="23" borderId="0" xfId="0" applyFill="1"/>
    <xf numFmtId="0" fontId="5" fillId="21" borderId="0" xfId="0" applyFont="1" applyFill="1" applyAlignment="1">
      <alignment vertical="top" wrapText="1"/>
    </xf>
    <xf numFmtId="0" fontId="14" fillId="5" borderId="0" xfId="0" applyFont="1" applyFill="1" applyAlignment="1">
      <alignment wrapText="1"/>
    </xf>
    <xf numFmtId="166" fontId="12" fillId="5" borderId="0" xfId="0" applyNumberFormat="1" applyFont="1" applyFill="1"/>
    <xf numFmtId="167" fontId="0" fillId="0" borderId="0" xfId="0" applyNumberFormat="1"/>
    <xf numFmtId="167" fontId="36" fillId="0" borderId="0" xfId="0" applyNumberFormat="1" applyFont="1"/>
    <xf numFmtId="167" fontId="38" fillId="0" borderId="0" xfId="0" applyNumberFormat="1" applyFont="1"/>
    <xf numFmtId="167" fontId="37" fillId="6" borderId="0" xfId="0" applyNumberFormat="1" applyFont="1" applyFill="1"/>
    <xf numFmtId="167" fontId="39" fillId="6" borderId="0" xfId="0" applyNumberFormat="1" applyFont="1" applyFill="1"/>
    <xf numFmtId="167" fontId="13" fillId="6" borderId="0" xfId="0" applyNumberFormat="1" applyFont="1" applyFill="1"/>
    <xf numFmtId="167" fontId="36" fillId="0" borderId="1" xfId="0" applyNumberFormat="1" applyFont="1" applyBorder="1" applyAlignment="1">
      <alignment vertical="center" wrapText="1"/>
    </xf>
    <xf numFmtId="167" fontId="35" fillId="0" borderId="1" xfId="0" applyNumberFormat="1" applyFont="1" applyBorder="1" applyAlignment="1">
      <alignment vertical="center" wrapText="1"/>
    </xf>
    <xf numFmtId="167" fontId="0" fillId="0" borderId="1" xfId="0" applyNumberFormat="1" applyBorder="1" applyAlignment="1">
      <alignment vertical="center" wrapText="1"/>
    </xf>
    <xf numFmtId="167" fontId="28" fillId="18" borderId="0" xfId="0" applyNumberFormat="1" applyFont="1" applyFill="1"/>
    <xf numFmtId="167" fontId="0" fillId="12" borderId="0" xfId="0" applyNumberFormat="1" applyFill="1"/>
    <xf numFmtId="167" fontId="33" fillId="16" borderId="0" xfId="0" applyNumberFormat="1" applyFont="1" applyFill="1" applyAlignment="1">
      <alignment vertical="center"/>
    </xf>
    <xf numFmtId="167" fontId="34" fillId="17" borderId="0" xfId="0" applyNumberFormat="1" applyFont="1" applyFill="1" applyAlignment="1">
      <alignment vertical="center"/>
    </xf>
    <xf numFmtId="167" fontId="21" fillId="13" borderId="0" xfId="0" applyNumberFormat="1" applyFont="1" applyFill="1" applyAlignment="1">
      <alignment vertical="center"/>
    </xf>
    <xf numFmtId="167" fontId="2" fillId="0" borderId="0" xfId="0" applyNumberFormat="1" applyFont="1" applyAlignment="1">
      <alignment vertical="center"/>
    </xf>
    <xf numFmtId="167" fontId="32" fillId="6" borderId="0" xfId="0" applyNumberFormat="1" applyFont="1" applyFill="1" applyAlignment="1">
      <alignment vertical="center"/>
    </xf>
    <xf numFmtId="167" fontId="32" fillId="19" borderId="0" xfId="0" applyNumberFormat="1" applyFont="1" applyFill="1" applyAlignment="1">
      <alignment vertical="center"/>
    </xf>
    <xf numFmtId="167" fontId="20" fillId="13" borderId="0" xfId="0" applyNumberFormat="1" applyFont="1" applyFill="1"/>
    <xf numFmtId="167" fontId="19" fillId="9" borderId="0" xfId="0" applyNumberFormat="1" applyFont="1" applyFill="1"/>
    <xf numFmtId="167" fontId="19" fillId="10" borderId="0" xfId="0" applyNumberFormat="1" applyFont="1" applyFill="1"/>
    <xf numFmtId="167" fontId="19" fillId="11" borderId="0" xfId="0" applyNumberFormat="1" applyFont="1" applyFill="1"/>
    <xf numFmtId="167" fontId="40" fillId="0" borderId="0" xfId="0" applyNumberFormat="1" applyFont="1"/>
    <xf numFmtId="167" fontId="18" fillId="14" borderId="0" xfId="0" applyNumberFormat="1" applyFont="1" applyFill="1"/>
    <xf numFmtId="167" fontId="18" fillId="15" borderId="0" xfId="0" applyNumberFormat="1" applyFont="1" applyFill="1"/>
    <xf numFmtId="167" fontId="25" fillId="6" borderId="0" xfId="0" applyNumberFormat="1" applyFont="1" applyFill="1"/>
    <xf numFmtId="0" fontId="0" fillId="24" borderId="0" xfId="0" applyFill="1"/>
    <xf numFmtId="0" fontId="41" fillId="2" borderId="0" xfId="0" applyFont="1" applyFill="1" applyAlignment="1">
      <alignment vertical="center" wrapText="1"/>
    </xf>
    <xf numFmtId="0" fontId="0" fillId="25" borderId="0" xfId="0" applyFill="1"/>
    <xf numFmtId="0" fontId="14" fillId="25" borderId="0" xfId="0" applyFont="1" applyFill="1"/>
    <xf numFmtId="0" fontId="9" fillId="26" borderId="0" xfId="0" applyFont="1" applyFill="1"/>
    <xf numFmtId="166" fontId="9" fillId="26" borderId="0" xfId="0" applyNumberFormat="1" applyFont="1" applyFill="1"/>
    <xf numFmtId="0" fontId="0" fillId="0" borderId="0" xfId="0" applyAlignment="1">
      <alignment wrapText="1"/>
    </xf>
    <xf numFmtId="0" fontId="0" fillId="0" borderId="0" xfId="0" applyFill="1" applyBorder="1" applyAlignment="1">
      <alignment wrapText="1"/>
    </xf>
    <xf numFmtId="169" fontId="0" fillId="0" borderId="0" xfId="0" applyNumberFormat="1"/>
    <xf numFmtId="0" fontId="0" fillId="27" borderId="0" xfId="0" applyFill="1"/>
    <xf numFmtId="0" fontId="14" fillId="27" borderId="0" xfId="0" applyFont="1" applyFill="1"/>
    <xf numFmtId="0" fontId="27" fillId="27" borderId="0" xfId="0" applyFont="1" applyFill="1"/>
    <xf numFmtId="0" fontId="14" fillId="28" borderId="0" xfId="0" applyFont="1" applyFill="1"/>
    <xf numFmtId="0" fontId="0" fillId="29" borderId="0" xfId="0" applyFill="1"/>
    <xf numFmtId="0" fontId="0" fillId="30" borderId="0" xfId="0" applyFill="1"/>
    <xf numFmtId="166" fontId="0" fillId="29" borderId="0" xfId="0" applyNumberFormat="1" applyFill="1"/>
    <xf numFmtId="166" fontId="0" fillId="30" borderId="0" xfId="0" applyNumberFormat="1" applyFill="1"/>
    <xf numFmtId="0" fontId="42" fillId="30" borderId="0" xfId="0" applyFont="1" applyFill="1"/>
    <xf numFmtId="0" fontId="0" fillId="29" borderId="0" xfId="0" applyFill="1"/>
    <xf numFmtId="165" fontId="43" fillId="29" borderId="0" xfId="0" applyNumberFormat="1" applyFont="1" applyFill="1"/>
    <xf numFmtId="0" fontId="0" fillId="30" borderId="0" xfId="0" applyFill="1"/>
    <xf numFmtId="165" fontId="43" fillId="30" borderId="0" xfId="0" applyNumberFormat="1" applyFont="1" applyFill="1"/>
    <xf numFmtId="0" fontId="9" fillId="29" borderId="0" xfId="0" applyFont="1" applyFill="1"/>
    <xf numFmtId="0" fontId="9" fillId="30" borderId="0" xfId="0" applyFont="1" applyFill="1"/>
    <xf numFmtId="0" fontId="44" fillId="0" borderId="0" xfId="0" applyFont="1"/>
    <xf numFmtId="0" fontId="0" fillId="31" borderId="0" xfId="0" applyFill="1"/>
    <xf numFmtId="0" fontId="0" fillId="32" borderId="0" xfId="0" applyFill="1"/>
    <xf numFmtId="166" fontId="0" fillId="32" borderId="0" xfId="0" applyNumberFormat="1" applyFill="1"/>
    <xf numFmtId="166" fontId="0" fillId="31" borderId="0" xfId="0" applyNumberFormat="1" applyFill="1"/>
    <xf numFmtId="166" fontId="0" fillId="33" borderId="0" xfId="0" applyNumberFormat="1" applyFill="1"/>
    <xf numFmtId="0" fontId="0" fillId="34" borderId="0" xfId="0" applyFill="1"/>
    <xf numFmtId="166" fontId="0" fillId="34" borderId="0" xfId="0" applyNumberFormat="1" applyFill="1"/>
    <xf numFmtId="0" fontId="0" fillId="35" borderId="0" xfId="0" applyFill="1"/>
    <xf numFmtId="166" fontId="0" fillId="35" borderId="0" xfId="0" applyNumberFormat="1" applyFill="1"/>
    <xf numFmtId="170" fontId="0" fillId="0" borderId="0" xfId="0" applyNumberFormat="1"/>
    <xf numFmtId="170" fontId="0" fillId="29" borderId="0" xfId="0" applyNumberFormat="1" applyFill="1"/>
    <xf numFmtId="170" fontId="0" fillId="30" borderId="0" xfId="0" applyNumberFormat="1" applyFill="1"/>
  </cellXfs>
  <cellStyles count="1">
    <cellStyle name="Normal" xfId="0" builtinId="0"/>
  </cellStyles>
  <dxfs count="112">
    <dxf>
      <font>
        <color rgb="FF14643C"/>
      </font>
      <fill>
        <patternFill patternType="solid">
          <fgColor indexed="64"/>
          <bgColor rgb="FFDDF1E4"/>
        </patternFill>
      </fill>
    </dxf>
    <dxf>
      <font>
        <color rgb="FF8C2424"/>
      </font>
      <fill>
        <patternFill patternType="solid">
          <fgColor indexed="64"/>
          <bgColor rgb="FFF8BFC0"/>
        </patternFill>
      </fill>
    </dxf>
    <dxf>
      <font>
        <color rgb="FF14643C"/>
      </font>
      <fill>
        <patternFill patternType="solid">
          <fgColor indexed="64"/>
          <bgColor rgb="FFDDF1E4"/>
        </patternFill>
      </fill>
    </dxf>
    <dxf>
      <font>
        <color rgb="FF735200"/>
      </font>
      <fill>
        <patternFill patternType="solid">
          <fgColor indexed="64"/>
          <bgColor rgb="FFFFF0C2"/>
        </patternFill>
      </fill>
    </dxf>
    <dxf>
      <font>
        <color rgb="FF8C2424"/>
      </font>
      <fill>
        <patternFill patternType="solid">
          <fgColor indexed="64"/>
          <bgColor rgb="FFF8DAD7"/>
        </patternFill>
      </fill>
    </dxf>
    <dxf>
      <font>
        <color rgb="FF42566A"/>
      </font>
      <fill>
        <patternFill patternType="solid">
          <fgColor indexed="64"/>
          <bgColor rgb="FFE8EDF0"/>
        </patternFill>
      </fill>
    </dxf>
    <dxf>
      <font>
        <color rgb="FF14643C"/>
      </font>
      <fill>
        <patternFill patternType="solid">
          <fgColor indexed="64"/>
          <bgColor rgb="FFDDF1E4"/>
        </patternFill>
      </fill>
    </dxf>
    <dxf>
      <font>
        <color rgb="FF735200"/>
      </font>
      <fill>
        <patternFill patternType="solid">
          <fgColor indexed="64"/>
          <bgColor rgb="FFFFF0C2"/>
        </patternFill>
      </fill>
    </dxf>
    <dxf>
      <font>
        <color rgb="FF8C2424"/>
      </font>
      <fill>
        <patternFill patternType="solid">
          <fgColor indexed="64"/>
          <bgColor rgb="FFF8DAD7"/>
        </patternFill>
      </fill>
    </dxf>
    <dxf>
      <font>
        <color rgb="FF14643C"/>
      </font>
      <fill>
        <patternFill patternType="solid">
          <fgColor indexed="64"/>
          <bgColor rgb="FFDDF1E4"/>
        </patternFill>
      </fill>
    </dxf>
    <dxf>
      <font>
        <color rgb="FF8C2424"/>
      </font>
      <fill>
        <patternFill patternType="solid">
          <fgColor indexed="64"/>
          <bgColor rgb="FFF8BFC0"/>
        </patternFill>
      </fill>
    </dxf>
    <dxf>
      <font>
        <color rgb="FF14643C"/>
      </font>
      <fill>
        <patternFill patternType="solid">
          <fgColor indexed="64"/>
          <bgColor rgb="FFDDF1E4"/>
        </patternFill>
      </fill>
    </dxf>
    <dxf>
      <font>
        <color rgb="FF735200"/>
      </font>
      <fill>
        <patternFill patternType="solid">
          <fgColor indexed="64"/>
          <bgColor rgb="FFFFF0C2"/>
        </patternFill>
      </fill>
    </dxf>
    <dxf>
      <font>
        <color rgb="FF8C2424"/>
      </font>
      <fill>
        <patternFill patternType="solid">
          <fgColor indexed="64"/>
          <bgColor rgb="FFF8DAD7"/>
        </patternFill>
      </fill>
    </dxf>
    <dxf>
      <font>
        <color rgb="FF8C2424"/>
      </font>
      <fill>
        <patternFill patternType="solid">
          <fgColor indexed="64"/>
          <bgColor rgb="FFF8BFC0"/>
        </patternFill>
      </fill>
    </dxf>
    <dxf>
      <font>
        <color rgb="FF14643C"/>
      </font>
      <fill>
        <patternFill patternType="solid">
          <fgColor indexed="64"/>
          <bgColor rgb="FFDDF1E4"/>
        </patternFill>
      </fill>
    </dxf>
    <dxf>
      <font>
        <color rgb="FF735200"/>
      </font>
      <fill>
        <patternFill patternType="solid">
          <fgColor indexed="64"/>
          <bgColor rgb="FFFFF0C2"/>
        </patternFill>
      </fill>
    </dxf>
    <dxf>
      <font>
        <color rgb="FF8C2424"/>
      </font>
      <fill>
        <patternFill patternType="solid">
          <fgColor indexed="64"/>
          <bgColor rgb="FFF8DAD7"/>
        </patternFill>
      </fill>
    </dxf>
    <dxf>
      <font>
        <color rgb="FF14643C"/>
      </font>
      <fill>
        <patternFill patternType="solid">
          <fgColor indexed="64"/>
          <bgColor rgb="FFDDF1E4"/>
        </patternFill>
      </fill>
    </dxf>
    <dxf>
      <font>
        <color rgb="FF735200"/>
      </font>
      <fill>
        <patternFill patternType="solid">
          <fgColor indexed="64"/>
          <bgColor rgb="FFFFF0C2"/>
        </patternFill>
      </fill>
    </dxf>
    <dxf>
      <font>
        <color rgb="FF8C2424"/>
      </font>
      <fill>
        <patternFill patternType="solid">
          <fgColor indexed="64"/>
          <bgColor rgb="FFF8DAD7"/>
        </patternFill>
      </fill>
    </dxf>
    <dxf>
      <font>
        <color rgb="FF14643C"/>
      </font>
      <fill>
        <patternFill patternType="solid">
          <fgColor indexed="64"/>
          <bgColor rgb="FFDDF1E4"/>
        </patternFill>
      </fill>
    </dxf>
    <dxf>
      <font>
        <color rgb="FF735200"/>
      </font>
      <fill>
        <patternFill patternType="solid">
          <fgColor indexed="64"/>
          <bgColor rgb="FFFFF0C2"/>
        </patternFill>
      </fill>
    </dxf>
    <dxf>
      <font>
        <color rgb="FF8C2424"/>
      </font>
      <fill>
        <patternFill patternType="solid">
          <fgColor indexed="64"/>
          <bgColor rgb="FFF8DAD7"/>
        </patternFill>
      </fill>
    </dxf>
    <dxf>
      <font>
        <color rgb="FF14643C"/>
      </font>
      <fill>
        <patternFill patternType="solid">
          <fgColor indexed="64"/>
          <bgColor rgb="FFDDF1E4"/>
        </patternFill>
      </fill>
    </dxf>
    <dxf>
      <font>
        <color rgb="FF735200"/>
      </font>
      <fill>
        <patternFill patternType="solid">
          <fgColor indexed="64"/>
          <bgColor rgb="FFFFF0C2"/>
        </patternFill>
      </fill>
    </dxf>
    <dxf>
      <font>
        <color rgb="FF8C2424"/>
      </font>
      <fill>
        <patternFill patternType="solid">
          <fgColor indexed="64"/>
          <bgColor rgb="FFF8DAD7"/>
        </patternFill>
      </fill>
    </dxf>
    <dxf>
      <font>
        <color rgb="FF14643C"/>
      </font>
      <fill>
        <patternFill patternType="solid">
          <fgColor indexed="64"/>
          <bgColor rgb="FFDDF1E4"/>
        </patternFill>
      </fill>
    </dxf>
    <dxf>
      <font>
        <color rgb="FF735200"/>
      </font>
      <fill>
        <patternFill patternType="solid">
          <fgColor indexed="64"/>
          <bgColor rgb="FFFFF0C2"/>
        </patternFill>
      </fill>
    </dxf>
    <dxf>
      <font>
        <color rgb="FF8C2424"/>
      </font>
      <fill>
        <patternFill patternType="solid">
          <fgColor indexed="64"/>
          <bgColor rgb="FFF8DAD7"/>
        </patternFill>
      </fill>
    </dxf>
    <dxf>
      <font>
        <color rgb="FF8C2424"/>
      </font>
      <fill>
        <patternFill patternType="solid">
          <fgColor indexed="64"/>
          <bgColor rgb="FFF8DAD7"/>
        </patternFill>
      </fill>
    </dxf>
    <dxf>
      <font>
        <color rgb="FF14643C"/>
      </font>
      <fill>
        <patternFill patternType="solid">
          <fgColor indexed="64"/>
          <bgColor rgb="FFDDF1E4"/>
        </patternFill>
      </fill>
    </dxf>
    <dxf>
      <font>
        <color rgb="FF8C2424"/>
      </font>
      <fill>
        <patternFill patternType="solid">
          <fgColor indexed="64"/>
          <bgColor rgb="FFF8BFC0"/>
        </patternFill>
      </fill>
    </dxf>
    <dxf>
      <numFmt numFmtId="167" formatCode="#,##0;\(#,##0\);\–"/>
    </dxf>
    <dxf>
      <numFmt numFmtId="167" formatCode="#,##0;\(#,##0\);\–"/>
    </dxf>
    <dxf>
      <numFmt numFmtId="167" formatCode="#,##0;\(#,##0\);\–"/>
    </dxf>
    <dxf>
      <numFmt numFmtId="167" formatCode="#,##0;\(#,##0\);\–"/>
    </dxf>
    <dxf>
      <numFmt numFmtId="167" formatCode="#,##0;\(#,##0\);\–"/>
    </dxf>
    <dxf>
      <numFmt numFmtId="167" formatCode="#,##0;\(#,##0\);\–"/>
    </dxf>
    <dxf>
      <numFmt numFmtId="167" formatCode="#,##0;\(#,##0\);\–"/>
    </dxf>
    <dxf>
      <font>
        <color rgb="FF087D91"/>
      </font>
    </dxf>
    <dxf>
      <font>
        <color rgb="FF087D91"/>
      </font>
    </dxf>
    <dxf>
      <font>
        <color rgb="FF087D91"/>
      </font>
    </dxf>
    <dxf>
      <font>
        <color rgb="FF087D91"/>
      </font>
    </dxf>
    <dxf>
      <font>
        <color rgb="FF526A7B"/>
      </font>
    </dxf>
    <dxf>
      <font>
        <color rgb="FF526A7B"/>
      </font>
    </dxf>
    <dxf>
      <font>
        <color rgb="FF526A7B"/>
      </font>
    </dxf>
    <dxf>
      <font>
        <color rgb="FF526A7B"/>
      </font>
    </dxf>
    <dxf>
      <font>
        <color rgb="FF526A7B"/>
      </font>
    </dxf>
    <dxf>
      <font>
        <color rgb="FF526A7B"/>
      </font>
    </dxf>
    <dxf>
      <font>
        <b/>
      </font>
    </dxf>
    <dxf>
      <font>
        <b/>
      </font>
    </dxf>
    <dxf>
      <font>
        <color rgb="FF19364B"/>
      </font>
    </dxf>
    <dxf>
      <font>
        <color rgb="FF19364B"/>
      </font>
    </dxf>
    <dxf>
      <fill>
        <patternFill patternType="solid">
          <fgColor indexed="64"/>
          <bgColor rgb="FFE9F1F5"/>
        </patternFill>
      </fill>
    </dxf>
    <dxf>
      <fill>
        <patternFill patternType="solid">
          <fgColor indexed="64"/>
          <bgColor rgb="FFE9F1F5"/>
        </patternFill>
      </fill>
    </dxf>
    <dxf>
      <font>
        <b/>
      </font>
    </dxf>
    <dxf>
      <font>
        <b/>
      </font>
    </dxf>
    <dxf>
      <font>
        <color rgb="FF19364B"/>
      </font>
    </dxf>
    <dxf>
      <font>
        <color rgb="FF19364B"/>
      </font>
    </dxf>
    <dxf>
      <fill>
        <patternFill patternType="solid">
          <fgColor indexed="64"/>
          <bgColor rgb="FFE9F1F5"/>
        </patternFill>
      </fill>
    </dxf>
    <dxf>
      <fill>
        <patternFill patternType="solid">
          <fgColor indexed="64"/>
          <bgColor rgb="FFE9F1F5"/>
        </patternFill>
      </fill>
    </dxf>
    <dxf>
      <font>
        <b/>
      </font>
    </dxf>
    <dxf>
      <font>
        <b/>
      </font>
    </dxf>
    <dxf>
      <font>
        <color rgb="FFFFFFFF"/>
      </font>
    </dxf>
    <dxf>
      <font>
        <color rgb="FFFFFFFF"/>
      </font>
    </dxf>
    <dxf>
      <fill>
        <patternFill patternType="solid">
          <fgColor indexed="64"/>
          <bgColor rgb="FF19364B"/>
        </patternFill>
      </fill>
    </dxf>
    <dxf>
      <fill>
        <patternFill patternType="solid">
          <fgColor indexed="64"/>
          <bgColor rgb="FF19364B"/>
        </patternFill>
      </fill>
    </dxf>
    <dxf>
      <font>
        <b/>
      </font>
    </dxf>
    <dxf>
      <font>
        <b/>
      </font>
    </dxf>
    <dxf>
      <font>
        <color rgb="FFFFFFFF"/>
      </font>
    </dxf>
    <dxf>
      <font>
        <color rgb="FFFFFFFF"/>
      </font>
    </dxf>
    <dxf>
      <fill>
        <patternFill patternType="solid">
          <fgColor indexed="64"/>
          <bgColor rgb="FF19364B"/>
        </patternFill>
      </fill>
    </dxf>
    <dxf>
      <fill>
        <patternFill patternType="solid">
          <fgColor indexed="64"/>
          <bgColor rgb="FF19364B"/>
        </patternFill>
      </fill>
    </dxf>
    <dxf>
      <font>
        <color rgb="FF087D91"/>
      </font>
    </dxf>
    <dxf>
      <font>
        <color rgb="FF087D91"/>
      </font>
    </dxf>
    <dxf>
      <font>
        <color rgb="FF526A7B"/>
      </font>
    </dxf>
    <dxf>
      <font>
        <color rgb="FF526A7B"/>
      </font>
    </dxf>
    <dxf>
      <font>
        <color rgb="FF526A7B"/>
      </font>
    </dxf>
    <dxf>
      <font>
        <b/>
      </font>
    </dxf>
    <dxf>
      <font>
        <b/>
      </font>
    </dxf>
    <dxf>
      <font>
        <color rgb="FF19364B"/>
      </font>
    </dxf>
    <dxf>
      <font>
        <color rgb="FF19364B"/>
      </font>
    </dxf>
    <dxf>
      <fill>
        <patternFill patternType="solid">
          <fgColor indexed="64"/>
          <bgColor rgb="FFE9F1F5"/>
        </patternFill>
      </fill>
    </dxf>
    <dxf>
      <fill>
        <patternFill patternType="solid">
          <fgColor indexed="64"/>
          <bgColor rgb="FFE9F1F5"/>
        </patternFill>
      </fill>
    </dxf>
    <dxf>
      <font>
        <b/>
      </font>
    </dxf>
    <dxf>
      <font>
        <b/>
      </font>
    </dxf>
    <dxf>
      <font>
        <color rgb="FFFFFFFF"/>
      </font>
    </dxf>
    <dxf>
      <font>
        <color rgb="FFFFFFFF"/>
      </font>
    </dxf>
    <dxf>
      <fill>
        <patternFill patternType="solid">
          <fgColor indexed="64"/>
          <bgColor rgb="FF19364B"/>
        </patternFill>
      </fill>
    </dxf>
    <dxf>
      <fill>
        <patternFill patternType="solid">
          <fgColor indexed="64"/>
          <bgColor rgb="FF19364B"/>
        </patternFill>
      </fill>
    </dxf>
    <dxf>
      <font>
        <b/>
        <color rgb="FFFFFFFF"/>
      </font>
      <fill>
        <patternFill patternType="solid">
          <fgColor indexed="64"/>
          <bgColor rgb="FF19364B"/>
        </patternFill>
      </fill>
    </dxf>
    <dxf>
      <font>
        <b/>
      </font>
    </dxf>
    <dxf>
      <font>
        <b/>
      </font>
    </dxf>
    <dxf>
      <font>
        <color rgb="FFFFFFFF"/>
      </font>
    </dxf>
    <dxf>
      <font>
        <color rgb="FFFFFFFF"/>
      </font>
    </dxf>
    <dxf>
      <fill>
        <patternFill patternType="solid">
          <fgColor indexed="64"/>
          <bgColor rgb="FF28566D"/>
        </patternFill>
      </fill>
    </dxf>
    <dxf>
      <fill>
        <patternFill patternType="solid">
          <fgColor indexed="64"/>
          <bgColor rgb="FF28566D"/>
        </patternFill>
      </fill>
    </dxf>
    <dxf>
      <font>
        <b/>
      </font>
    </dxf>
    <dxf>
      <font>
        <b/>
      </font>
    </dxf>
    <dxf>
      <font>
        <color rgb="FFFFFFFF"/>
      </font>
    </dxf>
    <dxf>
      <font>
        <color rgb="FFFFFFFF"/>
      </font>
    </dxf>
    <dxf>
      <fill>
        <patternFill patternType="solid">
          <fgColor indexed="64"/>
          <bgColor rgb="FF28566D"/>
        </patternFill>
      </fill>
    </dxf>
    <dxf>
      <fill>
        <patternFill patternType="solid">
          <fgColor indexed="64"/>
          <bgColor rgb="FF28566D"/>
        </patternFill>
      </fill>
    </dxf>
    <dxf>
      <font>
        <b/>
      </font>
    </dxf>
    <dxf>
      <font>
        <b/>
      </font>
    </dxf>
    <dxf>
      <font>
        <color rgb="FFFFFFFF"/>
      </font>
    </dxf>
    <dxf>
      <font>
        <color rgb="FFFFFFFF"/>
      </font>
    </dxf>
    <dxf>
      <fill>
        <patternFill patternType="solid">
          <fgColor indexed="64"/>
          <bgColor rgb="FF28566D"/>
        </patternFill>
      </fill>
    </dxf>
    <dxf>
      <fill>
        <patternFill patternType="solid">
          <fgColor indexed="64"/>
          <bgColor rgb="FF28566D"/>
        </patternFill>
      </fill>
    </dxf>
    <dxf>
      <numFmt numFmtId="166" formatCode="#,##0;[Red]\(#,##0\);\–"/>
    </dxf>
    <dxf>
      <numFmt numFmtId="166" formatCode="#,##0;[Red]\(#,##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Budsjett og regnskap per bokført måned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manualLayout>
          <c:layoutTarget val="inner"/>
          <c:xMode val="edge"/>
          <c:yMode val="edge"/>
          <c:x val="8.0249019038016511E-2"/>
          <c:y val="0.14396896911429269"/>
          <c:w val="0.90472750530257717"/>
          <c:h val="0.70134667466625022"/>
        </c:manualLayout>
      </c:layout>
      <c:lineChart>
        <c:grouping val="standard"/>
        <c:varyColors val="0"/>
        <c:ser>
          <c:idx val="0"/>
          <c:order val="0"/>
          <c:tx>
            <c:strRef>
              <c:f>'Chart Data'!$E$1</c:f>
              <c:strCache>
                <c:ptCount val="1"/>
                <c:pt idx="0">
                  <c:v>Budsjett (kr)</c:v>
                </c:pt>
              </c:strCache>
            </c:strRef>
          </c:tx>
          <c:spPr>
            <a:ln w="28575" cap="rnd">
              <a:solidFill>
                <a:srgbClr val="526A7B"/>
              </a:solidFill>
              <a:prstDash val="solid"/>
              <a:round/>
            </a:ln>
            <a:effectLst/>
          </c:spPr>
          <c:marker>
            <c:symbol val="none"/>
          </c:marker>
          <c:cat>
            <c:strRef>
              <c:f>'Chart Data'!$D$2:$D$9</c:f>
              <c:strCache>
                <c:ptCount val="8"/>
                <c:pt idx="0">
                  <c:v>2024-01</c:v>
                </c:pt>
                <c:pt idx="1">
                  <c:v>2024-02</c:v>
                </c:pt>
                <c:pt idx="2">
                  <c:v>2024-03</c:v>
                </c:pt>
                <c:pt idx="3">
                  <c:v>2024-04</c:v>
                </c:pt>
                <c:pt idx="4">
                  <c:v>2024-05</c:v>
                </c:pt>
                <c:pt idx="5">
                  <c:v>2024-06</c:v>
                </c:pt>
                <c:pt idx="6">
                  <c:v>2024-07</c:v>
                </c:pt>
                <c:pt idx="7">
                  <c:v>2024-08</c:v>
                </c:pt>
              </c:strCache>
            </c:strRef>
          </c:cat>
          <c:val>
            <c:numRef>
              <c:f>'Chart Data'!$E$2:$E$9</c:f>
              <c:numCache>
                <c:formatCode>#,##0;[Red]\(#,##0\);\–</c:formatCode>
                <c:ptCount val="8"/>
                <c:pt idx="0">
                  <c:v>1403337</c:v>
                </c:pt>
                <c:pt idx="1">
                  <c:v>1410893</c:v>
                </c:pt>
                <c:pt idx="2">
                  <c:v>1342381</c:v>
                </c:pt>
                <c:pt idx="3">
                  <c:v>2357359</c:v>
                </c:pt>
                <c:pt idx="4">
                  <c:v>1544215</c:v>
                </c:pt>
                <c:pt idx="5">
                  <c:v>241681</c:v>
                </c:pt>
                <c:pt idx="6">
                  <c:v>1512209</c:v>
                </c:pt>
                <c:pt idx="7">
                  <c:v>1525162</c:v>
                </c:pt>
              </c:numCache>
            </c:numRef>
          </c:val>
          <c:smooth val="0"/>
          <c:extLst>
            <c:ext xmlns:c16="http://schemas.microsoft.com/office/drawing/2014/chart" uri="{C3380CC4-5D6E-409C-BE32-E72D297353CC}">
              <c16:uniqueId val="{00000000-05A5-48FE-9357-207AD20DD0F0}"/>
            </c:ext>
          </c:extLst>
        </c:ser>
        <c:ser>
          <c:idx val="1"/>
          <c:order val="1"/>
          <c:tx>
            <c:strRef>
              <c:f>'Chart Data'!$F$1</c:f>
              <c:strCache>
                <c:ptCount val="1"/>
                <c:pt idx="0">
                  <c:v>Regnskap (kr)</c:v>
                </c:pt>
              </c:strCache>
            </c:strRef>
          </c:tx>
          <c:spPr>
            <a:ln w="28575" cap="rnd">
              <a:solidFill>
                <a:srgbClr val="087D91"/>
              </a:solidFill>
              <a:prstDash val="solid"/>
              <a:round/>
            </a:ln>
            <a:effectLst/>
          </c:spPr>
          <c:marker>
            <c:symbol val="none"/>
          </c:marker>
          <c:cat>
            <c:strRef>
              <c:f>'Chart Data'!$D$2:$D$9</c:f>
              <c:strCache>
                <c:ptCount val="8"/>
                <c:pt idx="0">
                  <c:v>2024-01</c:v>
                </c:pt>
                <c:pt idx="1">
                  <c:v>2024-02</c:v>
                </c:pt>
                <c:pt idx="2">
                  <c:v>2024-03</c:v>
                </c:pt>
                <c:pt idx="3">
                  <c:v>2024-04</c:v>
                </c:pt>
                <c:pt idx="4">
                  <c:v>2024-05</c:v>
                </c:pt>
                <c:pt idx="5">
                  <c:v>2024-06</c:v>
                </c:pt>
                <c:pt idx="6">
                  <c:v>2024-07</c:v>
                </c:pt>
                <c:pt idx="7">
                  <c:v>2024-08</c:v>
                </c:pt>
              </c:strCache>
            </c:strRef>
          </c:cat>
          <c:val>
            <c:numRef>
              <c:f>'Chart Data'!$F$2:$F$9</c:f>
              <c:numCache>
                <c:formatCode>#,##0;[Red]\(#,##0\);\–</c:formatCode>
                <c:ptCount val="8"/>
                <c:pt idx="0">
                  <c:v>1014751.5</c:v>
                </c:pt>
                <c:pt idx="1">
                  <c:v>2082089.7899999998</c:v>
                </c:pt>
                <c:pt idx="2">
                  <c:v>1541248.5099999995</c:v>
                </c:pt>
                <c:pt idx="3">
                  <c:v>2256715.6599999997</c:v>
                </c:pt>
                <c:pt idx="4">
                  <c:v>1613436.8400000003</c:v>
                </c:pt>
                <c:pt idx="5">
                  <c:v>519336.23</c:v>
                </c:pt>
                <c:pt idx="6">
                  <c:v>1837523.07</c:v>
                </c:pt>
                <c:pt idx="7">
                  <c:v>1757749.82</c:v>
                </c:pt>
              </c:numCache>
            </c:numRef>
          </c:val>
          <c:smooth val="0"/>
          <c:extLst>
            <c:ext xmlns:c16="http://schemas.microsoft.com/office/drawing/2014/chart" uri="{C3380CC4-5D6E-409C-BE32-E72D297353CC}">
              <c16:uniqueId val="{00000001-05A5-48FE-9357-207AD20DD0F0}"/>
            </c:ext>
          </c:extLst>
        </c:ser>
        <c:dLbls>
          <c:showLegendKey val="0"/>
          <c:showVal val="0"/>
          <c:showCatName val="0"/>
          <c:showSerName val="0"/>
          <c:showPercent val="0"/>
          <c:showBubbleSize val="0"/>
        </c:dLbls>
        <c:smooth val="0"/>
        <c:axId val="45804704"/>
        <c:axId val="1896781199"/>
      </c:lineChart>
      <c:catAx>
        <c:axId val="45804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896781199"/>
        <c:crosses val="autoZero"/>
        <c:auto val="1"/>
        <c:lblAlgn val="ctr"/>
        <c:lblOffset val="100"/>
        <c:noMultiLvlLbl val="0"/>
      </c:catAx>
      <c:valAx>
        <c:axId val="1896781199"/>
        <c:scaling>
          <c:orientation val="minMax"/>
          <c:min val="-100000"/>
        </c:scaling>
        <c:delete val="0"/>
        <c:axPos val="l"/>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45804704"/>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Topp 10 konti · positivt merforbruk</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manualLayout>
          <c:layoutTarget val="inner"/>
          <c:xMode val="edge"/>
          <c:yMode val="edge"/>
          <c:x val="0.11910368809360058"/>
          <c:y val="0.1034949310788878"/>
          <c:w val="0.53375644165606562"/>
          <c:h val="0.77260328389539568"/>
        </c:manualLayout>
      </c:layout>
      <c:barChart>
        <c:barDir val="bar"/>
        <c:grouping val="clustered"/>
        <c:varyColors val="0"/>
        <c:ser>
          <c:idx val="0"/>
          <c:order val="0"/>
          <c:tx>
            <c:strRef>
              <c:f>'Chart Data'!$T$1</c:f>
              <c:strCache>
                <c:ptCount val="1"/>
                <c:pt idx="0">
                  <c:v>Merforbruk (kr)</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Data'!$S$2:$S$11</c:f>
              <c:strCache>
                <c:ptCount val="10"/>
                <c:pt idx="0">
                  <c:v>102013 · Vikar - korttidsfravær</c:v>
                </c:pt>
                <c:pt idx="1">
                  <c:v>105000 · Lærlinger</c:v>
                </c:pt>
                <c:pt idx="2">
                  <c:v>102000 · Vikar - sykefravær - med refusjon</c:v>
                </c:pt>
                <c:pt idx="3">
                  <c:v>102032 · Vikar - helligdagstillegg</c:v>
                </c:pt>
                <c:pt idx="4">
                  <c:v>109999 · Arbeidsgiveravgift</c:v>
                </c:pt>
                <c:pt idx="5">
                  <c:v>102030 · Vikar - lørdags- og søndagstillegg</c:v>
                </c:pt>
                <c:pt idx="6">
                  <c:v>103000 · Ekstrahjelp</c:v>
                </c:pt>
                <c:pt idx="7">
                  <c:v>104000 · Overtidslønn</c:v>
                </c:pt>
                <c:pt idx="8">
                  <c:v>102031 · Vikar - kvelds- og nattillegg</c:v>
                </c:pt>
                <c:pt idx="9">
                  <c:v>127040 · Kjøp av vikarbyråtjenester</c:v>
                </c:pt>
              </c:strCache>
            </c:strRef>
          </c:cat>
          <c:val>
            <c:numRef>
              <c:f>'Chart Data'!$T$2:$T$11</c:f>
              <c:numCache>
                <c:formatCode>#,##0;[Red]\(#,##0\);\–</c:formatCode>
                <c:ptCount val="10"/>
                <c:pt idx="0">
                  <c:v>61454.03</c:v>
                </c:pt>
                <c:pt idx="1">
                  <c:v>69677.58</c:v>
                </c:pt>
                <c:pt idx="2">
                  <c:v>79100.030000000013</c:v>
                </c:pt>
                <c:pt idx="3">
                  <c:v>93469.76999999999</c:v>
                </c:pt>
                <c:pt idx="4">
                  <c:v>101614.13</c:v>
                </c:pt>
                <c:pt idx="5">
                  <c:v>140747.32</c:v>
                </c:pt>
                <c:pt idx="6">
                  <c:v>141648.70000000001</c:v>
                </c:pt>
                <c:pt idx="7">
                  <c:v>185571.85</c:v>
                </c:pt>
                <c:pt idx="8">
                  <c:v>259304.09000000003</c:v>
                </c:pt>
                <c:pt idx="9">
                  <c:v>382656</c:v>
                </c:pt>
              </c:numCache>
            </c:numRef>
          </c:val>
          <c:extLst>
            <c:ext xmlns:c16="http://schemas.microsoft.com/office/drawing/2014/chart" uri="{C3380CC4-5D6E-409C-BE32-E72D297353CC}">
              <c16:uniqueId val="{00000000-EAE3-410D-953E-9E2063FFE953}"/>
            </c:ext>
          </c:extLst>
        </c:ser>
        <c:dLbls>
          <c:showLegendKey val="0"/>
          <c:showVal val="0"/>
          <c:showCatName val="0"/>
          <c:showSerName val="0"/>
          <c:showPercent val="0"/>
          <c:showBubbleSize val="0"/>
        </c:dLbls>
        <c:gapWidth val="182"/>
        <c:axId val="1041801583"/>
        <c:axId val="1896694319"/>
      </c:barChart>
      <c:catAx>
        <c:axId val="10418015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896694319"/>
        <c:crosses val="autoZero"/>
        <c:auto val="1"/>
        <c:lblAlgn val="ctr"/>
        <c:lblOffset val="100"/>
        <c:noMultiLvlLbl val="0"/>
      </c:catAx>
      <c:valAx>
        <c:axId val="1896694319"/>
        <c:scaling>
          <c:orientation val="minMax"/>
          <c:max val="500000"/>
          <c:min val="0"/>
        </c:scaling>
        <c:delete val="0"/>
        <c:axPos val="b"/>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041801583"/>
        <c:crosses val="autoZero"/>
        <c:crossBetween val="between"/>
        <c:dispUnits>
          <c:builtInUnit val="thousand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dispUnitsLbl>
        </c:dispUnits>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Avvik etter hovedgruppe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barChart>
        <c:barDir val="bar"/>
        <c:grouping val="clustered"/>
        <c:varyColors val="0"/>
        <c:ser>
          <c:idx val="0"/>
          <c:order val="0"/>
          <c:tx>
            <c:strRef>
              <c:f>'Chart Data'!$W$1</c:f>
              <c:strCache>
                <c:ptCount val="1"/>
                <c:pt idx="0">
                  <c:v>Merforbruk (kr)</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Data'!$V$2:$V$4</c:f>
              <c:strCache>
                <c:ptCount val="3"/>
                <c:pt idx="0">
                  <c:v>3 Inntekter</c:v>
                </c:pt>
                <c:pt idx="1">
                  <c:v>2 Utgifter</c:v>
                </c:pt>
                <c:pt idx="2">
                  <c:v>1 Lønn</c:v>
                </c:pt>
              </c:strCache>
            </c:strRef>
          </c:cat>
          <c:val>
            <c:numRef>
              <c:f>'Chart Data'!$W$2:$W$4</c:f>
              <c:numCache>
                <c:formatCode>#,##0;[Red]\(#,##0\);\–</c:formatCode>
                <c:ptCount val="3"/>
                <c:pt idx="0">
                  <c:v>-8172</c:v>
                </c:pt>
                <c:pt idx="1">
                  <c:v>144114.08000000019</c:v>
                </c:pt>
                <c:pt idx="2">
                  <c:v>1149672.3400000005</c:v>
                </c:pt>
              </c:numCache>
            </c:numRef>
          </c:val>
          <c:extLst>
            <c:ext xmlns:c16="http://schemas.microsoft.com/office/drawing/2014/chart" uri="{C3380CC4-5D6E-409C-BE32-E72D297353CC}">
              <c16:uniqueId val="{00000000-B726-45E1-88DF-372A48FC53F1}"/>
            </c:ext>
          </c:extLst>
        </c:ser>
        <c:dLbls>
          <c:showLegendKey val="0"/>
          <c:showVal val="0"/>
          <c:showCatName val="0"/>
          <c:showSerName val="0"/>
          <c:showPercent val="0"/>
          <c:showBubbleSize val="0"/>
        </c:dLbls>
        <c:gapWidth val="182"/>
        <c:axId val="1041838703"/>
        <c:axId val="1896702959"/>
      </c:barChart>
      <c:catAx>
        <c:axId val="10418387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896702959"/>
        <c:crosses val="autoZero"/>
        <c:auto val="1"/>
        <c:lblAlgn val="ctr"/>
        <c:lblOffset val="100"/>
        <c:noMultiLvlLbl val="0"/>
      </c:catAx>
      <c:valAx>
        <c:axId val="1896702959"/>
        <c:scaling>
          <c:orientation val="minMax"/>
          <c:max val="1300000"/>
          <c:min val="-150000"/>
        </c:scaling>
        <c:delete val="0"/>
        <c:axPos val="b"/>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041838703"/>
        <c:crosses val="autoZero"/>
        <c:crossBetween val="between"/>
        <c:dispUnits>
          <c:builtInUnit val="million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dispUnitsLbl>
        </c:dispUnits>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Undergruppeavvik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barChart>
        <c:barDir val="bar"/>
        <c:grouping val="clustered"/>
        <c:varyColors val="0"/>
        <c:ser>
          <c:idx val="0"/>
          <c:order val="0"/>
          <c:tx>
            <c:strRef>
              <c:f>'Chart Data'!$Y$1</c:f>
              <c:strCache>
                <c:ptCount val="1"/>
                <c:pt idx="0">
                  <c:v>Merforbruk (kr)</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Data'!$X$2:$X$7</c:f>
              <c:strCache>
                <c:ptCount val="6"/>
                <c:pt idx="0">
                  <c:v>17 Refusjoner</c:v>
                </c:pt>
                <c:pt idx="1">
                  <c:v>16 Brukerbetaling</c:v>
                </c:pt>
                <c:pt idx="2">
                  <c:v>14 Overføringer</c:v>
                </c:pt>
                <c:pt idx="3">
                  <c:v>15 Finansutgifter</c:v>
                </c:pt>
                <c:pt idx="4">
                  <c:v>11 Refusjon lønn</c:v>
                </c:pt>
                <c:pt idx="5">
                  <c:v>10 Lønn</c:v>
                </c:pt>
              </c:strCache>
            </c:strRef>
          </c:cat>
          <c:val>
            <c:numRef>
              <c:f>'Chart Data'!$Y$2:$Y$7</c:f>
              <c:numCache>
                <c:formatCode>#,##0;[Red]\(#,##0\);\–</c:formatCode>
                <c:ptCount val="6"/>
                <c:pt idx="0">
                  <c:v>-8060</c:v>
                </c:pt>
                <c:pt idx="1">
                  <c:v>-112</c:v>
                </c:pt>
                <c:pt idx="2">
                  <c:v>0</c:v>
                </c:pt>
                <c:pt idx="3">
                  <c:v>9.27</c:v>
                </c:pt>
                <c:pt idx="4">
                  <c:v>127784.81000000016</c:v>
                </c:pt>
                <c:pt idx="5">
                  <c:v>1165992.3400000005</c:v>
                </c:pt>
              </c:numCache>
            </c:numRef>
          </c:val>
          <c:extLst>
            <c:ext xmlns:c16="http://schemas.microsoft.com/office/drawing/2014/chart" uri="{C3380CC4-5D6E-409C-BE32-E72D297353CC}">
              <c16:uniqueId val="{00000000-2194-4053-B8C5-F53F5C702924}"/>
            </c:ext>
          </c:extLst>
        </c:ser>
        <c:dLbls>
          <c:showLegendKey val="0"/>
          <c:showVal val="0"/>
          <c:showCatName val="0"/>
          <c:showSerName val="0"/>
          <c:showPercent val="0"/>
          <c:showBubbleSize val="0"/>
        </c:dLbls>
        <c:gapWidth val="182"/>
        <c:axId val="1794386143"/>
        <c:axId val="1896704399"/>
      </c:barChart>
      <c:catAx>
        <c:axId val="17943861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896704399"/>
        <c:crosses val="autoZero"/>
        <c:auto val="1"/>
        <c:lblAlgn val="ctr"/>
        <c:lblOffset val="100"/>
        <c:noMultiLvlLbl val="0"/>
      </c:catAx>
      <c:valAx>
        <c:axId val="1896704399"/>
        <c:scaling>
          <c:orientation val="minMax"/>
          <c:max val="1300000"/>
          <c:min val="-100000"/>
        </c:scaling>
        <c:delete val="0"/>
        <c:axPos val="b"/>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794386143"/>
        <c:crosses val="autoZero"/>
        <c:crossBetween val="between"/>
        <c:dispUnits>
          <c:builtInUnit val="million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dispUnitsLbl>
        </c:dispUnits>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a:pPr>
            <a:r>
              <a:rPr lang="en-US"/>
              <a:t>Månedsavvik </a:t>
            </a:r>
          </a:p>
        </c:rich>
      </c:tx>
      <c:overlay val="0"/>
    </c:title>
    <c:autoTitleDeleted val="0"/>
    <c:plotArea>
      <c:layout/>
      <c:barChart>
        <c:barDir val="col"/>
        <c:grouping val="stacked"/>
        <c:varyColors val="0"/>
        <c:ser>
          <c:idx val="0"/>
          <c:order val="0"/>
          <c:tx>
            <c:strRef>
              <c:f>'Chart Data'!$AB$1</c:f>
              <c:strCache>
                <c:ptCount val="1"/>
                <c:pt idx="0">
                  <c:v>Merforbruk &gt; 0 (kr)</c:v>
                </c:pt>
              </c:strCache>
            </c:strRef>
          </c:tx>
          <c:spPr>
            <a:solidFill>
              <a:srgbClr val="F8BFC0"/>
            </a:solidFill>
            <a:ln>
              <a:noFill/>
            </a:ln>
          </c:spPr>
          <c:invertIfNegative val="0"/>
          <c:cat>
            <c:strRef>
              <c:f>'Chart Data'!$AA$2:$AA$9</c:f>
              <c:strCache>
                <c:ptCount val="8"/>
                <c:pt idx="0">
                  <c:v>2024-01</c:v>
                </c:pt>
                <c:pt idx="1">
                  <c:v>2024-02</c:v>
                </c:pt>
                <c:pt idx="2">
                  <c:v>2024-03</c:v>
                </c:pt>
                <c:pt idx="3">
                  <c:v>2024-04</c:v>
                </c:pt>
                <c:pt idx="4">
                  <c:v>2024-05</c:v>
                </c:pt>
                <c:pt idx="5">
                  <c:v>2024-06</c:v>
                </c:pt>
                <c:pt idx="6">
                  <c:v>2024-07</c:v>
                </c:pt>
                <c:pt idx="7">
                  <c:v>2024-08</c:v>
                </c:pt>
              </c:strCache>
            </c:strRef>
          </c:cat>
          <c:val>
            <c:numRef>
              <c:f>'Chart Data'!$AB$2:$AB$9</c:f>
              <c:numCache>
                <c:formatCode>#,##0;[Red]\(#,##0\);\–</c:formatCode>
                <c:ptCount val="8"/>
                <c:pt idx="0">
                  <c:v>0</c:v>
                </c:pt>
                <c:pt idx="1">
                  <c:v>671196.79</c:v>
                </c:pt>
                <c:pt idx="2">
                  <c:v>198867.50999999998</c:v>
                </c:pt>
                <c:pt idx="3">
                  <c:v>0</c:v>
                </c:pt>
                <c:pt idx="4">
                  <c:v>69221.839999999938</c:v>
                </c:pt>
                <c:pt idx="5">
                  <c:v>277655.23</c:v>
                </c:pt>
                <c:pt idx="6">
                  <c:v>325314.07000000012</c:v>
                </c:pt>
                <c:pt idx="7">
                  <c:v>232587.82000000004</c:v>
                </c:pt>
              </c:numCache>
            </c:numRef>
          </c:val>
          <c:extLst>
            <c:ext xmlns:c16="http://schemas.microsoft.com/office/drawing/2014/chart" uri="{C3380CC4-5D6E-409C-BE32-E72D297353CC}">
              <c16:uniqueId val="{00000000-F567-498D-8311-0338A67CFFEB}"/>
            </c:ext>
          </c:extLst>
        </c:ser>
        <c:ser>
          <c:idx val="1"/>
          <c:order val="1"/>
          <c:tx>
            <c:strRef>
              <c:f>'Chart Data'!$AC$1</c:f>
              <c:strCache>
                <c:ptCount val="1"/>
                <c:pt idx="0">
                  <c:v>Mindreforbruk &lt; 0 (kr)</c:v>
                </c:pt>
              </c:strCache>
            </c:strRef>
          </c:tx>
          <c:spPr>
            <a:solidFill>
              <a:srgbClr val="A8DCC4"/>
            </a:solidFill>
            <a:ln>
              <a:noFill/>
            </a:ln>
          </c:spPr>
          <c:invertIfNegative val="0"/>
          <c:cat>
            <c:strRef>
              <c:f>'Chart Data'!$AA$2:$AA$9</c:f>
              <c:strCache>
                <c:ptCount val="8"/>
                <c:pt idx="0">
                  <c:v>2024-01</c:v>
                </c:pt>
                <c:pt idx="1">
                  <c:v>2024-02</c:v>
                </c:pt>
                <c:pt idx="2">
                  <c:v>2024-03</c:v>
                </c:pt>
                <c:pt idx="3">
                  <c:v>2024-04</c:v>
                </c:pt>
                <c:pt idx="4">
                  <c:v>2024-05</c:v>
                </c:pt>
                <c:pt idx="5">
                  <c:v>2024-06</c:v>
                </c:pt>
                <c:pt idx="6">
                  <c:v>2024-07</c:v>
                </c:pt>
                <c:pt idx="7">
                  <c:v>2024-08</c:v>
                </c:pt>
              </c:strCache>
            </c:strRef>
          </c:cat>
          <c:val>
            <c:numRef>
              <c:f>'Chart Data'!$AC$2:$AC$9</c:f>
              <c:numCache>
                <c:formatCode>#,##0;[Red]\(#,##0\);\–</c:formatCode>
                <c:ptCount val="8"/>
                <c:pt idx="0">
                  <c:v>-388585.49999999994</c:v>
                </c:pt>
                <c:pt idx="1">
                  <c:v>0</c:v>
                </c:pt>
                <c:pt idx="2">
                  <c:v>0</c:v>
                </c:pt>
                <c:pt idx="3">
                  <c:v>-100643.34000000001</c:v>
                </c:pt>
                <c:pt idx="4">
                  <c:v>0</c:v>
                </c:pt>
                <c:pt idx="5">
                  <c:v>0</c:v>
                </c:pt>
                <c:pt idx="6">
                  <c:v>0</c:v>
                </c:pt>
                <c:pt idx="7">
                  <c:v>0</c:v>
                </c:pt>
              </c:numCache>
            </c:numRef>
          </c:val>
          <c:extLst>
            <c:ext xmlns:c16="http://schemas.microsoft.com/office/drawing/2014/chart" uri="{C3380CC4-5D6E-409C-BE32-E72D297353CC}">
              <c16:uniqueId val="{00000001-F567-498D-8311-0338A67CFFEB}"/>
            </c:ext>
          </c:extLst>
        </c:ser>
        <c:dLbls>
          <c:showLegendKey val="0"/>
          <c:showVal val="0"/>
          <c:showCatName val="0"/>
          <c:showSerName val="0"/>
          <c:showPercent val="0"/>
          <c:showBubbleSize val="0"/>
        </c:dLbls>
        <c:gapWidth val="150"/>
        <c:overlap val="100"/>
        <c:axId val="1041873503"/>
        <c:axId val="1896721199"/>
      </c:barChart>
      <c:catAx>
        <c:axId val="1041873503"/>
        <c:scaling>
          <c:orientation val="minMax"/>
        </c:scaling>
        <c:delete val="0"/>
        <c:axPos val="b"/>
        <c:numFmt formatCode="General" sourceLinked="1"/>
        <c:majorTickMark val="none"/>
        <c:minorTickMark val="none"/>
        <c:tickLblPos val="nextTo"/>
        <c:crossAx val="1896721199"/>
        <c:crosses val="autoZero"/>
        <c:auto val="1"/>
        <c:lblAlgn val="ctr"/>
        <c:lblOffset val="100"/>
        <c:noMultiLvlLbl val="0"/>
      </c:catAx>
      <c:valAx>
        <c:axId val="1896721199"/>
        <c:scaling>
          <c:orientation val="minMax"/>
          <c:max val="800000"/>
          <c:min val="-500000"/>
        </c:scaling>
        <c:delete val="0"/>
        <c:axPos val="l"/>
        <c:numFmt formatCode="#,##0;[Red]\(#,##0\);\–" sourceLinked="1"/>
        <c:majorTickMark val="none"/>
        <c:minorTickMark val="none"/>
        <c:tickLblPos val="nextTo"/>
        <c:crossAx val="1041873503"/>
        <c:crosses val="autoZero"/>
        <c:crossBetween val="between"/>
        <c:dispUnits>
          <c:builtInUnit val="thousands"/>
          <c:dispUnitsLbl/>
        </c:dispUnits>
      </c:valAx>
    </c:plotArea>
    <c:legend>
      <c:legendPos val="b"/>
      <c:overlay val="0"/>
    </c:legend>
    <c:plotVisOnly val="0"/>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Bokført t.o.m. august • prognose sep–des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tx>
            <c:strRef>
              <c:f>'2 Prognose EOY'!$C$29</c:f>
              <c:strCache>
                <c:ptCount val="1"/>
                <c:pt idx="0">
                  <c:v>Budsjett YTD (kr)</c:v>
                </c:pt>
              </c:strCache>
            </c:strRef>
          </c:tx>
          <c:spPr>
            <a:ln w="28575" cap="rnd">
              <a:solidFill>
                <a:srgbClr val="8B9DA7"/>
              </a:solidFill>
              <a:prstDash val="solid"/>
              <a:round/>
            </a:ln>
            <a:effectLst/>
          </c:spPr>
          <c:marker>
            <c:symbol val="none"/>
          </c:marker>
          <c:cat>
            <c:strRef>
              <c:f>'2 Prognose EOY'!$B$30:$B$41</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'2 Prognose EOY'!$C$30:$C$41</c:f>
              <c:numCache>
                <c:formatCode>#,##0;[Red]\(#,##0\);\–</c:formatCode>
                <c:ptCount val="12"/>
                <c:pt idx="0">
                  <c:v>1403337</c:v>
                </c:pt>
                <c:pt idx="1">
                  <c:v>2814230</c:v>
                </c:pt>
                <c:pt idx="2">
                  <c:v>4156611</c:v>
                </c:pt>
                <c:pt idx="3">
                  <c:v>6513970</c:v>
                </c:pt>
                <c:pt idx="4">
                  <c:v>8058185</c:v>
                </c:pt>
                <c:pt idx="5">
                  <c:v>8299866</c:v>
                </c:pt>
                <c:pt idx="6">
                  <c:v>9812075</c:v>
                </c:pt>
                <c:pt idx="7">
                  <c:v>11337237</c:v>
                </c:pt>
                <c:pt idx="8">
                  <c:v>12841636</c:v>
                </c:pt>
                <c:pt idx="9">
                  <c:v>14260410</c:v>
                </c:pt>
                <c:pt idx="10">
                  <c:v>15678950</c:v>
                </c:pt>
                <c:pt idx="11">
                  <c:v>17233691</c:v>
                </c:pt>
              </c:numCache>
            </c:numRef>
          </c:val>
          <c:smooth val="0"/>
          <c:extLst>
            <c:ext xmlns:c16="http://schemas.microsoft.com/office/drawing/2014/chart" uri="{C3380CC4-5D6E-409C-BE32-E72D297353CC}">
              <c16:uniqueId val="{00000000-7EF1-40C2-AFEF-D070D250DEE4}"/>
            </c:ext>
          </c:extLst>
        </c:ser>
        <c:ser>
          <c:idx val="1"/>
          <c:order val="1"/>
          <c:tx>
            <c:strRef>
              <c:f>'2 Prognose EOY'!$D$29</c:f>
              <c:strCache>
                <c:ptCount val="1"/>
                <c:pt idx="0">
                  <c:v>Regnskap YTD (kr)</c:v>
                </c:pt>
              </c:strCache>
            </c:strRef>
          </c:tx>
          <c:spPr>
            <a:ln w="28575" cap="rnd">
              <a:solidFill>
                <a:srgbClr val="126F81"/>
              </a:solidFill>
              <a:prstDash val="solid"/>
              <a:round/>
            </a:ln>
            <a:effectLst/>
          </c:spPr>
          <c:marker>
            <c:symbol val="none"/>
          </c:marker>
          <c:cat>
            <c:strRef>
              <c:f>'2 Prognose EOY'!$B$30:$B$41</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'2 Prognose EOY'!$D$30:$D$41</c:f>
              <c:numCache>
                <c:formatCode>#,##0;[Red]\(#,##0\);\–</c:formatCode>
                <c:ptCount val="12"/>
                <c:pt idx="0">
                  <c:v>1014751.5</c:v>
                </c:pt>
                <c:pt idx="1">
                  <c:v>3096841.29</c:v>
                </c:pt>
                <c:pt idx="2">
                  <c:v>4638089.7999999989</c:v>
                </c:pt>
                <c:pt idx="3">
                  <c:v>6894805.4599999981</c:v>
                </c:pt>
                <c:pt idx="4">
                  <c:v>8508242.3000000101</c:v>
                </c:pt>
                <c:pt idx="5">
                  <c:v>9027578.5300000049</c:v>
                </c:pt>
                <c:pt idx="6">
                  <c:v>10865101.600000007</c:v>
                </c:pt>
                <c:pt idx="7">
                  <c:v>12622851.420000017</c:v>
                </c:pt>
              </c:numCache>
            </c:numRef>
          </c:val>
          <c:smooth val="0"/>
          <c:extLst>
            <c:ext xmlns:c16="http://schemas.microsoft.com/office/drawing/2014/chart" uri="{C3380CC4-5D6E-409C-BE32-E72D297353CC}">
              <c16:uniqueId val="{00000001-7EF1-40C2-AFEF-D070D250DEE4}"/>
            </c:ext>
          </c:extLst>
        </c:ser>
        <c:ser>
          <c:idx val="2"/>
          <c:order val="2"/>
          <c:tx>
            <c:strRef>
              <c:f>'2 Prognose EOY'!$E$29</c:f>
              <c:strCache>
                <c:ptCount val="1"/>
                <c:pt idx="0">
                  <c:v>Prognose YTD (kr)</c:v>
                </c:pt>
              </c:strCache>
            </c:strRef>
          </c:tx>
          <c:spPr>
            <a:ln w="28575" cap="rnd">
              <a:solidFill>
                <a:srgbClr val="C37343"/>
              </a:solidFill>
              <a:prstDash val="solid"/>
              <a:round/>
            </a:ln>
            <a:effectLst/>
          </c:spPr>
          <c:marker>
            <c:symbol val="none"/>
          </c:marker>
          <c:dLbls>
            <c:dLbl>
              <c:idx val="7"/>
              <c:tx>
                <c:strRef>
                  <c:f>'2 Prognose EOY'!$F$37</c:f>
                  <c:strCache>
                    <c:ptCount val="1"/>
                    <c:pt idx="0">
                      <c:v>1,285,614</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{CDD4C763-9DB1-4C70-A2D8-6E5F00575C1F}</c15:txfldGUID>
                      <c15:f>'2 Prognose EOY'!$F$37</c15:f>
                      <c15:dlblFieldTableCache>
                        <c:ptCount val="1"/>
                        <c:pt idx="0">
                          <c:v>1,285,614</c:v>
                        </c:pt>
                      </c15:dlblFieldTableCache>
                    </c15:dlblFTEntry>
                  </c15:dlblFieldTable>
                  <c15:showDataLabelsRange val="0"/>
                </c:ext>
                <c:ext xmlns:c16="http://schemas.microsoft.com/office/drawing/2014/chart" uri="{C3380CC4-5D6E-409C-BE32-E72D297353CC}">
                  <c16:uniqueId val="{00000003-7EF1-40C2-AFEF-D070D250DEE4}"/>
                </c:ext>
              </c:extLst>
            </c:dLbl>
            <c:dLbl>
              <c:idx val="8"/>
              <c:tx>
                <c:strRef>
                  <c:f>'2 Prognose EOY'!$F$38</c:f>
                  <c:strCache>
                    <c:ptCount val="1"/>
                    <c:pt idx="0">
                      <c:v>1,446,316</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{CE333F66-5572-4D34-9217-E33BB033EDA9}</c15:txfldGUID>
                      <c15:f>'2 Prognose EOY'!$F$38</c15:f>
                      <c15:dlblFieldTableCache>
                        <c:ptCount val="1"/>
                        <c:pt idx="0">
                          <c:v>1,446,316</c:v>
                        </c:pt>
                      </c15:dlblFieldTableCache>
                    </c15:dlblFTEntry>
                  </c15:dlblFieldTable>
                  <c15:showDataLabelsRange val="0"/>
                </c:ext>
                <c:ext xmlns:c16="http://schemas.microsoft.com/office/drawing/2014/chart" uri="{C3380CC4-5D6E-409C-BE32-E72D297353CC}">
                  <c16:uniqueId val="{00000004-7EF1-40C2-AFEF-D070D250DEE4}"/>
                </c:ext>
              </c:extLst>
            </c:dLbl>
            <c:dLbl>
              <c:idx val="9"/>
              <c:tx>
                <c:strRef>
                  <c:f>'2 Prognose EOY'!$F$39</c:f>
                  <c:strCache>
                    <c:ptCount val="1"/>
                    <c:pt idx="0">
                      <c:v>1,607,018</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{2330A3D1-B57A-44EF-BBDE-81D88860C95A}</c15:txfldGUID>
                      <c15:f>'2 Prognose EOY'!$F$39</c15:f>
                      <c15:dlblFieldTableCache>
                        <c:ptCount val="1"/>
                        <c:pt idx="0">
                          <c:v>1,607,018</c:v>
                        </c:pt>
                      </c15:dlblFieldTableCache>
                    </c15:dlblFTEntry>
                  </c15:dlblFieldTable>
                  <c15:showDataLabelsRange val="0"/>
                </c:ext>
                <c:ext xmlns:c16="http://schemas.microsoft.com/office/drawing/2014/chart" uri="{C3380CC4-5D6E-409C-BE32-E72D297353CC}">
                  <c16:uniqueId val="{00000005-7EF1-40C2-AFEF-D070D250DEE4}"/>
                </c:ext>
              </c:extLst>
            </c:dLbl>
            <c:dLbl>
              <c:idx val="10"/>
              <c:tx>
                <c:strRef>
                  <c:f>'2 Prognose EOY'!$F$40</c:f>
                  <c:strCache>
                    <c:ptCount val="1"/>
                    <c:pt idx="0">
                      <c:v>1,767,720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{0F9043DB-EC70-458B-9D70-DA1E74FFA39B}</c15:txfldGUID>
                      <c15:f>'2 Prognose EOY'!$F$40</c15:f>
                      <c15:dlblFieldTableCache>
                        <c:ptCount val="1"/>
                        <c:pt idx="0">
                          <c:v>1,767,720</c:v>
                        </c:pt>
                      </c15:dlblFieldTableCache>
                    </c15:dlblFTEntry>
                  </c15:dlblFieldTable>
                  <c15:showDataLabelsRange val="0"/>
                </c:ext>
                <c:ext xmlns:c16="http://schemas.microsoft.com/office/drawing/2014/chart" uri="{C3380CC4-5D6E-409C-BE32-E72D297353CC}">
                  <c16:uniqueId val="{00000006-7EF1-40C2-AFEF-D070D250DEE4}"/>
                </c:ext>
              </c:extLst>
            </c:dLbl>
            <c:dLbl>
              <c:idx val="11"/>
              <c:tx>
                <c:strRef>
                  <c:f>'2 Prognose EOY'!$F$41</c:f>
                  <c:strCache>
                    <c:ptCount val="1"/>
                    <c:pt idx="0">
                      <c:v>1,928,422</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{B8AF608B-6F36-44CB-98CA-95D03728F5FD}</c15:txfldGUID>
                      <c15:f>'2 Prognose EOY'!$F$41</c15:f>
                      <c15:dlblFieldTableCache>
                        <c:ptCount val="1"/>
                        <c:pt idx="0">
                          <c:v>1,928,422</c:v>
                        </c:pt>
                      </c15:dlblFieldTableCache>
                    </c15:dlblFTEntry>
                  </c15:dlblFieldTable>
                  <c15:showDataLabelsRange val="0"/>
                </c:ext>
                <c:ext xmlns:c16="http://schemas.microsoft.com/office/drawing/2014/chart" uri="{C3380CC4-5D6E-409C-BE32-E72D297353CC}">
                  <c16:uniqueId val="{00000007-7EF1-40C2-AFEF-D070D250DEE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 Prognose EOY'!$B$30:$B$41</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'2 Prognose EOY'!$E$30:$E$41</c:f>
              <c:numCache>
                <c:formatCode>#,##0;[Red]\(#,##0\);\–</c:formatCode>
                <c:ptCount val="12"/>
                <c:pt idx="7">
                  <c:v>12622851.420000017</c:v>
                </c:pt>
                <c:pt idx="8">
                  <c:v>14287952.2225</c:v>
                </c:pt>
                <c:pt idx="9">
                  <c:v>15867428.025</c:v>
                </c:pt>
                <c:pt idx="10">
                  <c:v>17446669.827500001</c:v>
                </c:pt>
                <c:pt idx="11">
                  <c:v>19162112.630000003</c:v>
                </c:pt>
              </c:numCache>
            </c:numRef>
          </c:val>
          <c:smooth val="0"/>
          <c:extLst>
            <c:ext xmlns:c16="http://schemas.microsoft.com/office/drawing/2014/chart" uri="{C3380CC4-5D6E-409C-BE32-E72D297353CC}">
              <c16:uniqueId val="{00000002-7EF1-40C2-AFEF-D070D250DEE4}"/>
            </c:ext>
          </c:extLst>
        </c:ser>
        <c:dLbls>
          <c:showLegendKey val="0"/>
          <c:showVal val="0"/>
          <c:showCatName val="0"/>
          <c:showSerName val="0"/>
          <c:showPercent val="0"/>
          <c:showBubbleSize val="0"/>
        </c:dLbls>
        <c:smooth val="0"/>
        <c:axId val="93345712"/>
        <c:axId val="1956501199"/>
      </c:lineChart>
      <c:catAx>
        <c:axId val="93345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956501199"/>
        <c:crosses val="autoZero"/>
        <c:auto val="1"/>
        <c:lblAlgn val="ctr"/>
        <c:lblOffset val="100"/>
        <c:noMultiLvlLbl val="0"/>
      </c:catAx>
      <c:valAx>
        <c:axId val="1956501199"/>
        <c:scaling>
          <c:orientation val="minMax"/>
          <c:max val="21000000"/>
          <c:min val="0"/>
        </c:scaling>
        <c:delete val="0"/>
        <c:axPos val="l"/>
        <c:majorGridlines>
          <c:spPr>
            <a:ln w="9525" cap="flat" cmpd="sng" algn="ctr">
              <a:solidFill>
                <a:schemeClr val="tx1">
                  <a:lumMod val="15000"/>
                  <a:lumOff val="85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3345712"/>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Restavvik mot årsbudsjett (kr)
Før: uten tiltak  •  Alle: hypotese om full effekt
Godkjent: kun godkjente tiltak med dokumentert kontroll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barChart>
        <c:barDir val="bar"/>
        <c:grouping val="clustered"/>
        <c:varyColors val="0"/>
        <c:ser>
          <c:idx val="2"/>
          <c:order val="0"/>
          <c:tx>
            <c:strRef>
              <c:f>'4 Ny Prognose EOY'!$E$29</c:f>
              <c:strCache>
                <c:ptCount val="1"/>
                <c:pt idx="0">
                  <c:v>Restavvik (kr)</c:v>
                </c:pt>
              </c:strCache>
            </c:strRef>
          </c:tx>
          <c:spPr>
            <a:solidFill>
              <a:schemeClr val="accent6">
                <a:lumMod val="20000"/>
                <a:lumOff val="80000"/>
              </a:schemeClr>
            </a:solidFill>
            <a:ln>
              <a:noFill/>
            </a:ln>
            <a:effectLst/>
          </c:spPr>
          <c:invertIfNegative val="0"/>
          <c:dLbls>
            <c:dLbl>
              <c:idx val="0"/>
              <c:tx>
                <c:strRef>
                  <c:f>'4 Ny Prognose EOY'!$E$30</c:f>
                  <c:strCache>
                    <c:ptCount val="1"/>
                    <c:pt idx="0">
                      <c:v>1,928,422 kr</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{67791882-5131-497C-826F-64E479B15D07}</c15:txfldGUID>
                      <c15:f>'4 Ny Prognose EOY'!$E$30</c15:f>
                      <c15:dlblFieldTableCache>
                        <c:ptCount val="1"/>
                        <c:pt idx="0">
                          <c:v>1,928,422 kr</c:v>
                        </c:pt>
                      </c15:dlblFieldTableCache>
                    </c15:dlblFTEntry>
                  </c15:dlblFieldTable>
                  <c15:showDataLabelsRange val="0"/>
                </c:ext>
                <c:ext xmlns:c16="http://schemas.microsoft.com/office/drawing/2014/chart" uri="{C3380CC4-5D6E-409C-BE32-E72D297353CC}">
                  <c16:uniqueId val="{00000003-0DA3-49EC-84AF-064AE8246910}"/>
                </c:ext>
              </c:extLst>
            </c:dLbl>
            <c:dLbl>
              <c:idx val="1"/>
              <c:tx>
                <c:strRef>
                  <c:f>'4 Ny Prognose EOY'!$E$31</c:f>
                  <c:strCache>
                    <c:ptCount val="1"/>
                    <c:pt idx="0">
                      <c:v>1,735,455 kr</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{6D49D588-317B-4E76-B98C-5CB14DCBC661}</c15:txfldGUID>
                      <c15:f>'4 Ny Prognose EOY'!$E$31</c15:f>
                      <c15:dlblFieldTableCache>
                        <c:ptCount val="1"/>
                        <c:pt idx="0">
                          <c:v>1,735,455 kr</c:v>
                        </c:pt>
                      </c15:dlblFieldTableCache>
                    </c15:dlblFTEntry>
                  </c15:dlblFieldTable>
                  <c15:showDataLabelsRange val="0"/>
                </c:ext>
                <c:ext xmlns:c16="http://schemas.microsoft.com/office/drawing/2014/chart" uri="{C3380CC4-5D6E-409C-BE32-E72D297353CC}">
                  <c16:uniqueId val="{00000004-0DA3-49EC-84AF-064AE8246910}"/>
                </c:ext>
              </c:extLst>
            </c:dLbl>
            <c:dLbl>
              <c:idx val="2"/>
              <c:tx>
                <c:strRef>
                  <c:f>'4 Ny Prognose EOY'!$E$32</c:f>
                  <c:strCache>
                    <c:ptCount val="1"/>
                    <c:pt idx="0">
                      <c:v>1,928,422 kr</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{53A53C4C-0276-4CF8-9868-F651286F33D1}</c15:txfldGUID>
                      <c15:f>'4 Ny Prognose EOY'!$E$32</c15:f>
                      <c15:dlblFieldTableCache>
                        <c:ptCount val="1"/>
                        <c:pt idx="0">
                          <c:v>1,928,422 kr</c:v>
                        </c:pt>
                      </c15:dlblFieldTableCache>
                    </c15:dlblFTEntry>
                  </c15:dlblFieldTable>
                  <c15:showDataLabelsRange val="0"/>
                </c:ext>
                <c:ext xmlns:c16="http://schemas.microsoft.com/office/drawing/2014/chart" uri="{C3380CC4-5D6E-409C-BE32-E72D297353CC}">
                  <c16:uniqueId val="{00000005-0DA3-49EC-84AF-064AE8246910}"/>
                </c:ext>
              </c:extLst>
            </c:dLbl>
            <c:numFmt formatCode="#,##0&quot; k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 Ny Prognose EOY'!$B$30:$B$32</c:f>
              <c:strCache>
                <c:ptCount val="3"/>
                <c:pt idx="0">
                  <c:v>Før nye tiltak</c:v>
                </c:pt>
                <c:pt idx="1">
                  <c:v>Alle kandidater · hypotese</c:v>
                </c:pt>
                <c:pt idx="2">
                  <c:v>Kun dokumentert godkjent</c:v>
                </c:pt>
              </c:strCache>
            </c:strRef>
          </c:cat>
          <c:val>
            <c:numRef>
              <c:f>'4 Ny Prognose EOY'!$E$30:$E$32</c:f>
              <c:numCache>
                <c:formatCode>#,##0" kr"</c:formatCode>
                <c:ptCount val="3"/>
                <c:pt idx="0">
                  <c:v>1928421.6300000027</c:v>
                </c:pt>
                <c:pt idx="1">
                  <c:v>1735454.8954700008</c:v>
                </c:pt>
                <c:pt idx="2">
                  <c:v>1928421.6300000027</c:v>
                </c:pt>
              </c:numCache>
            </c:numRef>
          </c:val>
          <c:extLst>
            <c:ext xmlns:c16="http://schemas.microsoft.com/office/drawing/2014/chart" uri="{C3380CC4-5D6E-409C-BE32-E72D297353CC}">
              <c16:uniqueId val="{00000002-0DA3-49EC-84AF-064AE8246910}"/>
            </c:ext>
          </c:extLst>
        </c:ser>
        <c:dLbls>
          <c:showLegendKey val="0"/>
          <c:showVal val="0"/>
          <c:showCatName val="0"/>
          <c:showSerName val="0"/>
          <c:showPercent val="0"/>
          <c:showBubbleSize val="0"/>
        </c:dLbls>
        <c:gapWidth val="182"/>
        <c:axId val="2125816735"/>
        <c:axId val="1956410959"/>
      </c:barChart>
      <c:catAx>
        <c:axId val="2125816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956410959"/>
        <c:crosses val="autoZero"/>
        <c:auto val="1"/>
        <c:lblAlgn val="ctr"/>
        <c:lblOffset val="100"/>
        <c:noMultiLvlLbl val="0"/>
      </c:catAx>
      <c:valAx>
        <c:axId val="1956410959"/>
        <c:scaling>
          <c:orientation val="minMax"/>
          <c:min val="0"/>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125816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Bokført t.o.m. august • ny prognose sep–des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tx>
            <c:strRef>
              <c:f>'4 Ny Prognose EOY'!$E$71</c:f>
              <c:strCache>
                <c:ptCount val="1"/>
                <c:pt idx="0">
                  <c:v>Før tiltak</c:v>
                </c:pt>
              </c:strCache>
            </c:strRef>
          </c:tx>
          <c:spPr>
            <a:ln w="28575" cap="rnd">
              <a:solidFill>
                <a:srgbClr val="A8B7BF"/>
              </a:solidFill>
              <a:prstDash val="solid"/>
              <a:round/>
            </a:ln>
            <a:effectLst/>
          </c:spPr>
          <c:marker>
            <c:symbol val="none"/>
          </c:marker>
          <c:cat>
            <c:strRef>
              <c:f>'4 Ny Prognose EOY'!$B$72:$B$83</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'4 Ny Prognose EOY'!$E$72:$E$83</c:f>
              <c:numCache>
                <c:formatCode>#,##0;[Red]\(#,##0\);\–</c:formatCode>
                <c:ptCount val="12"/>
                <c:pt idx="7">
                  <c:v>12622851.420000017</c:v>
                </c:pt>
                <c:pt idx="8">
                  <c:v>14287952.2225</c:v>
                </c:pt>
                <c:pt idx="9">
                  <c:v>15867428.025</c:v>
                </c:pt>
                <c:pt idx="10">
                  <c:v>17446669.827500001</c:v>
                </c:pt>
                <c:pt idx="11">
                  <c:v>19162112.630000003</c:v>
                </c:pt>
              </c:numCache>
            </c:numRef>
          </c:val>
          <c:smooth val="0"/>
          <c:extLst>
            <c:ext xmlns:c16="http://schemas.microsoft.com/office/drawing/2014/chart" uri="{C3380CC4-5D6E-409C-BE32-E72D297353CC}">
              <c16:uniqueId val="{00000000-1DAF-46F8-8ACB-0646EE99D071}"/>
            </c:ext>
          </c:extLst>
        </c:ser>
        <c:ser>
          <c:idx val="1"/>
          <c:order val="1"/>
          <c:tx>
            <c:strRef>
              <c:f>'4 Ny Prognose EOY'!$F$71</c:f>
              <c:strCache>
                <c:ptCount val="1"/>
                <c:pt idx="0">
                  <c:v>Godkjent prognose</c:v>
                </c:pt>
              </c:strCache>
            </c:strRef>
          </c:tx>
          <c:spPr>
            <a:ln w="28575" cap="rnd">
              <a:solidFill>
                <a:srgbClr val="C37343"/>
              </a:solidFill>
              <a:prstDash val="solid"/>
              <a:round/>
            </a:ln>
            <a:effectLst/>
          </c:spPr>
          <c:marker>
            <c:symbol val="none"/>
          </c:marker>
          <c:dLbls>
            <c:dLbl>
              <c:idx val="7"/>
              <c:tx>
                <c:strRef>
                  <c:f>'4 Ny Prognose EOY'!$H$79</c:f>
                  <c:strCache>
                    <c:ptCount val="1"/>
                    <c:pt idx="0">
                      <c:v>1,285,614</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{BE844847-4BE3-48B4-9F90-D94EFC4BEC6B}</c15:txfldGUID>
                      <c15:f>'4 Ny Prognose EOY'!$H$79</c15:f>
                      <c15:dlblFieldTableCache>
                        <c:ptCount val="1"/>
                        <c:pt idx="0">
                          <c:v>1,285,614</c:v>
                        </c:pt>
                      </c15:dlblFieldTableCache>
                    </c15:dlblFTEntry>
                  </c15:dlblFieldTable>
                  <c15:showDataLabelsRange val="0"/>
                </c:ext>
                <c:ext xmlns:c16="http://schemas.microsoft.com/office/drawing/2014/chart" uri="{C3380CC4-5D6E-409C-BE32-E72D297353CC}">
                  <c16:uniqueId val="{00000005-1DAF-46F8-8ACB-0646EE99D071}"/>
                </c:ext>
              </c:extLst>
            </c:dLbl>
            <c:dLbl>
              <c:idx val="8"/>
              <c:tx>
                <c:strRef>
                  <c:f>'4 Ny Prognose EOY'!$H$80</c:f>
                  <c:strCache>
                    <c:ptCount val="1"/>
                    <c:pt idx="0">
                      <c:v>1,446,316</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{9E0A9B9A-C3BC-4C4E-916A-01A855BCE2D3}</c15:txfldGUID>
                      <c15:f>'4 Ny Prognose EOY'!$H$80</c15:f>
                      <c15:dlblFieldTableCache>
                        <c:ptCount val="1"/>
                        <c:pt idx="0">
                          <c:v>1,446,316</c:v>
                        </c:pt>
                      </c15:dlblFieldTableCache>
                    </c15:dlblFTEntry>
                  </c15:dlblFieldTable>
                  <c15:showDataLabelsRange val="0"/>
                </c:ext>
                <c:ext xmlns:c16="http://schemas.microsoft.com/office/drawing/2014/chart" uri="{C3380CC4-5D6E-409C-BE32-E72D297353CC}">
                  <c16:uniqueId val="{00000006-1DAF-46F8-8ACB-0646EE99D071}"/>
                </c:ext>
              </c:extLst>
            </c:dLbl>
            <c:dLbl>
              <c:idx val="9"/>
              <c:tx>
                <c:strRef>
                  <c:f>'4 Ny Prognose EOY'!$H$81</c:f>
                  <c:strCache>
                    <c:ptCount val="1"/>
                    <c:pt idx="0">
                      <c:v>1,607,018</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{18F5BDEF-B797-4AC8-9F92-EDC860A7CB83}</c15:txfldGUID>
                      <c15:f>'4 Ny Prognose EOY'!$H$81</c15:f>
                      <c15:dlblFieldTableCache>
                        <c:ptCount val="1"/>
                        <c:pt idx="0">
                          <c:v>1,607,018</c:v>
                        </c:pt>
                      </c15:dlblFieldTableCache>
                    </c15:dlblFTEntry>
                  </c15:dlblFieldTable>
                  <c15:showDataLabelsRange val="0"/>
                </c:ext>
                <c:ext xmlns:c16="http://schemas.microsoft.com/office/drawing/2014/chart" uri="{C3380CC4-5D6E-409C-BE32-E72D297353CC}">
                  <c16:uniqueId val="{00000007-1DAF-46F8-8ACB-0646EE99D071}"/>
                </c:ext>
              </c:extLst>
            </c:dLbl>
            <c:dLbl>
              <c:idx val="10"/>
              <c:tx>
                <c:strRef>
                  <c:f>'4 Ny Prognose EOY'!$H$82</c:f>
                  <c:strCache>
                    <c:ptCount val="1"/>
                    <c:pt idx="0">
                      <c:v>1,767,720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{7F65FC4C-2E38-4677-840C-FD09F5A6F9DB}</c15:txfldGUID>
                      <c15:f>'4 Ny Prognose EOY'!$H$82</c15:f>
                      <c15:dlblFieldTableCache>
                        <c:ptCount val="1"/>
                        <c:pt idx="0">
                          <c:v>1,767,720</c:v>
                        </c:pt>
                      </c15:dlblFieldTableCache>
                    </c15:dlblFTEntry>
                  </c15:dlblFieldTable>
                  <c15:showDataLabelsRange val="0"/>
                </c:ext>
                <c:ext xmlns:c16="http://schemas.microsoft.com/office/drawing/2014/chart" uri="{C3380CC4-5D6E-409C-BE32-E72D297353CC}">
                  <c16:uniqueId val="{00000008-1DAF-46F8-8ACB-0646EE99D071}"/>
                </c:ext>
              </c:extLst>
            </c:dLbl>
            <c:dLbl>
              <c:idx val="11"/>
              <c:tx>
                <c:strRef>
                  <c:f>'4 Ny Prognose EOY'!$H$83</c:f>
                  <c:strCache>
                    <c:ptCount val="1"/>
                    <c:pt idx="0">
                      <c:v>1,928,422</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{DE270B6F-68C3-4EF7-83F2-6551E10DE32B}</c15:txfldGUID>
                      <c15:f>'4 Ny Prognose EOY'!$H$83</c15:f>
                      <c15:dlblFieldTableCache>
                        <c:ptCount val="1"/>
                        <c:pt idx="0">
                          <c:v>1,928,422</c:v>
                        </c:pt>
                      </c15:dlblFieldTableCache>
                    </c15:dlblFTEntry>
                  </c15:dlblFieldTable>
                  <c15:showDataLabelsRange val="0"/>
                </c:ext>
                <c:ext xmlns:c16="http://schemas.microsoft.com/office/drawing/2014/chart" uri="{C3380CC4-5D6E-409C-BE32-E72D297353CC}">
                  <c16:uniqueId val="{00000009-1DAF-46F8-8ACB-0646EE99D07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 Ny Prognose EOY'!$B$72:$B$83</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'4 Ny Prognose EOY'!$F$72:$F$83</c:f>
              <c:numCache>
                <c:formatCode>#,##0;[Red]\(#,##0\);\–</c:formatCode>
                <c:ptCount val="12"/>
                <c:pt idx="7">
                  <c:v>12622851.420000017</c:v>
                </c:pt>
                <c:pt idx="8">
                  <c:v>14287952.2225</c:v>
                </c:pt>
                <c:pt idx="9">
                  <c:v>15867428.025</c:v>
                </c:pt>
                <c:pt idx="10">
                  <c:v>17446669.827500001</c:v>
                </c:pt>
                <c:pt idx="11">
                  <c:v>19162112.630000003</c:v>
                </c:pt>
              </c:numCache>
            </c:numRef>
          </c:val>
          <c:smooth val="0"/>
          <c:extLst>
            <c:ext xmlns:c16="http://schemas.microsoft.com/office/drawing/2014/chart" uri="{C3380CC4-5D6E-409C-BE32-E72D297353CC}">
              <c16:uniqueId val="{00000001-1DAF-46F8-8ACB-0646EE99D071}"/>
            </c:ext>
          </c:extLst>
        </c:ser>
        <c:ser>
          <c:idx val="2"/>
          <c:order val="2"/>
          <c:tx>
            <c:strRef>
              <c:f>'4 Ny Prognose EOY'!$G$71</c:f>
              <c:strCache>
                <c:ptCount val="1"/>
                <c:pt idx="0">
                  <c:v>Alle kandidater · hypotese</c:v>
                </c:pt>
              </c:strCache>
            </c:strRef>
          </c:tx>
          <c:spPr>
            <a:ln w="28575" cap="rnd">
              <a:solidFill>
                <a:srgbClr val="9C836F"/>
              </a:solidFill>
              <a:prstDash val="solid"/>
              <a:round/>
            </a:ln>
            <a:effectLst/>
          </c:spPr>
          <c:marker>
            <c:symbol val="none"/>
          </c:marker>
          <c:cat>
            <c:strRef>
              <c:f>'4 Ny Prognose EOY'!$B$72:$B$83</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'4 Ny Prognose EOY'!$G$72:$G$83</c:f>
              <c:numCache>
                <c:formatCode>#,##0;[Red]\(#,##0\);\–</c:formatCode>
                <c:ptCount val="12"/>
                <c:pt idx="7">
                  <c:v>12622851.420000017</c:v>
                </c:pt>
                <c:pt idx="8">
                  <c:v>14239710.5388675</c:v>
                </c:pt>
                <c:pt idx="9">
                  <c:v>15770944.657735001</c:v>
                </c:pt>
                <c:pt idx="10">
                  <c:v>17301944.776602499</c:v>
                </c:pt>
                <c:pt idx="11">
                  <c:v>18969145.895470001</c:v>
                </c:pt>
              </c:numCache>
            </c:numRef>
          </c:val>
          <c:smooth val="0"/>
          <c:extLst>
            <c:ext xmlns:c16="http://schemas.microsoft.com/office/drawing/2014/chart" uri="{C3380CC4-5D6E-409C-BE32-E72D297353CC}">
              <c16:uniqueId val="{00000002-1DAF-46F8-8ACB-0646EE99D071}"/>
            </c:ext>
          </c:extLst>
        </c:ser>
        <c:ser>
          <c:idx val="3"/>
          <c:order val="3"/>
          <c:tx>
            <c:v>Budsjett YTD</c:v>
          </c:tx>
          <c:spPr>
            <a:ln w="28575" cap="rnd">
              <a:solidFill>
                <a:srgbClr val="8B9DA7"/>
              </a:solidFill>
              <a:prstDash val="solid"/>
              <a:round/>
            </a:ln>
            <a:effectLst/>
          </c:spPr>
          <c:marker>
            <c:symbol val="none"/>
          </c:marker>
          <c:cat>
            <c:strRef>
              <c:f>'4 Ny Prognose EOY'!$B$72:$B$83</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'4 Ny Prognose EOY'!$C$72:$C$83</c:f>
              <c:numCache>
                <c:formatCode>#,##0;[Red]\(#,##0\);\–</c:formatCode>
                <c:ptCount val="12"/>
                <c:pt idx="0">
                  <c:v>1403337</c:v>
                </c:pt>
                <c:pt idx="1">
                  <c:v>2814230</c:v>
                </c:pt>
                <c:pt idx="2">
                  <c:v>4156611</c:v>
                </c:pt>
                <c:pt idx="3">
                  <c:v>6513970</c:v>
                </c:pt>
                <c:pt idx="4">
                  <c:v>8058185</c:v>
                </c:pt>
                <c:pt idx="5">
                  <c:v>8299866</c:v>
                </c:pt>
                <c:pt idx="6">
                  <c:v>9812075</c:v>
                </c:pt>
                <c:pt idx="7">
                  <c:v>11337237</c:v>
                </c:pt>
                <c:pt idx="8">
                  <c:v>12841636</c:v>
                </c:pt>
                <c:pt idx="9">
                  <c:v>14260410</c:v>
                </c:pt>
                <c:pt idx="10">
                  <c:v>15678950</c:v>
                </c:pt>
                <c:pt idx="11">
                  <c:v>17233691</c:v>
                </c:pt>
              </c:numCache>
            </c:numRef>
          </c:val>
          <c:smooth val="0"/>
          <c:extLst>
            <c:ext xmlns:c16="http://schemas.microsoft.com/office/drawing/2014/chart" uri="{C3380CC4-5D6E-409C-BE32-E72D297353CC}">
              <c16:uniqueId val="{00000003-1DAF-46F8-8ACB-0646EE99D071}"/>
            </c:ext>
          </c:extLst>
        </c:ser>
        <c:ser>
          <c:idx val="4"/>
          <c:order val="4"/>
          <c:tx>
            <c:v>Bokført YTD</c:v>
          </c:tx>
          <c:spPr>
            <a:ln w="28575" cap="rnd">
              <a:solidFill>
                <a:srgbClr val="126F81"/>
              </a:solidFill>
              <a:prstDash val="solid"/>
              <a:round/>
            </a:ln>
            <a:effectLst/>
          </c:spPr>
          <c:marker>
            <c:symbol val="none"/>
          </c:marker>
          <c:cat>
            <c:strRef>
              <c:f>'4 Ny Prognose EOY'!$B$72:$B$83</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'4 Ny Prognose EOY'!$D$72:$D$83</c:f>
              <c:numCache>
                <c:formatCode>#,##0;[Red]\(#,##0\);\–</c:formatCode>
                <c:ptCount val="12"/>
                <c:pt idx="0">
                  <c:v>1014751.5</c:v>
                </c:pt>
                <c:pt idx="1">
                  <c:v>3096841.29</c:v>
                </c:pt>
                <c:pt idx="2">
                  <c:v>4638089.7999999989</c:v>
                </c:pt>
                <c:pt idx="3">
                  <c:v>6894805.4599999981</c:v>
                </c:pt>
                <c:pt idx="4">
                  <c:v>8508242.3000000101</c:v>
                </c:pt>
                <c:pt idx="5">
                  <c:v>9027578.5300000049</c:v>
                </c:pt>
                <c:pt idx="6">
                  <c:v>10865101.600000007</c:v>
                </c:pt>
                <c:pt idx="7">
                  <c:v>12622851.420000017</c:v>
                </c:pt>
              </c:numCache>
            </c:numRef>
          </c:val>
          <c:smooth val="0"/>
          <c:extLst>
            <c:ext xmlns:c16="http://schemas.microsoft.com/office/drawing/2014/chart" uri="{C3380CC4-5D6E-409C-BE32-E72D297353CC}">
              <c16:uniqueId val="{00000004-1DAF-46F8-8ACB-0646EE99D071}"/>
            </c:ext>
          </c:extLst>
        </c:ser>
        <c:dLbls>
          <c:showLegendKey val="0"/>
          <c:showVal val="0"/>
          <c:showCatName val="0"/>
          <c:showSerName val="0"/>
          <c:showPercent val="0"/>
          <c:showBubbleSize val="0"/>
        </c:dLbls>
        <c:smooth val="0"/>
        <c:axId val="93421808"/>
        <c:axId val="1956409519"/>
      </c:lineChart>
      <c:catAx>
        <c:axId val="93421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956409519"/>
        <c:crosses val="autoZero"/>
        <c:auto val="0"/>
        <c:lblAlgn val="ctr"/>
        <c:lblOffset val="100"/>
        <c:tickLblSkip val="1"/>
        <c:noMultiLvlLbl val="0"/>
      </c:catAx>
      <c:valAx>
        <c:axId val="1956409519"/>
        <c:scaling>
          <c:orientation val="minMax"/>
          <c:max val="21000000"/>
          <c:min val="0"/>
        </c:scaling>
        <c:delete val="0"/>
        <c:axPos val="l"/>
        <c:majorGridlines>
          <c:spPr>
            <a:ln w="9525" cap="flat" cmpd="sng" algn="ctr">
              <a:solidFill>
                <a:schemeClr val="tx1">
                  <a:lumMod val="15000"/>
                  <a:lumOff val="85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93421808"/>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b-NO"/>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Estimert effekt: 2024 EOY mot helårsnivå</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barChart>
        <c:barDir val="col"/>
        <c:grouping val="clustered"/>
        <c:varyColors val="0"/>
        <c:ser>
          <c:idx val="0"/>
          <c:order val="0"/>
          <c:tx>
            <c:strRef>
              <c:f>'5 Langsiktig effekt'!$C$11</c:f>
              <c:strCache>
                <c:ptCount val="1"/>
                <c:pt idx="0">
                  <c:v>EOY-estimat (kr)</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'5 Langsiktig effekt'!$B$12:$B$13</c:f>
              <c:strCache>
                <c:ptCount val="2"/>
                <c:pt idx="0">
                  <c:v>T5 · Turnus/kapasitet</c:v>
                </c:pt>
                <c:pt idx="1">
                  <c:v>T6 · Digital planprosess</c:v>
                </c:pt>
              </c:strCache>
            </c:strRef>
          </c:cat>
          <c:val>
            <c:numRef>
              <c:f>'5 Langsiktig effekt'!$C$12:$C$13</c:f>
              <c:numCache>
                <c:formatCode>#,##0;[Red]\(#,##0\);\–</c:formatCode>
                <c:ptCount val="2"/>
                <c:pt idx="0">
                  <c:v>27473.74278</c:v>
                </c:pt>
                <c:pt idx="1">
                  <c:v>30701.073</c:v>
                </c:pt>
              </c:numCache>
            </c:numRef>
          </c:val>
          <c:extLst>
            <c:ext xmlns:c16="http://schemas.microsoft.com/office/drawing/2014/chart" uri="{C3380CC4-5D6E-409C-BE32-E72D297353CC}">
              <c16:uniqueId val="{00000000-529F-4740-B913-7226DF254421}"/>
            </c:ext>
          </c:extLst>
        </c:ser>
        <c:ser>
          <c:idx val="1"/>
          <c:order val="1"/>
          <c:tx>
            <c:strRef>
              <c:f>'5 Langsiktig effekt'!$D$11</c:f>
              <c:strCache>
                <c:ptCount val="1"/>
                <c:pt idx="0">
                  <c:v>Helårsestimat (kr)</c:v>
                </c:pt>
              </c:strCache>
            </c:strRef>
          </c:tx>
          <c:spPr>
            <a:solidFill>
              <a:schemeClr val="accent2"/>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'5 Langsiktig effekt'!$B$12:$B$13</c:f>
              <c:strCache>
                <c:ptCount val="2"/>
                <c:pt idx="0">
                  <c:v>T5 · Turnus/kapasitet</c:v>
                </c:pt>
                <c:pt idx="1">
                  <c:v>T6 · Digital planprosess</c:v>
                </c:pt>
              </c:strCache>
            </c:strRef>
          </c:cat>
          <c:val>
            <c:numRef>
              <c:f>'5 Langsiktig effekt'!$D$12:$D$13</c:f>
              <c:numCache>
                <c:formatCode>#,##0;[Red]\(#,##0\);\–</c:formatCode>
                <c:ptCount val="2"/>
                <c:pt idx="0">
                  <c:v>48079.049864999994</c:v>
                </c:pt>
                <c:pt idx="1">
                  <c:v>42981.502200000003</c:v>
                </c:pt>
              </c:numCache>
            </c:numRef>
          </c:val>
          <c:extLst>
            <c:ext xmlns:c16="http://schemas.microsoft.com/office/drawing/2014/chart" uri="{C3380CC4-5D6E-409C-BE32-E72D297353CC}">
              <c16:uniqueId val="{00000001-529F-4740-B913-7226DF254421}"/>
            </c:ext>
          </c:extLst>
        </c:ser>
        <c:dLbls>
          <c:showLegendKey val="0"/>
          <c:showVal val="0"/>
          <c:showCatName val="0"/>
          <c:showSerName val="0"/>
          <c:showPercent val="0"/>
          <c:showBubbleSize val="0"/>
        </c:dLbls>
        <c:gapWidth val="219"/>
        <c:overlap val="-27"/>
        <c:axId val="45885904"/>
        <c:axId val="1956455119"/>
      </c:barChart>
      <c:catAx>
        <c:axId val="45885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1956455119"/>
        <c:crosses val="autoZero"/>
        <c:auto val="1"/>
        <c:lblAlgn val="ctr"/>
        <c:lblOffset val="100"/>
        <c:noMultiLvlLbl val="0"/>
      </c:catAx>
      <c:valAx>
        <c:axId val="1956455119"/>
        <c:scaling>
          <c:orientation val="minMax"/>
          <c:max val="60000"/>
          <c:min val="0"/>
        </c:scaling>
        <c:delete val="0"/>
        <c:axPos val="l"/>
        <c:majorGridlines>
          <c:spPr>
            <a:ln w="9525" cap="flat" cmpd="sng" algn="ctr">
              <a:solidFill>
                <a:schemeClr val="tx1">
                  <a:lumMod val="15000"/>
                  <a:lumOff val="85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458859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15</xdr:col>
      <xdr:colOff>106363</xdr:colOff>
      <xdr:row>10</xdr:row>
      <xdr:rowOff>83345</xdr:rowOff>
    </xdr:from>
    <xdr:to>
      <xdr:col>17</xdr:col>
      <xdr:colOff>238126</xdr:colOff>
      <xdr:row>22</xdr:row>
      <xdr:rowOff>67470</xdr:rowOff>
    </xdr:to>
    <mc:AlternateContent xmlns:mc="http://schemas.openxmlformats.org/markup-compatibility/2006">
      <mc:Choice xmlns:a14="http://schemas.microsoft.com/office/drawing/2010/main" Requires="a14">
        <xdr:graphicFrame macro="">
          <xdr:nvGraphicFramePr>
            <xdr:cNvPr id="7" name="slcMaanedHovedgruppe">
              <a:extLst>
                <a:ext uri="{FF2B5EF4-FFF2-40B4-BE49-F238E27FC236}">
                  <a16:creationId xmlns:a16="http://schemas.microsoft.com/office/drawing/2014/main" id="{021B6C71-872C-9756-6CFC-2A0FA47E93CF}"/>
                </a:ext>
              </a:extLst>
            </xdr:cNvPr>
            <xdr:cNvGraphicFramePr/>
          </xdr:nvGraphicFramePr>
          <xdr:xfrm>
            <a:off x="0" y="0"/>
            <a:ext cx="0" cy="0"/>
          </xdr:xfrm>
          <a:graphic>
            <a:graphicData uri="http://schemas.microsoft.com/office/drawing/2010/slicer">
              <sle:slicer xmlns:sle="http://schemas.microsoft.com/office/drawing/2010/slicer" name="slcMaanedHovedgruppe"/>
            </a:graphicData>
          </a:graphic>
        </xdr:graphicFrame>
      </mc:Choice>
      <mc:Fallback>
        <xdr:sp macro="" textlink="">
          <xdr:nvSpPr>
            <xdr:cNvPr id="0" name=""/>
            <xdr:cNvSpPr>
              <a:spLocks noTextEdit="1"/>
            </xdr:cNvSpPr>
          </xdr:nvSpPr>
          <xdr:spPr>
            <a:xfrm>
              <a:off x="14200188" y="2622551"/>
              <a:ext cx="1893888" cy="2120900"/>
            </a:xfrm>
            <a:prstGeom prst="rect">
              <a:avLst/>
            </a:prstGeom>
            <a:solidFill>
              <a:prstClr val="white"/>
            </a:solidFill>
            <a:ln w="1">
              <a:solidFill>
                <a:prstClr val="green"/>
              </a:solidFill>
            </a:ln>
          </xdr:spPr>
          <xdr:txBody>
            <a:bodyPr vertOverflow="clip" horzOverflow="clip"/>
            <a:lstStyle/>
            <a:p>
              <a:r>
                <a:rPr lang="nb-NO"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85726</xdr:colOff>
      <xdr:row>28</xdr:row>
      <xdr:rowOff>40481</xdr:rowOff>
    </xdr:from>
    <xdr:to>
      <xdr:col>17</xdr:col>
      <xdr:colOff>273845</xdr:colOff>
      <xdr:row>41</xdr:row>
      <xdr:rowOff>173831</xdr:rowOff>
    </xdr:to>
    <mc:AlternateContent xmlns:mc="http://schemas.openxmlformats.org/markup-compatibility/2006">
      <mc:Choice xmlns:a14="http://schemas.microsoft.com/office/drawing/2010/main" Requires="a14">
        <xdr:graphicFrame macro="">
          <xdr:nvGraphicFramePr>
            <xdr:cNvPr id="8" name="slcDetaljUndergruppe">
              <a:extLst>
                <a:ext uri="{FF2B5EF4-FFF2-40B4-BE49-F238E27FC236}">
                  <a16:creationId xmlns:a16="http://schemas.microsoft.com/office/drawing/2014/main" id="{561767A0-C8BE-3262-5B59-3C5FD4D5405C}"/>
                </a:ext>
              </a:extLst>
            </xdr:cNvPr>
            <xdr:cNvGraphicFramePr/>
          </xdr:nvGraphicFramePr>
          <xdr:xfrm>
            <a:off x="0" y="0"/>
            <a:ext cx="0" cy="0"/>
          </xdr:xfrm>
          <a:graphic>
            <a:graphicData uri="http://schemas.microsoft.com/office/drawing/2010/slicer">
              <sle:slicer xmlns:sle="http://schemas.microsoft.com/office/drawing/2010/slicer" name="slcDetaljUndergruppe"/>
            </a:graphicData>
          </a:graphic>
        </xdr:graphicFrame>
      </mc:Choice>
      <mc:Fallback>
        <xdr:sp macro="" textlink="">
          <xdr:nvSpPr>
            <xdr:cNvPr id="0" name=""/>
            <xdr:cNvSpPr>
              <a:spLocks noTextEdit="1"/>
            </xdr:cNvSpPr>
          </xdr:nvSpPr>
          <xdr:spPr>
            <a:xfrm>
              <a:off x="14179551" y="5791200"/>
              <a:ext cx="1956594" cy="3109912"/>
            </a:xfrm>
            <a:prstGeom prst="rect">
              <a:avLst/>
            </a:prstGeom>
            <a:solidFill>
              <a:prstClr val="white"/>
            </a:solidFill>
            <a:ln w="1">
              <a:solidFill>
                <a:prstClr val="green"/>
              </a:solidFill>
            </a:ln>
          </xdr:spPr>
          <xdr:txBody>
            <a:bodyPr vertOverflow="clip" horzOverflow="clip"/>
            <a:lstStyle/>
            <a:p>
              <a:r>
                <a:rPr lang="nb-NO"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9</xdr:row>
      <xdr:rowOff>15875</xdr:rowOff>
    </xdr:from>
    <xdr:to>
      <xdr:col>7</xdr:col>
      <xdr:colOff>523875</xdr:colOff>
      <xdr:row>27</xdr:row>
      <xdr:rowOff>73025</xdr:rowOff>
    </xdr:to>
    <xdr:graphicFrame macro="">
      <xdr:nvGraphicFramePr>
        <xdr:cNvPr id="9" name="Budsjett og regnskap per måned">
          <a:extLst>
            <a:ext uri="{FF2B5EF4-FFF2-40B4-BE49-F238E27FC236}">
              <a16:creationId xmlns:a16="http://schemas.microsoft.com/office/drawing/2014/main" id="{2EEF4082-F39A-802A-9CCE-1D18AF6737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538162</xdr:colOff>
      <xdr:row>58</xdr:row>
      <xdr:rowOff>30956</xdr:rowOff>
    </xdr:from>
    <xdr:to>
      <xdr:col>15</xdr:col>
      <xdr:colOff>0</xdr:colOff>
      <xdr:row>83</xdr:row>
      <xdr:rowOff>114300</xdr:rowOff>
    </xdr:to>
    <xdr:graphicFrame macro="">
      <xdr:nvGraphicFramePr>
        <xdr:cNvPr id="13" name="Største avviksdrivere per konto">
          <a:extLst>
            <a:ext uri="{FF2B5EF4-FFF2-40B4-BE49-F238E27FC236}">
              <a16:creationId xmlns:a16="http://schemas.microsoft.com/office/drawing/2014/main" id="{5C6C3E29-DD7A-A0E8-F7DA-69E870801D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2381</xdr:colOff>
      <xdr:row>36</xdr:row>
      <xdr:rowOff>85724</xdr:rowOff>
    </xdr:from>
    <xdr:to>
      <xdr:col>7</xdr:col>
      <xdr:colOff>381001</xdr:colOff>
      <xdr:row>54</xdr:row>
      <xdr:rowOff>142874</xdr:rowOff>
    </xdr:to>
    <xdr:graphicFrame macro="">
      <xdr:nvGraphicFramePr>
        <xdr:cNvPr id="14" name="Avvik etter hovedgruppe">
          <a:extLst>
            <a:ext uri="{FF2B5EF4-FFF2-40B4-BE49-F238E27FC236}">
              <a16:creationId xmlns:a16="http://schemas.microsoft.com/office/drawing/2014/main" id="{1F081000-74F3-01E6-A6AD-C3462374BB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793</xdr:colOff>
      <xdr:row>36</xdr:row>
      <xdr:rowOff>65087</xdr:rowOff>
    </xdr:from>
    <xdr:to>
      <xdr:col>13</xdr:col>
      <xdr:colOff>261937</xdr:colOff>
      <xdr:row>54</xdr:row>
      <xdr:rowOff>122237</xdr:rowOff>
    </xdr:to>
    <xdr:graphicFrame macro="">
      <xdr:nvGraphicFramePr>
        <xdr:cNvPr id="15" name="Drivere per undergruppe">
          <a:extLst>
            <a:ext uri="{FF2B5EF4-FFF2-40B4-BE49-F238E27FC236}">
              <a16:creationId xmlns:a16="http://schemas.microsoft.com/office/drawing/2014/main" id="{24045B42-AB4D-9326-0FBD-A5ECEFD31B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833437</xdr:colOff>
      <xdr:row>9</xdr:row>
      <xdr:rowOff>36511</xdr:rowOff>
    </xdr:from>
    <xdr:to>
      <xdr:col>13</xdr:col>
      <xdr:colOff>1282700</xdr:colOff>
      <xdr:row>27</xdr:row>
      <xdr:rowOff>93661</xdr:rowOff>
    </xdr:to>
    <xdr:graphicFrame macro="">
      <xdr:nvGraphicFramePr>
        <xdr:cNvPr id="16" name="Merforbruk per måned">
          <a:extLst>
            <a:ext uri="{FF2B5EF4-FFF2-40B4-BE49-F238E27FC236}">
              <a16:creationId xmlns:a16="http://schemas.microsoft.com/office/drawing/2014/main" id="{846FC784-4029-E2AF-4DA3-C880476D8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17991</xdr:colOff>
      <xdr:row>28</xdr:row>
      <xdr:rowOff>0</xdr:rowOff>
    </xdr:from>
    <xdr:to>
      <xdr:col>11</xdr:col>
      <xdr:colOff>941917</xdr:colOff>
      <xdr:row>41</xdr:row>
      <xdr:rowOff>42333</xdr:rowOff>
    </xdr:to>
    <xdr:graphicFrame macro="">
      <xdr:nvGraphicFramePr>
        <xdr:cNvPr id="2" name="Bokført og prognose 2024">
          <a:extLst>
            <a:ext uri="{FF2B5EF4-FFF2-40B4-BE49-F238E27FC236}">
              <a16:creationId xmlns:a16="http://schemas.microsoft.com/office/drawing/2014/main" id="{1CE98C98-DBAA-50BE-2AD5-4BE36FD3FD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55561</xdr:colOff>
      <xdr:row>37</xdr:row>
      <xdr:rowOff>152400</xdr:rowOff>
    </xdr:from>
    <xdr:to>
      <xdr:col>3</xdr:col>
      <xdr:colOff>1401762</xdr:colOff>
      <xdr:row>54</xdr:row>
      <xdr:rowOff>30956</xdr:rowOff>
    </xdr:to>
    <xdr:graphicFrame macro="">
      <xdr:nvGraphicFramePr>
        <xdr:cNvPr id="4" name="Restavvik i tre scenarier">
          <a:extLst>
            <a:ext uri="{FF2B5EF4-FFF2-40B4-BE49-F238E27FC236}">
              <a16:creationId xmlns:a16="http://schemas.microsoft.com/office/drawing/2014/main" id="{C63CBA89-FC7B-E03A-B2CB-2C0E2AA1B3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74611</xdr:colOff>
      <xdr:row>38</xdr:row>
      <xdr:rowOff>50006</xdr:rowOff>
    </xdr:from>
    <xdr:to>
      <xdr:col>12</xdr:col>
      <xdr:colOff>35718</xdr:colOff>
      <xdr:row>53</xdr:row>
      <xdr:rowOff>130969</xdr:rowOff>
    </xdr:to>
    <xdr:graphicFrame macro="">
      <xdr:nvGraphicFramePr>
        <xdr:cNvPr id="5" name="Ny prognose 2024 - månedlig">
          <a:extLst>
            <a:ext uri="{FF2B5EF4-FFF2-40B4-BE49-F238E27FC236}">
              <a16:creationId xmlns:a16="http://schemas.microsoft.com/office/drawing/2014/main" id="{3BF344AE-45A5-920B-FFE6-2935848A91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981074</xdr:colOff>
      <xdr:row>16</xdr:row>
      <xdr:rowOff>47625</xdr:rowOff>
    </xdr:from>
    <xdr:to>
      <xdr:col>11</xdr:col>
      <xdr:colOff>968374</xdr:colOff>
      <xdr:row>29</xdr:row>
      <xdr:rowOff>82550</xdr:rowOff>
    </xdr:to>
    <xdr:graphicFrame macro="">
      <xdr:nvGraphicFramePr>
        <xdr:cNvPr id="3" name="Langsiktig effekt per tiltak">
          <a:extLst>
            <a:ext uri="{FF2B5EF4-FFF2-40B4-BE49-F238E27FC236}">
              <a16:creationId xmlns:a16="http://schemas.microsoft.com/office/drawing/2014/main" id="{142DE70E-F501-35A2-1685-3A3CA650D1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k Ellingsen" refreshedDate="46307.877847453703" createdVersion="8" refreshedVersion="8" minRefreshableVersion="3" recordCount="1056" xr:uid="{1A43E0EF-029B-47EE-85AF-BABC9168A147}">
  <cacheSource type="worksheet">
    <worksheetSource name="tbl_BoMiljo"/>
  </cacheSource>
  <cacheFields count="17">
    <cacheField name="Periode" numFmtId="0">
      <sharedItems count="12">
        <s v="2024-01"/>
        <s v="2024-02"/>
        <s v="2024-03"/>
        <s v="2024-04"/>
        <s v="2024-05"/>
        <s v="2024-06"/>
        <s v="2024-07"/>
        <s v="2024-08"/>
        <s v="2024-09"/>
        <s v="2024-10"/>
        <s v="2024-11"/>
        <s v="2024-12"/>
      </sharedItems>
    </cacheField>
    <cacheField name="Måned" numFmtId="0">
      <sharedItems/>
    </cacheField>
    <cacheField name="Måned_Nr" numFmtId="0">
      <sharedItems containsSemiMixedTypes="0" containsString="0" containsNumber="1" containsInteger="1" minValue="1" maxValue="12"/>
    </cacheField>
    <cacheField name="Tertial" numFmtId="0">
      <sharedItems/>
    </cacheField>
    <cacheField name="Status" numFmtId="0">
      <sharedItems count="2">
        <s v="Bokført"/>
        <s v="Gjenstående budsjett"/>
      </sharedItems>
    </cacheField>
    <cacheField name="Lokasjon" numFmtId="0">
      <sharedItems/>
    </cacheField>
    <cacheField name="KOSTRA_Funksjon" numFmtId="0">
      <sharedItems containsSemiMixedTypes="0" containsString="0" containsNumber="1" containsInteger="1" minValue="254" maxValue="254"/>
    </cacheField>
    <cacheField name="Tjenesteområde" numFmtId="0">
      <sharedItems/>
    </cacheField>
    <cacheField name="Hovedgruppe" numFmtId="0">
      <sharedItems count="3">
        <s v="1 Lønn"/>
        <s v="2 Utgifter"/>
        <s v="3 Inntekter"/>
      </sharedItems>
    </cacheField>
    <cacheField name="Undergruppe" numFmtId="0">
      <sharedItems count="6">
        <s v="10 Lønn"/>
        <s v="11 Refusjon lønn"/>
        <s v="14 Overføringer"/>
        <s v="15 Finansutgifter"/>
        <s v="16 Brukerbetaling"/>
        <s v="17 Refusjoner"/>
      </sharedItems>
    </cacheField>
    <cacheField name="KOSTRA_Art" numFmtId="0">
      <sharedItems containsSemiMixedTypes="0" containsString="0" containsNumber="1" containsInteger="1" minValue="1010" maxValue="1770"/>
    </cacheField>
    <cacheField name="Kontokode" numFmtId="0">
      <sharedItems containsSemiMixedTypes="0" containsString="0" containsNumber="1" containsInteger="1" minValue="101000" maxValue="177000"/>
    </cacheField>
    <cacheField name="Kontonavn" numFmtId="0">
      <sharedItems/>
    </cacheField>
    <cacheField name="Budsjett" numFmtId="0">
      <sharedItems containsSemiMixedTypes="0" containsString="0" containsNumber="1" containsInteger="1" minValue="-126322" maxValue="1055848"/>
    </cacheField>
    <cacheField name="Regnskap" numFmtId="0">
      <sharedItems containsSemiMixedTypes="0" containsString="0" containsNumber="1" minValue="-99000" maxValue="1034142.89"/>
    </cacheField>
    <cacheField name="Avvik" numFmtId="0">
      <sharedItems containsSemiMixedTypes="0" containsString="0" containsNumber="1" minValue="-238180.5" maxValue="253176"/>
    </cacheField>
    <cacheField name="Merforbruk" numFmtId="0">
      <sharedItems containsSemiMixedTypes="0" containsString="0" containsNumber="1" minValue="-857364" maxValue="253176"/>
    </cacheField>
  </cacheFields>
  <extLst>
    <ext xmlns:x14="http://schemas.microsoft.com/office/spreadsheetml/2009/9/main" uri="{725AE2AE-9491-48be-B2B4-4EB974FC3084}">
      <x14:pivotCacheDefinition pivotCacheId="14884344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6">
  <r>
    <x v="0"/>
    <s v="Januar"/>
    <n v="1"/>
    <s v="T1"/>
    <x v="0"/>
    <s v="Kommunal Boenhet"/>
    <n v="254"/>
    <s v="Helse og mestring"/>
    <x v="0"/>
    <x v="0"/>
    <n v="1010"/>
    <n v="101000"/>
    <s v="Fastlønn - ordinære"/>
    <n v="821676"/>
    <n v="659882.34"/>
    <n v="161793.66"/>
    <n v="-161793.66"/>
  </r>
  <r>
    <x v="1"/>
    <s v="Februar"/>
    <n v="2"/>
    <s v="T1"/>
    <x v="0"/>
    <s v="Kommunal Boenhet"/>
    <n v="254"/>
    <s v="Helse og mestring"/>
    <x v="0"/>
    <x v="0"/>
    <n v="1010"/>
    <n v="101000"/>
    <s v="Fastlønn - ordinære"/>
    <n v="821676"/>
    <n v="956490.83"/>
    <n v="-134814.82999999999"/>
    <n v="134814.82999999999"/>
  </r>
  <r>
    <x v="2"/>
    <s v="Mars"/>
    <n v="3"/>
    <s v="T1"/>
    <x v="0"/>
    <s v="Kommunal Boenhet"/>
    <n v="254"/>
    <s v="Helse og mestring"/>
    <x v="0"/>
    <x v="0"/>
    <n v="1010"/>
    <n v="101000"/>
    <s v="Fastlønn - ordinære"/>
    <n v="821676"/>
    <n v="923021.33"/>
    <n v="-101345.33"/>
    <n v="101345.33"/>
  </r>
  <r>
    <x v="3"/>
    <s v="April"/>
    <n v="4"/>
    <s v="T1"/>
    <x v="0"/>
    <s v="Kommunal Boenhet"/>
    <n v="254"/>
    <s v="Helse og mestring"/>
    <x v="0"/>
    <x v="0"/>
    <n v="1010"/>
    <n v="101000"/>
    <s v="Fastlønn - ordinære"/>
    <n v="821676"/>
    <n v="804796.85"/>
    <n v="16879.150000000001"/>
    <n v="-16879.150000000001"/>
  </r>
  <r>
    <x v="4"/>
    <s v="Mai"/>
    <n v="5"/>
    <s v="T2"/>
    <x v="0"/>
    <s v="Kommunal Boenhet"/>
    <n v="254"/>
    <s v="Helse og mestring"/>
    <x v="0"/>
    <x v="0"/>
    <n v="1010"/>
    <n v="101000"/>
    <s v="Fastlønn - ordinære"/>
    <n v="857162"/>
    <n v="920235.95"/>
    <n v="-63073.95"/>
    <n v="63073.95"/>
  </r>
  <r>
    <x v="5"/>
    <s v="Juni"/>
    <n v="6"/>
    <s v="T2"/>
    <x v="0"/>
    <s v="Kommunal Boenhet"/>
    <n v="254"/>
    <s v="Helse og mestring"/>
    <x v="0"/>
    <x v="0"/>
    <n v="1010"/>
    <n v="101000"/>
    <s v="Fastlønn - ordinære"/>
    <n v="-126322"/>
    <n v="111858.5"/>
    <n v="-238180.5"/>
    <n v="238180.5"/>
  </r>
  <r>
    <x v="6"/>
    <s v="Juli"/>
    <n v="7"/>
    <s v="T2"/>
    <x v="0"/>
    <s v="Kommunal Boenhet"/>
    <n v="254"/>
    <s v="Helse og mestring"/>
    <x v="0"/>
    <x v="0"/>
    <n v="1010"/>
    <n v="101000"/>
    <s v="Fastlønn - ordinære"/>
    <n v="857144"/>
    <n v="953189.12"/>
    <n v="-96045.119999999995"/>
    <n v="96045.119999999995"/>
  </r>
  <r>
    <x v="7"/>
    <s v="August"/>
    <n v="8"/>
    <s v="T2"/>
    <x v="0"/>
    <s v="Kommunal Boenhet"/>
    <n v="254"/>
    <s v="Helse og mestring"/>
    <x v="0"/>
    <x v="0"/>
    <n v="1010"/>
    <n v="101000"/>
    <s v="Fastlønn - ordinære"/>
    <n v="857162"/>
    <n v="877293.69"/>
    <n v="-20131.689999999999"/>
    <n v="20131.689999999999"/>
  </r>
  <r>
    <x v="8"/>
    <s v="September"/>
    <n v="9"/>
    <s v="T3"/>
    <x v="1"/>
    <s v="Kommunal Boenhet"/>
    <n v="254"/>
    <s v="Helse og mestring"/>
    <x v="0"/>
    <x v="0"/>
    <n v="1010"/>
    <n v="101000"/>
    <s v="Fastlønn - ordinære"/>
    <n v="857162"/>
    <n v="0"/>
    <n v="0"/>
    <n v="-857162"/>
  </r>
  <r>
    <x v="9"/>
    <s v="Oktober"/>
    <n v="10"/>
    <s v="T3"/>
    <x v="1"/>
    <s v="Kommunal Boenhet"/>
    <n v="254"/>
    <s v="Helse og mestring"/>
    <x v="0"/>
    <x v="0"/>
    <n v="1010"/>
    <n v="101000"/>
    <s v="Fastlønn - ordinære"/>
    <n v="857162"/>
    <n v="0"/>
    <n v="0"/>
    <n v="-857162"/>
  </r>
  <r>
    <x v="10"/>
    <s v="November"/>
    <n v="11"/>
    <s v="T3"/>
    <x v="1"/>
    <s v="Kommunal Boenhet"/>
    <n v="254"/>
    <s v="Helse og mestring"/>
    <x v="0"/>
    <x v="0"/>
    <n v="1010"/>
    <n v="101000"/>
    <s v="Fastlønn - ordinære"/>
    <n v="857162"/>
    <n v="0"/>
    <n v="0"/>
    <n v="-857162"/>
  </r>
  <r>
    <x v="11"/>
    <s v="Desember"/>
    <n v="12"/>
    <s v="T3"/>
    <x v="1"/>
    <s v="Kommunal Boenhet"/>
    <n v="254"/>
    <s v="Helse og mestring"/>
    <x v="0"/>
    <x v="0"/>
    <n v="1010"/>
    <n v="101000"/>
    <s v="Fastlønn - ordinære"/>
    <n v="857364"/>
    <n v="0"/>
    <n v="0"/>
    <n v="-857364"/>
  </r>
  <r>
    <x v="0"/>
    <s v="Januar"/>
    <n v="1"/>
    <s v="T1"/>
    <x v="0"/>
    <s v="Kommunal Boenhet"/>
    <n v="254"/>
    <s v="Helse og mestring"/>
    <x v="0"/>
    <x v="0"/>
    <n v="1010"/>
    <n v="101030"/>
    <s v="Fastlønn - lørdags- og søndagstillegg"/>
    <n v="56644"/>
    <n v="36599.82"/>
    <n v="20044.18"/>
    <n v="-20044.18"/>
  </r>
  <r>
    <x v="1"/>
    <s v="Februar"/>
    <n v="2"/>
    <s v="T1"/>
    <x v="0"/>
    <s v="Kommunal Boenhet"/>
    <n v="254"/>
    <s v="Helse og mestring"/>
    <x v="0"/>
    <x v="0"/>
    <n v="1010"/>
    <n v="101030"/>
    <s v="Fastlønn - lørdags- og søndagstillegg"/>
    <n v="56644"/>
    <n v="70150.5"/>
    <n v="-13506.5"/>
    <n v="13506.5"/>
  </r>
  <r>
    <x v="2"/>
    <s v="Mars"/>
    <n v="3"/>
    <s v="T1"/>
    <x v="0"/>
    <s v="Kommunal Boenhet"/>
    <n v="254"/>
    <s v="Helse og mestring"/>
    <x v="0"/>
    <x v="0"/>
    <n v="1010"/>
    <n v="101030"/>
    <s v="Fastlønn - lørdags- og søndagstillegg"/>
    <n v="56644"/>
    <n v="39979.31"/>
    <n v="16664.689999999999"/>
    <n v="-16664.689999999999"/>
  </r>
  <r>
    <x v="3"/>
    <s v="April"/>
    <n v="4"/>
    <s v="T1"/>
    <x v="0"/>
    <s v="Kommunal Boenhet"/>
    <n v="254"/>
    <s v="Helse og mestring"/>
    <x v="0"/>
    <x v="0"/>
    <n v="1010"/>
    <n v="101030"/>
    <s v="Fastlønn - lørdags- og søndagstillegg"/>
    <n v="56644"/>
    <n v="48274.93"/>
    <n v="8369.07"/>
    <n v="-8369.07"/>
  </r>
  <r>
    <x v="4"/>
    <s v="Mai"/>
    <n v="5"/>
    <s v="T2"/>
    <x v="0"/>
    <s v="Kommunal Boenhet"/>
    <n v="254"/>
    <s v="Helse og mestring"/>
    <x v="0"/>
    <x v="0"/>
    <n v="1010"/>
    <n v="101030"/>
    <s v="Fastlønn - lørdags- og søndagstillegg"/>
    <n v="56644"/>
    <n v="47870.48"/>
    <n v="8773.52"/>
    <n v="-8773.52"/>
  </r>
  <r>
    <x v="5"/>
    <s v="Juni"/>
    <n v="6"/>
    <s v="T2"/>
    <x v="0"/>
    <s v="Kommunal Boenhet"/>
    <n v="254"/>
    <s v="Helse og mestring"/>
    <x v="0"/>
    <x v="0"/>
    <n v="1010"/>
    <n v="101030"/>
    <s v="Fastlønn - lørdags- og søndagstillegg"/>
    <n v="56644"/>
    <n v="-6962.54"/>
    <n v="63606.54"/>
    <n v="-63606.54"/>
  </r>
  <r>
    <x v="6"/>
    <s v="Juli"/>
    <n v="7"/>
    <s v="T2"/>
    <x v="0"/>
    <s v="Kommunal Boenhet"/>
    <n v="254"/>
    <s v="Helse og mestring"/>
    <x v="0"/>
    <x v="0"/>
    <n v="1010"/>
    <n v="101030"/>
    <s v="Fastlønn - lørdags- og søndagstillegg"/>
    <n v="56644"/>
    <n v="43842.94"/>
    <n v="12801.06"/>
    <n v="-12801.06"/>
  </r>
  <r>
    <x v="7"/>
    <s v="August"/>
    <n v="8"/>
    <s v="T2"/>
    <x v="0"/>
    <s v="Kommunal Boenhet"/>
    <n v="254"/>
    <s v="Helse og mestring"/>
    <x v="0"/>
    <x v="0"/>
    <n v="1010"/>
    <n v="101030"/>
    <s v="Fastlønn - lørdags- og søndagstillegg"/>
    <n v="56644"/>
    <n v="44006.01"/>
    <n v="12637.99"/>
    <n v="-12637.99"/>
  </r>
  <r>
    <x v="8"/>
    <s v="September"/>
    <n v="9"/>
    <s v="T3"/>
    <x v="1"/>
    <s v="Kommunal Boenhet"/>
    <n v="254"/>
    <s v="Helse og mestring"/>
    <x v="0"/>
    <x v="0"/>
    <n v="1010"/>
    <n v="101030"/>
    <s v="Fastlønn - lørdags- og søndagstillegg"/>
    <n v="56644"/>
    <n v="0"/>
    <n v="0"/>
    <n v="-56644"/>
  </r>
  <r>
    <x v="9"/>
    <s v="Oktober"/>
    <n v="10"/>
    <s v="T3"/>
    <x v="1"/>
    <s v="Kommunal Boenhet"/>
    <n v="254"/>
    <s v="Helse og mestring"/>
    <x v="0"/>
    <x v="0"/>
    <n v="1010"/>
    <n v="101030"/>
    <s v="Fastlønn - lørdags- og søndagstillegg"/>
    <n v="56644"/>
    <n v="0"/>
    <n v="0"/>
    <n v="-56644"/>
  </r>
  <r>
    <x v="10"/>
    <s v="November"/>
    <n v="11"/>
    <s v="T3"/>
    <x v="1"/>
    <s v="Kommunal Boenhet"/>
    <n v="254"/>
    <s v="Helse og mestring"/>
    <x v="0"/>
    <x v="0"/>
    <n v="1010"/>
    <n v="101030"/>
    <s v="Fastlønn - lørdags- og søndagstillegg"/>
    <n v="56644"/>
    <n v="0"/>
    <n v="0"/>
    <n v="-56644"/>
  </r>
  <r>
    <x v="11"/>
    <s v="Desember"/>
    <n v="12"/>
    <s v="T3"/>
    <x v="1"/>
    <s v="Kommunal Boenhet"/>
    <n v="254"/>
    <s v="Helse og mestring"/>
    <x v="0"/>
    <x v="0"/>
    <n v="1010"/>
    <n v="101030"/>
    <s v="Fastlønn - lørdags- og søndagstillegg"/>
    <n v="56916"/>
    <n v="0"/>
    <n v="0"/>
    <n v="-56916"/>
  </r>
  <r>
    <x v="0"/>
    <s v="Januar"/>
    <n v="1"/>
    <s v="T1"/>
    <x v="0"/>
    <s v="Kommunal Boenhet"/>
    <n v="254"/>
    <s v="Helse og mestring"/>
    <x v="0"/>
    <x v="0"/>
    <n v="1010"/>
    <n v="101031"/>
    <s v="Fastlønn - kvelds- og nattillegg"/>
    <n v="70447"/>
    <n v="63095.38"/>
    <n v="7351.62"/>
    <n v="-7351.62"/>
  </r>
  <r>
    <x v="1"/>
    <s v="Februar"/>
    <n v="2"/>
    <s v="T1"/>
    <x v="0"/>
    <s v="Kommunal Boenhet"/>
    <n v="254"/>
    <s v="Helse og mestring"/>
    <x v="0"/>
    <x v="0"/>
    <n v="1010"/>
    <n v="101031"/>
    <s v="Fastlønn - kvelds- og nattillegg"/>
    <n v="70447"/>
    <n v="70583.67"/>
    <n v="-136.66999999999999"/>
    <n v="136.66999999999999"/>
  </r>
  <r>
    <x v="2"/>
    <s v="Mars"/>
    <n v="3"/>
    <s v="T1"/>
    <x v="0"/>
    <s v="Kommunal Boenhet"/>
    <n v="254"/>
    <s v="Helse og mestring"/>
    <x v="0"/>
    <x v="0"/>
    <n v="1010"/>
    <n v="101031"/>
    <s v="Fastlønn - kvelds- og nattillegg"/>
    <n v="70447"/>
    <n v="64251.839999999997"/>
    <n v="6195.16"/>
    <n v="-6195.16"/>
  </r>
  <r>
    <x v="3"/>
    <s v="April"/>
    <n v="4"/>
    <s v="T1"/>
    <x v="0"/>
    <s v="Kommunal Boenhet"/>
    <n v="254"/>
    <s v="Helse og mestring"/>
    <x v="0"/>
    <x v="0"/>
    <n v="1010"/>
    <n v="101031"/>
    <s v="Fastlønn - kvelds- og nattillegg"/>
    <n v="70447"/>
    <n v="84135.94"/>
    <n v="-13688.94"/>
    <n v="13688.94"/>
  </r>
  <r>
    <x v="4"/>
    <s v="Mai"/>
    <n v="5"/>
    <s v="T2"/>
    <x v="0"/>
    <s v="Kommunal Boenhet"/>
    <n v="254"/>
    <s v="Helse og mestring"/>
    <x v="0"/>
    <x v="0"/>
    <n v="1010"/>
    <n v="101031"/>
    <s v="Fastlønn - kvelds- og nattillegg"/>
    <n v="70447"/>
    <n v="79057.960000000006"/>
    <n v="-8610.9599999999991"/>
    <n v="8610.9599999999991"/>
  </r>
  <r>
    <x v="5"/>
    <s v="Juni"/>
    <n v="6"/>
    <s v="T2"/>
    <x v="0"/>
    <s v="Kommunal Boenhet"/>
    <n v="254"/>
    <s v="Helse og mestring"/>
    <x v="0"/>
    <x v="0"/>
    <n v="1010"/>
    <n v="101031"/>
    <s v="Fastlønn - kvelds- og nattillegg"/>
    <n v="70447"/>
    <n v="-14989.09"/>
    <n v="85436.09"/>
    <n v="-85436.09"/>
  </r>
  <r>
    <x v="6"/>
    <s v="Juli"/>
    <n v="7"/>
    <s v="T2"/>
    <x v="0"/>
    <s v="Kommunal Boenhet"/>
    <n v="254"/>
    <s v="Helse og mestring"/>
    <x v="0"/>
    <x v="0"/>
    <n v="1010"/>
    <n v="101031"/>
    <s v="Fastlønn - kvelds- og nattillegg"/>
    <n v="70447"/>
    <n v="66994.64"/>
    <n v="3452.36"/>
    <n v="-3452.36"/>
  </r>
  <r>
    <x v="7"/>
    <s v="August"/>
    <n v="8"/>
    <s v="T2"/>
    <x v="0"/>
    <s v="Kommunal Boenhet"/>
    <n v="254"/>
    <s v="Helse og mestring"/>
    <x v="0"/>
    <x v="0"/>
    <n v="1010"/>
    <n v="101031"/>
    <s v="Fastlønn - kvelds- og nattillegg"/>
    <n v="70447"/>
    <n v="68899.92"/>
    <n v="1547.08"/>
    <n v="-1547.08"/>
  </r>
  <r>
    <x v="8"/>
    <s v="September"/>
    <n v="9"/>
    <s v="T3"/>
    <x v="1"/>
    <s v="Kommunal Boenhet"/>
    <n v="254"/>
    <s v="Helse og mestring"/>
    <x v="0"/>
    <x v="0"/>
    <n v="1010"/>
    <n v="101031"/>
    <s v="Fastlønn - kvelds- og nattillegg"/>
    <n v="70447"/>
    <n v="0"/>
    <n v="0"/>
    <n v="-70447"/>
  </r>
  <r>
    <x v="9"/>
    <s v="Oktober"/>
    <n v="10"/>
    <s v="T3"/>
    <x v="1"/>
    <s v="Kommunal Boenhet"/>
    <n v="254"/>
    <s v="Helse og mestring"/>
    <x v="0"/>
    <x v="0"/>
    <n v="1010"/>
    <n v="101031"/>
    <s v="Fastlønn - kvelds- og nattillegg"/>
    <n v="70447"/>
    <n v="0"/>
    <n v="0"/>
    <n v="-70447"/>
  </r>
  <r>
    <x v="10"/>
    <s v="November"/>
    <n v="11"/>
    <s v="T3"/>
    <x v="1"/>
    <s v="Kommunal Boenhet"/>
    <n v="254"/>
    <s v="Helse og mestring"/>
    <x v="0"/>
    <x v="0"/>
    <n v="1010"/>
    <n v="101031"/>
    <s v="Fastlønn - kvelds- og nattillegg"/>
    <n v="70447"/>
    <n v="0"/>
    <n v="0"/>
    <n v="-70447"/>
  </r>
  <r>
    <x v="11"/>
    <s v="Desember"/>
    <n v="12"/>
    <s v="T3"/>
    <x v="1"/>
    <s v="Kommunal Boenhet"/>
    <n v="254"/>
    <s v="Helse og mestring"/>
    <x v="0"/>
    <x v="0"/>
    <n v="1010"/>
    <n v="101031"/>
    <s v="Fastlønn - kvelds- og nattillegg"/>
    <n v="70783"/>
    <n v="0"/>
    <n v="0"/>
    <n v="-70783"/>
  </r>
  <r>
    <x v="0"/>
    <s v="Januar"/>
    <n v="1"/>
    <s v="T1"/>
    <x v="0"/>
    <s v="Kommunal Boenhet"/>
    <n v="254"/>
    <s v="Helse og mestring"/>
    <x v="0"/>
    <x v="0"/>
    <n v="1010"/>
    <n v="101032"/>
    <s v="Fastlønn - helligdagstillegg"/>
    <n v="41400"/>
    <n v="0"/>
    <n v="41400"/>
    <n v="-41400"/>
  </r>
  <r>
    <x v="1"/>
    <s v="Februar"/>
    <n v="2"/>
    <s v="T1"/>
    <x v="0"/>
    <s v="Kommunal Boenhet"/>
    <n v="254"/>
    <s v="Helse og mestring"/>
    <x v="0"/>
    <x v="0"/>
    <n v="1010"/>
    <n v="101032"/>
    <s v="Fastlønn - helligdagstillegg"/>
    <n v="69138"/>
    <n v="68846.149999999994"/>
    <n v="291.85000000000002"/>
    <n v="-291.85000000000002"/>
  </r>
  <r>
    <x v="2"/>
    <s v="Mars"/>
    <n v="3"/>
    <s v="T1"/>
    <x v="0"/>
    <s v="Kommunal Boenhet"/>
    <n v="254"/>
    <s v="Helse og mestring"/>
    <x v="0"/>
    <x v="0"/>
    <n v="1010"/>
    <n v="101032"/>
    <s v="Fastlønn - helligdagstillegg"/>
    <n v="0"/>
    <n v="0"/>
    <n v="0"/>
    <n v="0"/>
  </r>
  <r>
    <x v="3"/>
    <s v="April"/>
    <n v="4"/>
    <s v="T1"/>
    <x v="0"/>
    <s v="Kommunal Boenhet"/>
    <n v="254"/>
    <s v="Helse og mestring"/>
    <x v="0"/>
    <x v="0"/>
    <n v="1010"/>
    <n v="101032"/>
    <s v="Fastlønn - helligdagstillegg"/>
    <n v="0"/>
    <n v="0"/>
    <n v="0"/>
    <n v="0"/>
  </r>
  <r>
    <x v="4"/>
    <s v="Mai"/>
    <n v="5"/>
    <s v="T2"/>
    <x v="0"/>
    <s v="Kommunal Boenhet"/>
    <n v="254"/>
    <s v="Helse og mestring"/>
    <x v="0"/>
    <x v="0"/>
    <n v="1010"/>
    <n v="101032"/>
    <s v="Fastlønn - helligdagstillegg"/>
    <n v="151524"/>
    <n v="124415.44"/>
    <n v="27108.560000000001"/>
    <n v="-27108.560000000001"/>
  </r>
  <r>
    <x v="5"/>
    <s v="Juni"/>
    <n v="6"/>
    <s v="T2"/>
    <x v="0"/>
    <s v="Kommunal Boenhet"/>
    <n v="254"/>
    <s v="Helse og mestring"/>
    <x v="0"/>
    <x v="0"/>
    <n v="1010"/>
    <n v="101032"/>
    <s v="Fastlønn - helligdagstillegg"/>
    <n v="82800"/>
    <n v="83030.13"/>
    <n v="-230.13"/>
    <n v="230.13"/>
  </r>
  <r>
    <x v="6"/>
    <s v="Juli"/>
    <n v="7"/>
    <s v="T2"/>
    <x v="0"/>
    <s v="Kommunal Boenhet"/>
    <n v="254"/>
    <s v="Helse og mestring"/>
    <x v="0"/>
    <x v="0"/>
    <n v="1010"/>
    <n v="101032"/>
    <s v="Fastlønn - helligdagstillegg"/>
    <n v="69138"/>
    <n v="74223.33"/>
    <n v="-5085.33"/>
    <n v="5085.33"/>
  </r>
  <r>
    <x v="7"/>
    <s v="August"/>
    <n v="8"/>
    <s v="T2"/>
    <x v="0"/>
    <s v="Kommunal Boenhet"/>
    <n v="254"/>
    <s v="Helse og mestring"/>
    <x v="0"/>
    <x v="0"/>
    <n v="1010"/>
    <n v="101032"/>
    <s v="Fastlønn - helligdagstillegg"/>
    <n v="0"/>
    <n v="0"/>
    <n v="0"/>
    <n v="0"/>
  </r>
  <r>
    <x v="8"/>
    <s v="September"/>
    <n v="9"/>
    <s v="T3"/>
    <x v="1"/>
    <s v="Kommunal Boenhet"/>
    <n v="254"/>
    <s v="Helse og mestring"/>
    <x v="0"/>
    <x v="0"/>
    <n v="1010"/>
    <n v="101032"/>
    <s v="Fastlønn - helligdagstillegg"/>
    <n v="0"/>
    <n v="0"/>
    <n v="0"/>
    <n v="0"/>
  </r>
  <r>
    <x v="9"/>
    <s v="Oktober"/>
    <n v="10"/>
    <s v="T3"/>
    <x v="1"/>
    <s v="Kommunal Boenhet"/>
    <n v="254"/>
    <s v="Helse og mestring"/>
    <x v="0"/>
    <x v="0"/>
    <n v="1010"/>
    <n v="101032"/>
    <s v="Fastlønn - helligdagstillegg"/>
    <n v="0"/>
    <n v="0"/>
    <n v="0"/>
    <n v="0"/>
  </r>
  <r>
    <x v="10"/>
    <s v="November"/>
    <n v="11"/>
    <s v="T3"/>
    <x v="1"/>
    <s v="Kommunal Boenhet"/>
    <n v="254"/>
    <s v="Helse og mestring"/>
    <x v="0"/>
    <x v="0"/>
    <n v="1010"/>
    <n v="101032"/>
    <s v="Fastlønn - helligdagstillegg"/>
    <n v="0"/>
    <n v="0"/>
    <n v="0"/>
    <n v="0"/>
  </r>
  <r>
    <x v="11"/>
    <s v="Desember"/>
    <n v="12"/>
    <s v="T3"/>
    <x v="1"/>
    <s v="Kommunal Boenhet"/>
    <n v="254"/>
    <s v="Helse og mestring"/>
    <x v="0"/>
    <x v="0"/>
    <n v="1010"/>
    <n v="101032"/>
    <s v="Fastlønn - helligdagstillegg"/>
    <n v="0"/>
    <n v="0"/>
    <n v="0"/>
    <n v="0"/>
  </r>
  <r>
    <x v="0"/>
    <s v="Januar"/>
    <n v="1"/>
    <s v="T1"/>
    <x v="0"/>
    <s v="Kommunal Boenhet"/>
    <n v="254"/>
    <s v="Helse og mestring"/>
    <x v="0"/>
    <x v="0"/>
    <n v="1010"/>
    <n v="101040"/>
    <s v="Fastlønn - veiledningstillegg"/>
    <n v="1292"/>
    <n v="0"/>
    <n v="1292"/>
    <n v="-1292"/>
  </r>
  <r>
    <x v="1"/>
    <s v="Februar"/>
    <n v="2"/>
    <s v="T1"/>
    <x v="0"/>
    <s v="Kommunal Boenhet"/>
    <n v="254"/>
    <s v="Helse og mestring"/>
    <x v="0"/>
    <x v="0"/>
    <n v="1010"/>
    <n v="101040"/>
    <s v="Fastlønn - veiledningstillegg"/>
    <n v="1292"/>
    <n v="0"/>
    <n v="1292"/>
    <n v="-1292"/>
  </r>
  <r>
    <x v="2"/>
    <s v="Mars"/>
    <n v="3"/>
    <s v="T1"/>
    <x v="0"/>
    <s v="Kommunal Boenhet"/>
    <n v="254"/>
    <s v="Helse og mestring"/>
    <x v="0"/>
    <x v="0"/>
    <n v="1010"/>
    <n v="101040"/>
    <s v="Fastlønn - veiledningstillegg"/>
    <n v="1292"/>
    <n v="686.45"/>
    <n v="605.54999999999995"/>
    <n v="-605.54999999999995"/>
  </r>
  <r>
    <x v="3"/>
    <s v="April"/>
    <n v="4"/>
    <s v="T1"/>
    <x v="0"/>
    <s v="Kommunal Boenhet"/>
    <n v="254"/>
    <s v="Helse og mestring"/>
    <x v="0"/>
    <x v="0"/>
    <n v="1010"/>
    <n v="101040"/>
    <s v="Fastlønn - veiledningstillegg"/>
    <n v="1292"/>
    <n v="1120"/>
    <n v="172"/>
    <n v="-172"/>
  </r>
  <r>
    <x v="4"/>
    <s v="Mai"/>
    <n v="5"/>
    <s v="T2"/>
    <x v="0"/>
    <s v="Kommunal Boenhet"/>
    <n v="254"/>
    <s v="Helse og mestring"/>
    <x v="0"/>
    <x v="0"/>
    <n v="1010"/>
    <n v="101040"/>
    <s v="Fastlønn - veiledningstillegg"/>
    <n v="1292"/>
    <n v="1120"/>
    <n v="172"/>
    <n v="-172"/>
  </r>
  <r>
    <x v="5"/>
    <s v="Juni"/>
    <n v="6"/>
    <s v="T2"/>
    <x v="0"/>
    <s v="Kommunal Boenhet"/>
    <n v="254"/>
    <s v="Helse og mestring"/>
    <x v="0"/>
    <x v="0"/>
    <n v="1010"/>
    <n v="101040"/>
    <s v="Fastlønn - veiledningstillegg"/>
    <n v="1292"/>
    <n v="-172.31"/>
    <n v="1464.31"/>
    <n v="-1464.31"/>
  </r>
  <r>
    <x v="6"/>
    <s v="Juli"/>
    <n v="7"/>
    <s v="T2"/>
    <x v="0"/>
    <s v="Kommunal Boenhet"/>
    <n v="254"/>
    <s v="Helse og mestring"/>
    <x v="0"/>
    <x v="0"/>
    <n v="1010"/>
    <n v="101040"/>
    <s v="Fastlønn - veiledningstillegg"/>
    <n v="1292"/>
    <n v="1120"/>
    <n v="172"/>
    <n v="-172"/>
  </r>
  <r>
    <x v="7"/>
    <s v="August"/>
    <n v="8"/>
    <s v="T2"/>
    <x v="0"/>
    <s v="Kommunal Boenhet"/>
    <n v="254"/>
    <s v="Helse og mestring"/>
    <x v="0"/>
    <x v="0"/>
    <n v="1010"/>
    <n v="101040"/>
    <s v="Fastlønn - veiledningstillegg"/>
    <n v="1292"/>
    <n v="1120"/>
    <n v="172"/>
    <n v="-172"/>
  </r>
  <r>
    <x v="8"/>
    <s v="September"/>
    <n v="9"/>
    <s v="T3"/>
    <x v="1"/>
    <s v="Kommunal Boenhet"/>
    <n v="254"/>
    <s v="Helse og mestring"/>
    <x v="0"/>
    <x v="0"/>
    <n v="1010"/>
    <n v="101040"/>
    <s v="Fastlønn - veiledningstillegg"/>
    <n v="1292"/>
    <n v="0"/>
    <n v="0"/>
    <n v="-1292"/>
  </r>
  <r>
    <x v="9"/>
    <s v="Oktober"/>
    <n v="10"/>
    <s v="T3"/>
    <x v="1"/>
    <s v="Kommunal Boenhet"/>
    <n v="254"/>
    <s v="Helse og mestring"/>
    <x v="0"/>
    <x v="0"/>
    <n v="1010"/>
    <n v="101040"/>
    <s v="Fastlønn - veiledningstillegg"/>
    <n v="1292"/>
    <n v="0"/>
    <n v="0"/>
    <n v="-1292"/>
  </r>
  <r>
    <x v="10"/>
    <s v="November"/>
    <n v="11"/>
    <s v="T3"/>
    <x v="1"/>
    <s v="Kommunal Boenhet"/>
    <n v="254"/>
    <s v="Helse og mestring"/>
    <x v="0"/>
    <x v="0"/>
    <n v="1010"/>
    <n v="101040"/>
    <s v="Fastlønn - veiledningstillegg"/>
    <n v="1292"/>
    <n v="0"/>
    <n v="0"/>
    <n v="-1292"/>
  </r>
  <r>
    <x v="11"/>
    <s v="Desember"/>
    <n v="12"/>
    <s v="T3"/>
    <x v="1"/>
    <s v="Kommunal Boenhet"/>
    <n v="254"/>
    <s v="Helse og mestring"/>
    <x v="0"/>
    <x v="0"/>
    <n v="1010"/>
    <n v="101040"/>
    <s v="Fastlønn - veiledningstillegg"/>
    <n v="1788"/>
    <n v="0"/>
    <n v="0"/>
    <n v="-1788"/>
  </r>
  <r>
    <x v="0"/>
    <s v="Januar"/>
    <n v="1"/>
    <s v="T1"/>
    <x v="0"/>
    <s v="Kommunal Boenhet"/>
    <n v="254"/>
    <s v="Helse og mestring"/>
    <x v="0"/>
    <x v="0"/>
    <n v="1020"/>
    <n v="102000"/>
    <s v="Vikar - sykefravær - med refusjon"/>
    <n v="16660"/>
    <n v="0"/>
    <n v="16660"/>
    <n v="-16660"/>
  </r>
  <r>
    <x v="1"/>
    <s v="Februar"/>
    <n v="2"/>
    <s v="T1"/>
    <x v="0"/>
    <s v="Kommunal Boenhet"/>
    <n v="254"/>
    <s v="Helse og mestring"/>
    <x v="0"/>
    <x v="0"/>
    <n v="1020"/>
    <n v="102000"/>
    <s v="Vikar - sykefravær - med refusjon"/>
    <n v="16660"/>
    <n v="96432.33"/>
    <n v="-79772.33"/>
    <n v="79772.33"/>
  </r>
  <r>
    <x v="2"/>
    <s v="Mars"/>
    <n v="3"/>
    <s v="T1"/>
    <x v="0"/>
    <s v="Kommunal Boenhet"/>
    <n v="254"/>
    <s v="Helse og mestring"/>
    <x v="0"/>
    <x v="0"/>
    <n v="1020"/>
    <n v="102000"/>
    <s v="Vikar - sykefravær - med refusjon"/>
    <n v="16660"/>
    <n v="35833.75"/>
    <n v="-19173.75"/>
    <n v="19173.75"/>
  </r>
  <r>
    <x v="3"/>
    <s v="April"/>
    <n v="4"/>
    <s v="T1"/>
    <x v="0"/>
    <s v="Kommunal Boenhet"/>
    <n v="254"/>
    <s v="Helse og mestring"/>
    <x v="0"/>
    <x v="0"/>
    <n v="1020"/>
    <n v="102000"/>
    <s v="Vikar - sykefravær - med refusjon"/>
    <n v="16660"/>
    <n v="34855.64"/>
    <n v="-18195.64"/>
    <n v="18195.64"/>
  </r>
  <r>
    <x v="4"/>
    <s v="Mai"/>
    <n v="5"/>
    <s v="T2"/>
    <x v="0"/>
    <s v="Kommunal Boenhet"/>
    <n v="254"/>
    <s v="Helse og mestring"/>
    <x v="0"/>
    <x v="0"/>
    <n v="1020"/>
    <n v="102000"/>
    <s v="Vikar - sykefravær - med refusjon"/>
    <n v="16660"/>
    <n v="13105.85"/>
    <n v="3554.15"/>
    <n v="-3554.15"/>
  </r>
  <r>
    <x v="5"/>
    <s v="Juni"/>
    <n v="6"/>
    <s v="T2"/>
    <x v="0"/>
    <s v="Kommunal Boenhet"/>
    <n v="254"/>
    <s v="Helse og mestring"/>
    <x v="0"/>
    <x v="0"/>
    <n v="1020"/>
    <n v="102000"/>
    <s v="Vikar - sykefravær - med refusjon"/>
    <n v="16660"/>
    <n v="3417.85"/>
    <n v="13242.15"/>
    <n v="-13242.15"/>
  </r>
  <r>
    <x v="6"/>
    <s v="Juli"/>
    <n v="7"/>
    <s v="T2"/>
    <x v="0"/>
    <s v="Kommunal Boenhet"/>
    <n v="254"/>
    <s v="Helse og mestring"/>
    <x v="0"/>
    <x v="0"/>
    <n v="1020"/>
    <n v="102000"/>
    <s v="Vikar - sykefravær - med refusjon"/>
    <n v="16660"/>
    <n v="13415.11"/>
    <n v="3244.89"/>
    <n v="-3244.89"/>
  </r>
  <r>
    <x v="7"/>
    <s v="August"/>
    <n v="8"/>
    <s v="T2"/>
    <x v="0"/>
    <s v="Kommunal Boenhet"/>
    <n v="254"/>
    <s v="Helse og mestring"/>
    <x v="0"/>
    <x v="0"/>
    <n v="1020"/>
    <n v="102000"/>
    <s v="Vikar - sykefravær - med refusjon"/>
    <n v="16660"/>
    <n v="15319.5"/>
    <n v="1340.5"/>
    <n v="-1340.5"/>
  </r>
  <r>
    <x v="8"/>
    <s v="September"/>
    <n v="9"/>
    <s v="T3"/>
    <x v="1"/>
    <s v="Kommunal Boenhet"/>
    <n v="254"/>
    <s v="Helse og mestring"/>
    <x v="0"/>
    <x v="0"/>
    <n v="1020"/>
    <n v="102000"/>
    <s v="Vikar - sykefravær - med refusjon"/>
    <n v="16660"/>
    <n v="0"/>
    <n v="0"/>
    <n v="-16660"/>
  </r>
  <r>
    <x v="9"/>
    <s v="Oktober"/>
    <n v="10"/>
    <s v="T3"/>
    <x v="1"/>
    <s v="Kommunal Boenhet"/>
    <n v="254"/>
    <s v="Helse og mestring"/>
    <x v="0"/>
    <x v="0"/>
    <n v="1020"/>
    <n v="102000"/>
    <s v="Vikar - sykefravær - med refusjon"/>
    <n v="16660"/>
    <n v="0"/>
    <n v="0"/>
    <n v="-16660"/>
  </r>
  <r>
    <x v="10"/>
    <s v="November"/>
    <n v="11"/>
    <s v="T3"/>
    <x v="1"/>
    <s v="Kommunal Boenhet"/>
    <n v="254"/>
    <s v="Helse og mestring"/>
    <x v="0"/>
    <x v="0"/>
    <n v="1020"/>
    <n v="102000"/>
    <s v="Vikar - sykefravær - med refusjon"/>
    <n v="16660"/>
    <n v="0"/>
    <n v="0"/>
    <n v="-16660"/>
  </r>
  <r>
    <x v="11"/>
    <s v="Desember"/>
    <n v="12"/>
    <s v="T3"/>
    <x v="1"/>
    <s v="Kommunal Boenhet"/>
    <n v="254"/>
    <s v="Helse og mestring"/>
    <x v="0"/>
    <x v="0"/>
    <n v="1020"/>
    <n v="102000"/>
    <s v="Vikar - sykefravær - med refusjon"/>
    <n v="16740"/>
    <n v="0"/>
    <n v="0"/>
    <n v="-16740"/>
  </r>
  <r>
    <x v="0"/>
    <s v="Januar"/>
    <n v="1"/>
    <s v="T1"/>
    <x v="0"/>
    <s v="Kommunal Boenhet"/>
    <n v="254"/>
    <s v="Helse og mestring"/>
    <x v="0"/>
    <x v="0"/>
    <n v="1020"/>
    <n v="102001"/>
    <s v="Vikar - sykefravær - uten refusjon"/>
    <n v="21809"/>
    <n v="0"/>
    <n v="21809"/>
    <n v="-21809"/>
  </r>
  <r>
    <x v="1"/>
    <s v="Februar"/>
    <n v="2"/>
    <s v="T1"/>
    <x v="0"/>
    <s v="Kommunal Boenhet"/>
    <n v="254"/>
    <s v="Helse og mestring"/>
    <x v="0"/>
    <x v="0"/>
    <n v="1020"/>
    <n v="102001"/>
    <s v="Vikar - sykefravær - uten refusjon"/>
    <n v="21809"/>
    <n v="39187.82"/>
    <n v="-17378.82"/>
    <n v="17378.82"/>
  </r>
  <r>
    <x v="2"/>
    <s v="Mars"/>
    <n v="3"/>
    <s v="T1"/>
    <x v="0"/>
    <s v="Kommunal Boenhet"/>
    <n v="254"/>
    <s v="Helse og mestring"/>
    <x v="0"/>
    <x v="0"/>
    <n v="1020"/>
    <n v="102001"/>
    <s v="Vikar - sykefravær - uten refusjon"/>
    <n v="21809"/>
    <n v="3729.89"/>
    <n v="18079.11"/>
    <n v="-18079.11"/>
  </r>
  <r>
    <x v="3"/>
    <s v="April"/>
    <n v="4"/>
    <s v="T1"/>
    <x v="0"/>
    <s v="Kommunal Boenhet"/>
    <n v="254"/>
    <s v="Helse og mestring"/>
    <x v="0"/>
    <x v="0"/>
    <n v="1020"/>
    <n v="102001"/>
    <s v="Vikar - sykefravær - uten refusjon"/>
    <n v="21809"/>
    <n v="1558.23"/>
    <n v="20250.77"/>
    <n v="-20250.77"/>
  </r>
  <r>
    <x v="4"/>
    <s v="Mai"/>
    <n v="5"/>
    <s v="T2"/>
    <x v="0"/>
    <s v="Kommunal Boenhet"/>
    <n v="254"/>
    <s v="Helse og mestring"/>
    <x v="0"/>
    <x v="0"/>
    <n v="1020"/>
    <n v="102001"/>
    <s v="Vikar - sykefravær - uten refusjon"/>
    <n v="21809"/>
    <n v="13647.27"/>
    <n v="8161.73"/>
    <n v="-8161.73"/>
  </r>
  <r>
    <x v="5"/>
    <s v="Juni"/>
    <n v="6"/>
    <s v="T2"/>
    <x v="0"/>
    <s v="Kommunal Boenhet"/>
    <n v="254"/>
    <s v="Helse og mestring"/>
    <x v="0"/>
    <x v="0"/>
    <n v="1020"/>
    <n v="102001"/>
    <s v="Vikar - sykefravær - uten refusjon"/>
    <n v="21807"/>
    <n v="18359.38"/>
    <n v="3447.62"/>
    <n v="-3447.62"/>
  </r>
  <r>
    <x v="6"/>
    <s v="Juli"/>
    <n v="7"/>
    <s v="T2"/>
    <x v="0"/>
    <s v="Kommunal Boenhet"/>
    <n v="254"/>
    <s v="Helse og mestring"/>
    <x v="0"/>
    <x v="0"/>
    <n v="1020"/>
    <n v="102001"/>
    <s v="Vikar - sykefravær - uten refusjon"/>
    <n v="21809"/>
    <n v="33861.46"/>
    <n v="-12052.46"/>
    <n v="12052.46"/>
  </r>
  <r>
    <x v="7"/>
    <s v="August"/>
    <n v="8"/>
    <s v="T2"/>
    <x v="0"/>
    <s v="Kommunal Boenhet"/>
    <n v="254"/>
    <s v="Helse og mestring"/>
    <x v="0"/>
    <x v="0"/>
    <n v="1020"/>
    <n v="102001"/>
    <s v="Vikar - sykefravær - uten refusjon"/>
    <n v="21809"/>
    <n v="18868.990000000002"/>
    <n v="2940.01"/>
    <n v="-2940.01"/>
  </r>
  <r>
    <x v="8"/>
    <s v="September"/>
    <n v="9"/>
    <s v="T3"/>
    <x v="1"/>
    <s v="Kommunal Boenhet"/>
    <n v="254"/>
    <s v="Helse og mestring"/>
    <x v="0"/>
    <x v="0"/>
    <n v="1020"/>
    <n v="102001"/>
    <s v="Vikar - sykefravær - uten refusjon"/>
    <n v="21809"/>
    <n v="0"/>
    <n v="0"/>
    <n v="-21809"/>
  </r>
  <r>
    <x v="9"/>
    <s v="Oktober"/>
    <n v="10"/>
    <s v="T3"/>
    <x v="1"/>
    <s v="Kommunal Boenhet"/>
    <n v="254"/>
    <s v="Helse og mestring"/>
    <x v="0"/>
    <x v="0"/>
    <n v="1020"/>
    <n v="102001"/>
    <s v="Vikar - sykefravær - uten refusjon"/>
    <n v="21809"/>
    <n v="0"/>
    <n v="0"/>
    <n v="-21809"/>
  </r>
  <r>
    <x v="10"/>
    <s v="November"/>
    <n v="11"/>
    <s v="T3"/>
    <x v="1"/>
    <s v="Kommunal Boenhet"/>
    <n v="254"/>
    <s v="Helse og mestring"/>
    <x v="0"/>
    <x v="0"/>
    <n v="1020"/>
    <n v="102001"/>
    <s v="Vikar - sykefravær - uten refusjon"/>
    <n v="21809"/>
    <n v="0"/>
    <n v="0"/>
    <n v="-21809"/>
  </r>
  <r>
    <x v="11"/>
    <s v="Desember"/>
    <n v="12"/>
    <s v="T3"/>
    <x v="1"/>
    <s v="Kommunal Boenhet"/>
    <n v="254"/>
    <s v="Helse og mestring"/>
    <x v="0"/>
    <x v="0"/>
    <n v="1020"/>
    <n v="102001"/>
    <s v="Vikar - sykefravær - uten refusjon"/>
    <n v="22103"/>
    <n v="0"/>
    <n v="0"/>
    <n v="-22103"/>
  </r>
  <r>
    <x v="0"/>
    <s v="Januar"/>
    <n v="1"/>
    <s v="T1"/>
    <x v="0"/>
    <s v="Kommunal Boenhet"/>
    <n v="254"/>
    <s v="Helse og mestring"/>
    <x v="0"/>
    <x v="0"/>
    <n v="1020"/>
    <n v="102002"/>
    <s v="Vikar - foreldrepermisjon"/>
    <n v="23741"/>
    <n v="0"/>
    <n v="23741"/>
    <n v="-23741"/>
  </r>
  <r>
    <x v="1"/>
    <s v="Februar"/>
    <n v="2"/>
    <s v="T1"/>
    <x v="0"/>
    <s v="Kommunal Boenhet"/>
    <n v="254"/>
    <s v="Helse og mestring"/>
    <x v="0"/>
    <x v="0"/>
    <n v="1020"/>
    <n v="102002"/>
    <s v="Vikar - foreldrepermisjon"/>
    <n v="23741"/>
    <n v="0"/>
    <n v="23741"/>
    <n v="-23741"/>
  </r>
  <r>
    <x v="2"/>
    <s v="Mars"/>
    <n v="3"/>
    <s v="T1"/>
    <x v="0"/>
    <s v="Kommunal Boenhet"/>
    <n v="254"/>
    <s v="Helse og mestring"/>
    <x v="0"/>
    <x v="0"/>
    <n v="1020"/>
    <n v="102002"/>
    <s v="Vikar - foreldrepermisjon"/>
    <n v="23741"/>
    <n v="0"/>
    <n v="23741"/>
    <n v="-23741"/>
  </r>
  <r>
    <x v="3"/>
    <s v="April"/>
    <n v="4"/>
    <s v="T1"/>
    <x v="0"/>
    <s v="Kommunal Boenhet"/>
    <n v="254"/>
    <s v="Helse og mestring"/>
    <x v="0"/>
    <x v="0"/>
    <n v="1020"/>
    <n v="102002"/>
    <s v="Vikar - foreldrepermisjon"/>
    <n v="23741"/>
    <n v="0"/>
    <n v="23741"/>
    <n v="-23741"/>
  </r>
  <r>
    <x v="4"/>
    <s v="Mai"/>
    <n v="5"/>
    <s v="T2"/>
    <x v="0"/>
    <s v="Kommunal Boenhet"/>
    <n v="254"/>
    <s v="Helse og mestring"/>
    <x v="0"/>
    <x v="0"/>
    <n v="1020"/>
    <n v="102002"/>
    <s v="Vikar - foreldrepermisjon"/>
    <n v="23741"/>
    <n v="0"/>
    <n v="23741"/>
    <n v="-23741"/>
  </r>
  <r>
    <x v="5"/>
    <s v="Juni"/>
    <n v="6"/>
    <s v="T2"/>
    <x v="0"/>
    <s v="Kommunal Boenhet"/>
    <n v="254"/>
    <s v="Helse og mestring"/>
    <x v="0"/>
    <x v="0"/>
    <n v="1020"/>
    <n v="102002"/>
    <s v="Vikar - foreldrepermisjon"/>
    <n v="23741"/>
    <n v="0"/>
    <n v="23741"/>
    <n v="-23741"/>
  </r>
  <r>
    <x v="6"/>
    <s v="Juli"/>
    <n v="7"/>
    <s v="T2"/>
    <x v="0"/>
    <s v="Kommunal Boenhet"/>
    <n v="254"/>
    <s v="Helse og mestring"/>
    <x v="0"/>
    <x v="0"/>
    <n v="1020"/>
    <n v="102002"/>
    <s v="Vikar - foreldrepermisjon"/>
    <n v="23741"/>
    <n v="0"/>
    <n v="23741"/>
    <n v="-23741"/>
  </r>
  <r>
    <x v="7"/>
    <s v="August"/>
    <n v="8"/>
    <s v="T2"/>
    <x v="0"/>
    <s v="Kommunal Boenhet"/>
    <n v="254"/>
    <s v="Helse og mestring"/>
    <x v="0"/>
    <x v="0"/>
    <n v="1020"/>
    <n v="102002"/>
    <s v="Vikar - foreldrepermisjon"/>
    <n v="23741"/>
    <n v="0"/>
    <n v="23741"/>
    <n v="-23741"/>
  </r>
  <r>
    <x v="8"/>
    <s v="September"/>
    <n v="9"/>
    <s v="T3"/>
    <x v="1"/>
    <s v="Kommunal Boenhet"/>
    <n v="254"/>
    <s v="Helse og mestring"/>
    <x v="0"/>
    <x v="0"/>
    <n v="1020"/>
    <n v="102002"/>
    <s v="Vikar - foreldrepermisjon"/>
    <n v="23741"/>
    <n v="0"/>
    <n v="0"/>
    <n v="-23741"/>
  </r>
  <r>
    <x v="9"/>
    <s v="Oktober"/>
    <n v="10"/>
    <s v="T3"/>
    <x v="1"/>
    <s v="Kommunal Boenhet"/>
    <n v="254"/>
    <s v="Helse og mestring"/>
    <x v="0"/>
    <x v="0"/>
    <n v="1020"/>
    <n v="102002"/>
    <s v="Vikar - foreldrepermisjon"/>
    <n v="23741"/>
    <n v="0"/>
    <n v="0"/>
    <n v="-23741"/>
  </r>
  <r>
    <x v="10"/>
    <s v="November"/>
    <n v="11"/>
    <s v="T3"/>
    <x v="1"/>
    <s v="Kommunal Boenhet"/>
    <n v="254"/>
    <s v="Helse og mestring"/>
    <x v="0"/>
    <x v="0"/>
    <n v="1020"/>
    <n v="102002"/>
    <s v="Vikar - foreldrepermisjon"/>
    <n v="23741"/>
    <n v="0"/>
    <n v="0"/>
    <n v="-23741"/>
  </r>
  <r>
    <x v="11"/>
    <s v="Desember"/>
    <n v="12"/>
    <s v="T3"/>
    <x v="1"/>
    <s v="Kommunal Boenhet"/>
    <n v="254"/>
    <s v="Helse og mestring"/>
    <x v="0"/>
    <x v="0"/>
    <n v="1020"/>
    <n v="102002"/>
    <s v="Vikar - foreldrepermisjon"/>
    <n v="23849"/>
    <n v="0"/>
    <n v="0"/>
    <n v="-23849"/>
  </r>
  <r>
    <x v="0"/>
    <s v="Januar"/>
    <n v="1"/>
    <s v="T1"/>
    <x v="0"/>
    <s v="Kommunal Boenhet"/>
    <n v="254"/>
    <s v="Helse og mestring"/>
    <x v="0"/>
    <x v="0"/>
    <n v="1020"/>
    <n v="102010"/>
    <s v="Vikar - lønnet perm inkl tillitsverv og velf.perm."/>
    <n v="4738"/>
    <n v="0"/>
    <n v="4738"/>
    <n v="-4738"/>
  </r>
  <r>
    <x v="1"/>
    <s v="Februar"/>
    <n v="2"/>
    <s v="T1"/>
    <x v="0"/>
    <s v="Kommunal Boenhet"/>
    <n v="254"/>
    <s v="Helse og mestring"/>
    <x v="0"/>
    <x v="0"/>
    <n v="1020"/>
    <n v="102010"/>
    <s v="Vikar - lønnet perm inkl tillitsverv og velf.perm."/>
    <n v="4738"/>
    <n v="8996.59"/>
    <n v="-4258.59"/>
    <n v="4258.59"/>
  </r>
  <r>
    <x v="2"/>
    <s v="Mars"/>
    <n v="3"/>
    <s v="T1"/>
    <x v="0"/>
    <s v="Kommunal Boenhet"/>
    <n v="254"/>
    <s v="Helse og mestring"/>
    <x v="0"/>
    <x v="0"/>
    <n v="1020"/>
    <n v="102010"/>
    <s v="Vikar - lønnet perm inkl tillitsverv og velf.perm."/>
    <n v="4738"/>
    <n v="0"/>
    <n v="4738"/>
    <n v="-4738"/>
  </r>
  <r>
    <x v="3"/>
    <s v="April"/>
    <n v="4"/>
    <s v="T1"/>
    <x v="0"/>
    <s v="Kommunal Boenhet"/>
    <n v="254"/>
    <s v="Helse og mestring"/>
    <x v="0"/>
    <x v="0"/>
    <n v="1020"/>
    <n v="102010"/>
    <s v="Vikar - lønnet perm inkl tillitsverv og velf.perm."/>
    <n v="4738"/>
    <n v="5110.7299999999996"/>
    <n v="-372.73"/>
    <n v="372.73"/>
  </r>
  <r>
    <x v="4"/>
    <s v="Mai"/>
    <n v="5"/>
    <s v="T2"/>
    <x v="0"/>
    <s v="Kommunal Boenhet"/>
    <n v="254"/>
    <s v="Helse og mestring"/>
    <x v="0"/>
    <x v="0"/>
    <n v="1020"/>
    <n v="102010"/>
    <s v="Vikar - lønnet perm inkl tillitsverv og velf.perm."/>
    <n v="4738"/>
    <n v="3351.87"/>
    <n v="1386.13"/>
    <n v="-1386.13"/>
  </r>
  <r>
    <x v="5"/>
    <s v="Juni"/>
    <n v="6"/>
    <s v="T2"/>
    <x v="0"/>
    <s v="Kommunal Boenhet"/>
    <n v="254"/>
    <s v="Helse og mestring"/>
    <x v="0"/>
    <x v="0"/>
    <n v="1020"/>
    <n v="102010"/>
    <s v="Vikar - lønnet perm inkl tillitsverv og velf.perm."/>
    <n v="4738"/>
    <n v="2130.8000000000002"/>
    <n v="2607.1999999999998"/>
    <n v="-2607.1999999999998"/>
  </r>
  <r>
    <x v="6"/>
    <s v="Juli"/>
    <n v="7"/>
    <s v="T2"/>
    <x v="0"/>
    <s v="Kommunal Boenhet"/>
    <n v="254"/>
    <s v="Helse og mestring"/>
    <x v="0"/>
    <x v="0"/>
    <n v="1020"/>
    <n v="102010"/>
    <s v="Vikar - lønnet perm inkl tillitsverv og velf.perm."/>
    <n v="4738"/>
    <n v="964.38"/>
    <n v="3773.62"/>
    <n v="-3773.62"/>
  </r>
  <r>
    <x v="7"/>
    <s v="August"/>
    <n v="8"/>
    <s v="T2"/>
    <x v="0"/>
    <s v="Kommunal Boenhet"/>
    <n v="254"/>
    <s v="Helse og mestring"/>
    <x v="0"/>
    <x v="0"/>
    <n v="1020"/>
    <n v="102010"/>
    <s v="Vikar - lønnet perm inkl tillitsverv og velf.perm."/>
    <n v="4738"/>
    <n v="3854.21"/>
    <n v="883.79"/>
    <n v="-883.79"/>
  </r>
  <r>
    <x v="8"/>
    <s v="September"/>
    <n v="9"/>
    <s v="T3"/>
    <x v="1"/>
    <s v="Kommunal Boenhet"/>
    <n v="254"/>
    <s v="Helse og mestring"/>
    <x v="0"/>
    <x v="0"/>
    <n v="1020"/>
    <n v="102010"/>
    <s v="Vikar - lønnet perm inkl tillitsverv og velf.perm."/>
    <n v="4738"/>
    <n v="0"/>
    <n v="0"/>
    <n v="-4738"/>
  </r>
  <r>
    <x v="9"/>
    <s v="Oktober"/>
    <n v="10"/>
    <s v="T3"/>
    <x v="1"/>
    <s v="Kommunal Boenhet"/>
    <n v="254"/>
    <s v="Helse og mestring"/>
    <x v="0"/>
    <x v="0"/>
    <n v="1020"/>
    <n v="102010"/>
    <s v="Vikar - lønnet perm inkl tillitsverv og velf.perm."/>
    <n v="4738"/>
    <n v="0"/>
    <n v="0"/>
    <n v="-4738"/>
  </r>
  <r>
    <x v="10"/>
    <s v="November"/>
    <n v="11"/>
    <s v="T3"/>
    <x v="1"/>
    <s v="Kommunal Boenhet"/>
    <n v="254"/>
    <s v="Helse og mestring"/>
    <x v="0"/>
    <x v="0"/>
    <n v="1020"/>
    <n v="102010"/>
    <s v="Vikar - lønnet perm inkl tillitsverv og velf.perm."/>
    <n v="4738"/>
    <n v="0"/>
    <n v="0"/>
    <n v="-4738"/>
  </r>
  <r>
    <x v="11"/>
    <s v="Desember"/>
    <n v="12"/>
    <s v="T3"/>
    <x v="1"/>
    <s v="Kommunal Boenhet"/>
    <n v="254"/>
    <s v="Helse og mestring"/>
    <x v="0"/>
    <x v="0"/>
    <n v="1020"/>
    <n v="102010"/>
    <s v="Vikar - lønnet perm inkl tillitsverv og velf.perm."/>
    <n v="4882"/>
    <n v="0"/>
    <n v="0"/>
    <n v="-4882"/>
  </r>
  <r>
    <x v="0"/>
    <s v="Januar"/>
    <n v="1"/>
    <s v="T1"/>
    <x v="0"/>
    <s v="Kommunal Boenhet"/>
    <n v="254"/>
    <s v="Helse og mestring"/>
    <x v="0"/>
    <x v="0"/>
    <n v="1020"/>
    <n v="102011"/>
    <s v="Vikar - feriefravær"/>
    <n v="31172"/>
    <n v="0"/>
    <n v="31172"/>
    <n v="-31172"/>
  </r>
  <r>
    <x v="1"/>
    <s v="Februar"/>
    <n v="2"/>
    <s v="T1"/>
    <x v="0"/>
    <s v="Kommunal Boenhet"/>
    <n v="254"/>
    <s v="Helse og mestring"/>
    <x v="0"/>
    <x v="0"/>
    <n v="1020"/>
    <n v="102011"/>
    <s v="Vikar - feriefravær"/>
    <n v="10992"/>
    <n v="95936.89"/>
    <n v="-84944.89"/>
    <n v="84944.89"/>
  </r>
  <r>
    <x v="2"/>
    <s v="Mars"/>
    <n v="3"/>
    <s v="T1"/>
    <x v="0"/>
    <s v="Kommunal Boenhet"/>
    <n v="254"/>
    <s v="Helse og mestring"/>
    <x v="0"/>
    <x v="0"/>
    <n v="1020"/>
    <n v="102011"/>
    <s v="Vikar - feriefravær"/>
    <n v="11621"/>
    <n v="17258.03"/>
    <n v="-5637.03"/>
    <n v="5637.03"/>
  </r>
  <r>
    <x v="3"/>
    <s v="April"/>
    <n v="4"/>
    <s v="T1"/>
    <x v="0"/>
    <s v="Kommunal Boenhet"/>
    <n v="254"/>
    <s v="Helse og mestring"/>
    <x v="0"/>
    <x v="0"/>
    <n v="1020"/>
    <n v="102011"/>
    <s v="Vikar - feriefravær"/>
    <n v="17299"/>
    <n v="8563.2999999999993"/>
    <n v="8735.7000000000007"/>
    <n v="-8735.7000000000007"/>
  </r>
  <r>
    <x v="4"/>
    <s v="Mai"/>
    <n v="5"/>
    <s v="T2"/>
    <x v="0"/>
    <s v="Kommunal Boenhet"/>
    <n v="254"/>
    <s v="Helse og mestring"/>
    <x v="0"/>
    <x v="0"/>
    <n v="1020"/>
    <n v="102011"/>
    <s v="Vikar - feriefravær"/>
    <n v="14760"/>
    <n v="5394.12"/>
    <n v="9365.8799999999992"/>
    <n v="-9365.8799999999992"/>
  </r>
  <r>
    <x v="5"/>
    <s v="Juni"/>
    <n v="6"/>
    <s v="T2"/>
    <x v="0"/>
    <s v="Kommunal Boenhet"/>
    <n v="254"/>
    <s v="Helse og mestring"/>
    <x v="0"/>
    <x v="0"/>
    <n v="1020"/>
    <n v="102011"/>
    <s v="Vikar - feriefravær"/>
    <n v="21311"/>
    <n v="2111.58"/>
    <n v="19199.419999999998"/>
    <n v="-19199.419999999998"/>
  </r>
  <r>
    <x v="6"/>
    <s v="Juli"/>
    <n v="7"/>
    <s v="T2"/>
    <x v="0"/>
    <s v="Kommunal Boenhet"/>
    <n v="254"/>
    <s v="Helse og mestring"/>
    <x v="0"/>
    <x v="0"/>
    <n v="1020"/>
    <n v="102011"/>
    <s v="Vikar - feriefravær"/>
    <n v="66668"/>
    <n v="43393.77"/>
    <n v="23274.23"/>
    <n v="-23274.23"/>
  </r>
  <r>
    <x v="7"/>
    <s v="August"/>
    <n v="8"/>
    <s v="T2"/>
    <x v="0"/>
    <s v="Kommunal Boenhet"/>
    <n v="254"/>
    <s v="Helse og mestring"/>
    <x v="0"/>
    <x v="0"/>
    <n v="1020"/>
    <n v="102011"/>
    <s v="Vikar - feriefravær"/>
    <n v="147227"/>
    <n v="131265.74"/>
    <n v="15961.26"/>
    <n v="-15961.26"/>
  </r>
  <r>
    <x v="8"/>
    <s v="September"/>
    <n v="9"/>
    <s v="T3"/>
    <x v="1"/>
    <s v="Kommunal Boenhet"/>
    <n v="254"/>
    <s v="Helse og mestring"/>
    <x v="0"/>
    <x v="0"/>
    <n v="1020"/>
    <n v="102011"/>
    <s v="Vikar - feriefravær"/>
    <n v="126463"/>
    <n v="0"/>
    <n v="0"/>
    <n v="-126463"/>
  </r>
  <r>
    <x v="9"/>
    <s v="Oktober"/>
    <n v="10"/>
    <s v="T3"/>
    <x v="1"/>
    <s v="Kommunal Boenhet"/>
    <n v="254"/>
    <s v="Helse og mestring"/>
    <x v="0"/>
    <x v="0"/>
    <n v="1020"/>
    <n v="102011"/>
    <s v="Vikar - feriefravær"/>
    <n v="40837"/>
    <n v="0"/>
    <n v="0"/>
    <n v="-40837"/>
  </r>
  <r>
    <x v="10"/>
    <s v="November"/>
    <n v="11"/>
    <s v="T3"/>
    <x v="1"/>
    <s v="Kommunal Boenhet"/>
    <n v="254"/>
    <s v="Helse og mestring"/>
    <x v="0"/>
    <x v="0"/>
    <n v="1020"/>
    <n v="102011"/>
    <s v="Vikar - feriefravær"/>
    <n v="40611"/>
    <n v="0"/>
    <n v="0"/>
    <n v="-40611"/>
  </r>
  <r>
    <x v="11"/>
    <s v="Desember"/>
    <n v="12"/>
    <s v="T3"/>
    <x v="1"/>
    <s v="Kommunal Boenhet"/>
    <n v="254"/>
    <s v="Helse og mestring"/>
    <x v="0"/>
    <x v="0"/>
    <n v="1020"/>
    <n v="102011"/>
    <s v="Vikar - feriefravær"/>
    <n v="40040"/>
    <n v="0"/>
    <n v="0"/>
    <n v="-40040"/>
  </r>
  <r>
    <x v="0"/>
    <s v="Januar"/>
    <n v="1"/>
    <s v="T1"/>
    <x v="0"/>
    <s v="Kommunal Boenhet"/>
    <n v="254"/>
    <s v="Helse og mestring"/>
    <x v="0"/>
    <x v="0"/>
    <n v="1020"/>
    <n v="102013"/>
    <s v="Vikar - korttidsfravær"/>
    <n v="0"/>
    <n v="0"/>
    <n v="0"/>
    <n v="0"/>
  </r>
  <r>
    <x v="1"/>
    <s v="Februar"/>
    <n v="2"/>
    <s v="T1"/>
    <x v="0"/>
    <s v="Kommunal Boenhet"/>
    <n v="254"/>
    <s v="Helse og mestring"/>
    <x v="0"/>
    <x v="0"/>
    <n v="1020"/>
    <n v="102013"/>
    <s v="Vikar - korttidsfravær"/>
    <n v="0"/>
    <n v="18404.54"/>
    <n v="-18404.54"/>
    <n v="18404.54"/>
  </r>
  <r>
    <x v="2"/>
    <s v="Mars"/>
    <n v="3"/>
    <s v="T1"/>
    <x v="0"/>
    <s v="Kommunal Boenhet"/>
    <n v="254"/>
    <s v="Helse og mestring"/>
    <x v="0"/>
    <x v="0"/>
    <n v="1020"/>
    <n v="102013"/>
    <s v="Vikar - korttidsfravær"/>
    <n v="0"/>
    <n v="9241.2999999999993"/>
    <n v="-9241.2999999999993"/>
    <n v="9241.2999999999993"/>
  </r>
  <r>
    <x v="3"/>
    <s v="April"/>
    <n v="4"/>
    <s v="T1"/>
    <x v="0"/>
    <s v="Kommunal Boenhet"/>
    <n v="254"/>
    <s v="Helse og mestring"/>
    <x v="0"/>
    <x v="0"/>
    <n v="1020"/>
    <n v="102013"/>
    <s v="Vikar - korttidsfravær"/>
    <n v="0"/>
    <n v="6405.76"/>
    <n v="-6405.76"/>
    <n v="6405.76"/>
  </r>
  <r>
    <x v="4"/>
    <s v="Mai"/>
    <n v="5"/>
    <s v="T2"/>
    <x v="0"/>
    <s v="Kommunal Boenhet"/>
    <n v="254"/>
    <s v="Helse og mestring"/>
    <x v="0"/>
    <x v="0"/>
    <n v="1020"/>
    <n v="102013"/>
    <s v="Vikar - korttidsfravær"/>
    <n v="0"/>
    <n v="3444.98"/>
    <n v="-3444.98"/>
    <n v="3444.98"/>
  </r>
  <r>
    <x v="5"/>
    <s v="Juni"/>
    <n v="6"/>
    <s v="T2"/>
    <x v="0"/>
    <s v="Kommunal Boenhet"/>
    <n v="254"/>
    <s v="Helse og mestring"/>
    <x v="0"/>
    <x v="0"/>
    <n v="1020"/>
    <n v="102013"/>
    <s v="Vikar - korttidsfravær"/>
    <n v="0"/>
    <n v="14052.56"/>
    <n v="-14052.56"/>
    <n v="14052.56"/>
  </r>
  <r>
    <x v="6"/>
    <s v="Juli"/>
    <n v="7"/>
    <s v="T2"/>
    <x v="0"/>
    <s v="Kommunal Boenhet"/>
    <n v="254"/>
    <s v="Helse og mestring"/>
    <x v="0"/>
    <x v="0"/>
    <n v="1020"/>
    <n v="102013"/>
    <s v="Vikar - korttidsfravær"/>
    <n v="0"/>
    <n v="8319.14"/>
    <n v="-8319.14"/>
    <n v="8319.14"/>
  </r>
  <r>
    <x v="7"/>
    <s v="August"/>
    <n v="8"/>
    <s v="T2"/>
    <x v="0"/>
    <s v="Kommunal Boenhet"/>
    <n v="254"/>
    <s v="Helse og mestring"/>
    <x v="0"/>
    <x v="0"/>
    <n v="1020"/>
    <n v="102013"/>
    <s v="Vikar - korttidsfravær"/>
    <n v="0"/>
    <n v="1585.75"/>
    <n v="-1585.75"/>
    <n v="1585.75"/>
  </r>
  <r>
    <x v="8"/>
    <s v="September"/>
    <n v="9"/>
    <s v="T3"/>
    <x v="1"/>
    <s v="Kommunal Boenhet"/>
    <n v="254"/>
    <s v="Helse og mestring"/>
    <x v="0"/>
    <x v="0"/>
    <n v="1020"/>
    <n v="102013"/>
    <s v="Vikar - korttidsfravær"/>
    <n v="0"/>
    <n v="0"/>
    <n v="0"/>
    <n v="0"/>
  </r>
  <r>
    <x v="9"/>
    <s v="Oktober"/>
    <n v="10"/>
    <s v="T3"/>
    <x v="1"/>
    <s v="Kommunal Boenhet"/>
    <n v="254"/>
    <s v="Helse og mestring"/>
    <x v="0"/>
    <x v="0"/>
    <n v="1020"/>
    <n v="102013"/>
    <s v="Vikar - korttidsfravær"/>
    <n v="0"/>
    <n v="0"/>
    <n v="0"/>
    <n v="0"/>
  </r>
  <r>
    <x v="10"/>
    <s v="November"/>
    <n v="11"/>
    <s v="T3"/>
    <x v="1"/>
    <s v="Kommunal Boenhet"/>
    <n v="254"/>
    <s v="Helse og mestring"/>
    <x v="0"/>
    <x v="0"/>
    <n v="1020"/>
    <n v="102013"/>
    <s v="Vikar - korttidsfravær"/>
    <n v="0"/>
    <n v="0"/>
    <n v="0"/>
    <n v="0"/>
  </r>
  <r>
    <x v="11"/>
    <s v="Desember"/>
    <n v="12"/>
    <s v="T3"/>
    <x v="1"/>
    <s v="Kommunal Boenhet"/>
    <n v="254"/>
    <s v="Helse og mestring"/>
    <x v="0"/>
    <x v="0"/>
    <n v="1020"/>
    <n v="102013"/>
    <s v="Vikar - korttidsfravær"/>
    <n v="0"/>
    <n v="0"/>
    <n v="0"/>
    <n v="0"/>
  </r>
  <r>
    <x v="0"/>
    <s v="Januar"/>
    <n v="1"/>
    <s v="T1"/>
    <x v="0"/>
    <s v="Kommunal Boenhet"/>
    <n v="254"/>
    <s v="Helse og mestring"/>
    <x v="0"/>
    <x v="0"/>
    <n v="1020"/>
    <n v="102030"/>
    <s v="Vikar - lørdags- og søndagstillegg"/>
    <n v="0"/>
    <n v="0"/>
    <n v="0"/>
    <n v="0"/>
  </r>
  <r>
    <x v="1"/>
    <s v="Februar"/>
    <n v="2"/>
    <s v="T1"/>
    <x v="0"/>
    <s v="Kommunal Boenhet"/>
    <n v="254"/>
    <s v="Helse og mestring"/>
    <x v="0"/>
    <x v="0"/>
    <n v="1020"/>
    <n v="102030"/>
    <s v="Vikar - lørdags- og søndagstillegg"/>
    <n v="0"/>
    <n v="14543.2"/>
    <n v="-14543.2"/>
    <n v="14543.2"/>
  </r>
  <r>
    <x v="2"/>
    <s v="Mars"/>
    <n v="3"/>
    <s v="T1"/>
    <x v="0"/>
    <s v="Kommunal Boenhet"/>
    <n v="254"/>
    <s v="Helse og mestring"/>
    <x v="0"/>
    <x v="0"/>
    <n v="1020"/>
    <n v="102030"/>
    <s v="Vikar - lørdags- og søndagstillegg"/>
    <n v="0"/>
    <n v="17012.8"/>
    <n v="-17012.8"/>
    <n v="17012.8"/>
  </r>
  <r>
    <x v="3"/>
    <s v="April"/>
    <n v="4"/>
    <s v="T1"/>
    <x v="0"/>
    <s v="Kommunal Boenhet"/>
    <n v="254"/>
    <s v="Helse og mestring"/>
    <x v="0"/>
    <x v="0"/>
    <n v="1020"/>
    <n v="102030"/>
    <s v="Vikar - lørdags- og søndagstillegg"/>
    <n v="0"/>
    <n v="13955.2"/>
    <n v="-13955.2"/>
    <n v="13955.2"/>
  </r>
  <r>
    <x v="4"/>
    <s v="Mai"/>
    <n v="5"/>
    <s v="T2"/>
    <x v="0"/>
    <s v="Kommunal Boenhet"/>
    <n v="254"/>
    <s v="Helse og mestring"/>
    <x v="0"/>
    <x v="0"/>
    <n v="1020"/>
    <n v="102030"/>
    <s v="Vikar - lørdags- og søndagstillegg"/>
    <n v="0"/>
    <n v="18874.8"/>
    <n v="-18874.8"/>
    <n v="18874.8"/>
  </r>
  <r>
    <x v="5"/>
    <s v="Juni"/>
    <n v="6"/>
    <s v="T2"/>
    <x v="0"/>
    <s v="Kommunal Boenhet"/>
    <n v="254"/>
    <s v="Helse og mestring"/>
    <x v="0"/>
    <x v="0"/>
    <n v="1020"/>
    <n v="102030"/>
    <s v="Vikar - lørdags- og søndagstillegg"/>
    <n v="0"/>
    <n v="18188.52"/>
    <n v="-18188.52"/>
    <n v="18188.52"/>
  </r>
  <r>
    <x v="6"/>
    <s v="Juli"/>
    <n v="7"/>
    <s v="T2"/>
    <x v="0"/>
    <s v="Kommunal Boenhet"/>
    <n v="254"/>
    <s v="Helse og mestring"/>
    <x v="0"/>
    <x v="0"/>
    <n v="1020"/>
    <n v="102030"/>
    <s v="Vikar - lørdags- og søndagstillegg"/>
    <n v="0"/>
    <n v="29733.200000000001"/>
    <n v="-29733.200000000001"/>
    <n v="29733.200000000001"/>
  </r>
  <r>
    <x v="7"/>
    <s v="August"/>
    <n v="8"/>
    <s v="T2"/>
    <x v="0"/>
    <s v="Kommunal Boenhet"/>
    <n v="254"/>
    <s v="Helse og mestring"/>
    <x v="0"/>
    <x v="0"/>
    <n v="1020"/>
    <n v="102030"/>
    <s v="Vikar - lørdags- og søndagstillegg"/>
    <n v="0"/>
    <n v="28439.599999999999"/>
    <n v="-28439.599999999999"/>
    <n v="28439.599999999999"/>
  </r>
  <r>
    <x v="8"/>
    <s v="September"/>
    <n v="9"/>
    <s v="T3"/>
    <x v="1"/>
    <s v="Kommunal Boenhet"/>
    <n v="254"/>
    <s v="Helse og mestring"/>
    <x v="0"/>
    <x v="0"/>
    <n v="1020"/>
    <n v="102030"/>
    <s v="Vikar - lørdags- og søndagstillegg"/>
    <n v="0"/>
    <n v="0"/>
    <n v="0"/>
    <n v="0"/>
  </r>
  <r>
    <x v="9"/>
    <s v="Oktober"/>
    <n v="10"/>
    <s v="T3"/>
    <x v="1"/>
    <s v="Kommunal Boenhet"/>
    <n v="254"/>
    <s v="Helse og mestring"/>
    <x v="0"/>
    <x v="0"/>
    <n v="1020"/>
    <n v="102030"/>
    <s v="Vikar - lørdags- og søndagstillegg"/>
    <n v="0"/>
    <n v="0"/>
    <n v="0"/>
    <n v="0"/>
  </r>
  <r>
    <x v="10"/>
    <s v="November"/>
    <n v="11"/>
    <s v="T3"/>
    <x v="1"/>
    <s v="Kommunal Boenhet"/>
    <n v="254"/>
    <s v="Helse og mestring"/>
    <x v="0"/>
    <x v="0"/>
    <n v="1020"/>
    <n v="102030"/>
    <s v="Vikar - lørdags- og søndagstillegg"/>
    <n v="0"/>
    <n v="0"/>
    <n v="0"/>
    <n v="0"/>
  </r>
  <r>
    <x v="11"/>
    <s v="Desember"/>
    <n v="12"/>
    <s v="T3"/>
    <x v="1"/>
    <s v="Kommunal Boenhet"/>
    <n v="254"/>
    <s v="Helse og mestring"/>
    <x v="0"/>
    <x v="0"/>
    <n v="1020"/>
    <n v="102030"/>
    <s v="Vikar - lørdags- og søndagstillegg"/>
    <n v="0"/>
    <n v="0"/>
    <n v="0"/>
    <n v="0"/>
  </r>
  <r>
    <x v="0"/>
    <s v="Januar"/>
    <n v="1"/>
    <s v="T1"/>
    <x v="0"/>
    <s v="Kommunal Boenhet"/>
    <n v="254"/>
    <s v="Helse og mestring"/>
    <x v="0"/>
    <x v="0"/>
    <n v="1020"/>
    <n v="102031"/>
    <s v="Vikar - kvelds- og nattillegg"/>
    <n v="0"/>
    <n v="0"/>
    <n v="0"/>
    <n v="0"/>
  </r>
  <r>
    <x v="1"/>
    <s v="Februar"/>
    <n v="2"/>
    <s v="T1"/>
    <x v="0"/>
    <s v="Kommunal Boenhet"/>
    <n v="254"/>
    <s v="Helse og mestring"/>
    <x v="0"/>
    <x v="0"/>
    <n v="1020"/>
    <n v="102031"/>
    <s v="Vikar - kvelds- og nattillegg"/>
    <n v="0"/>
    <n v="59390.49"/>
    <n v="-59390.49"/>
    <n v="59390.49"/>
  </r>
  <r>
    <x v="2"/>
    <s v="Mars"/>
    <n v="3"/>
    <s v="T1"/>
    <x v="0"/>
    <s v="Kommunal Boenhet"/>
    <n v="254"/>
    <s v="Helse og mestring"/>
    <x v="0"/>
    <x v="0"/>
    <n v="1020"/>
    <n v="102031"/>
    <s v="Vikar - kvelds- og nattillegg"/>
    <n v="0"/>
    <n v="25189.15"/>
    <n v="-25189.15"/>
    <n v="25189.15"/>
  </r>
  <r>
    <x v="3"/>
    <s v="April"/>
    <n v="4"/>
    <s v="T1"/>
    <x v="0"/>
    <s v="Kommunal Boenhet"/>
    <n v="254"/>
    <s v="Helse og mestring"/>
    <x v="0"/>
    <x v="0"/>
    <n v="1020"/>
    <n v="102031"/>
    <s v="Vikar - kvelds- og nattillegg"/>
    <n v="0"/>
    <n v="28784.59"/>
    <n v="-28784.59"/>
    <n v="28784.59"/>
  </r>
  <r>
    <x v="4"/>
    <s v="Mai"/>
    <n v="5"/>
    <s v="T2"/>
    <x v="0"/>
    <s v="Kommunal Boenhet"/>
    <n v="254"/>
    <s v="Helse og mestring"/>
    <x v="0"/>
    <x v="0"/>
    <n v="1020"/>
    <n v="102031"/>
    <s v="Vikar - kvelds- og nattillegg"/>
    <n v="0"/>
    <n v="28468.81"/>
    <n v="-28468.81"/>
    <n v="28468.81"/>
  </r>
  <r>
    <x v="5"/>
    <s v="Juni"/>
    <n v="6"/>
    <s v="T2"/>
    <x v="0"/>
    <s v="Kommunal Boenhet"/>
    <n v="254"/>
    <s v="Helse og mestring"/>
    <x v="0"/>
    <x v="0"/>
    <n v="1020"/>
    <n v="102031"/>
    <s v="Vikar - kvelds- og nattillegg"/>
    <n v="0"/>
    <n v="32469.26"/>
    <n v="-32469.26"/>
    <n v="32469.26"/>
  </r>
  <r>
    <x v="6"/>
    <s v="Juli"/>
    <n v="7"/>
    <s v="T2"/>
    <x v="0"/>
    <s v="Kommunal Boenhet"/>
    <n v="254"/>
    <s v="Helse og mestring"/>
    <x v="0"/>
    <x v="0"/>
    <n v="1020"/>
    <n v="102031"/>
    <s v="Vikar - kvelds- og nattillegg"/>
    <n v="0"/>
    <n v="39092.31"/>
    <n v="-39092.31"/>
    <n v="39092.31"/>
  </r>
  <r>
    <x v="7"/>
    <s v="August"/>
    <n v="8"/>
    <s v="T2"/>
    <x v="0"/>
    <s v="Kommunal Boenhet"/>
    <n v="254"/>
    <s v="Helse og mestring"/>
    <x v="0"/>
    <x v="0"/>
    <n v="1020"/>
    <n v="102031"/>
    <s v="Vikar - kvelds- og nattillegg"/>
    <n v="0"/>
    <n v="45909.48"/>
    <n v="-45909.48"/>
    <n v="45909.48"/>
  </r>
  <r>
    <x v="8"/>
    <s v="September"/>
    <n v="9"/>
    <s v="T3"/>
    <x v="1"/>
    <s v="Kommunal Boenhet"/>
    <n v="254"/>
    <s v="Helse og mestring"/>
    <x v="0"/>
    <x v="0"/>
    <n v="1020"/>
    <n v="102031"/>
    <s v="Vikar - kvelds- og nattillegg"/>
    <n v="0"/>
    <n v="0"/>
    <n v="0"/>
    <n v="0"/>
  </r>
  <r>
    <x v="9"/>
    <s v="Oktober"/>
    <n v="10"/>
    <s v="T3"/>
    <x v="1"/>
    <s v="Kommunal Boenhet"/>
    <n v="254"/>
    <s v="Helse og mestring"/>
    <x v="0"/>
    <x v="0"/>
    <n v="1020"/>
    <n v="102031"/>
    <s v="Vikar - kvelds- og nattillegg"/>
    <n v="0"/>
    <n v="0"/>
    <n v="0"/>
    <n v="0"/>
  </r>
  <r>
    <x v="10"/>
    <s v="November"/>
    <n v="11"/>
    <s v="T3"/>
    <x v="1"/>
    <s v="Kommunal Boenhet"/>
    <n v="254"/>
    <s v="Helse og mestring"/>
    <x v="0"/>
    <x v="0"/>
    <n v="1020"/>
    <n v="102031"/>
    <s v="Vikar - kvelds- og nattillegg"/>
    <n v="0"/>
    <n v="0"/>
    <n v="0"/>
    <n v="0"/>
  </r>
  <r>
    <x v="11"/>
    <s v="Desember"/>
    <n v="12"/>
    <s v="T3"/>
    <x v="1"/>
    <s v="Kommunal Boenhet"/>
    <n v="254"/>
    <s v="Helse og mestring"/>
    <x v="0"/>
    <x v="0"/>
    <n v="1020"/>
    <n v="102031"/>
    <s v="Vikar - kvelds- og nattillegg"/>
    <n v="0"/>
    <n v="0"/>
    <n v="0"/>
    <n v="0"/>
  </r>
  <r>
    <x v="0"/>
    <s v="Januar"/>
    <n v="1"/>
    <s v="T1"/>
    <x v="0"/>
    <s v="Kommunal Boenhet"/>
    <n v="254"/>
    <s v="Helse og mestring"/>
    <x v="0"/>
    <x v="0"/>
    <n v="1020"/>
    <n v="102032"/>
    <s v="Vikar - helligdagstillegg"/>
    <n v="0"/>
    <n v="0"/>
    <n v="0"/>
    <n v="0"/>
  </r>
  <r>
    <x v="1"/>
    <s v="Februar"/>
    <n v="2"/>
    <s v="T1"/>
    <x v="0"/>
    <s v="Kommunal Boenhet"/>
    <n v="254"/>
    <s v="Helse og mestring"/>
    <x v="0"/>
    <x v="0"/>
    <n v="1020"/>
    <n v="102032"/>
    <s v="Vikar - helligdagstillegg"/>
    <n v="0"/>
    <n v="20065.97"/>
    <n v="-20065.97"/>
    <n v="20065.97"/>
  </r>
  <r>
    <x v="2"/>
    <s v="Mars"/>
    <n v="3"/>
    <s v="T1"/>
    <x v="0"/>
    <s v="Kommunal Boenhet"/>
    <n v="254"/>
    <s v="Helse og mestring"/>
    <x v="0"/>
    <x v="0"/>
    <n v="1020"/>
    <n v="102032"/>
    <s v="Vikar - helligdagstillegg"/>
    <n v="0"/>
    <n v="0"/>
    <n v="0"/>
    <n v="0"/>
  </r>
  <r>
    <x v="3"/>
    <s v="April"/>
    <n v="4"/>
    <s v="T1"/>
    <x v="0"/>
    <s v="Kommunal Boenhet"/>
    <n v="254"/>
    <s v="Helse og mestring"/>
    <x v="0"/>
    <x v="0"/>
    <n v="1020"/>
    <n v="102032"/>
    <s v="Vikar - helligdagstillegg"/>
    <n v="0"/>
    <n v="164.59"/>
    <n v="-164.59"/>
    <n v="164.59"/>
  </r>
  <r>
    <x v="4"/>
    <s v="Mai"/>
    <n v="5"/>
    <s v="T2"/>
    <x v="0"/>
    <s v="Kommunal Boenhet"/>
    <n v="254"/>
    <s v="Helse og mestring"/>
    <x v="0"/>
    <x v="0"/>
    <n v="1020"/>
    <n v="102032"/>
    <s v="Vikar - helligdagstillegg"/>
    <n v="0"/>
    <n v="29714.92"/>
    <n v="-29714.92"/>
    <n v="29714.92"/>
  </r>
  <r>
    <x v="5"/>
    <s v="Juni"/>
    <n v="6"/>
    <s v="T2"/>
    <x v="0"/>
    <s v="Kommunal Boenhet"/>
    <n v="254"/>
    <s v="Helse og mestring"/>
    <x v="0"/>
    <x v="0"/>
    <n v="1020"/>
    <n v="102032"/>
    <s v="Vikar - helligdagstillegg"/>
    <n v="0"/>
    <n v="14652.72"/>
    <n v="-14652.72"/>
    <n v="14652.72"/>
  </r>
  <r>
    <x v="6"/>
    <s v="Juli"/>
    <n v="7"/>
    <s v="T2"/>
    <x v="0"/>
    <s v="Kommunal Boenhet"/>
    <n v="254"/>
    <s v="Helse og mestring"/>
    <x v="0"/>
    <x v="0"/>
    <n v="1020"/>
    <n v="102032"/>
    <s v="Vikar - helligdagstillegg"/>
    <n v="0"/>
    <n v="28871.57"/>
    <n v="-28871.57"/>
    <n v="28871.57"/>
  </r>
  <r>
    <x v="7"/>
    <s v="August"/>
    <n v="8"/>
    <s v="T2"/>
    <x v="0"/>
    <s v="Kommunal Boenhet"/>
    <n v="254"/>
    <s v="Helse og mestring"/>
    <x v="0"/>
    <x v="0"/>
    <n v="1020"/>
    <n v="102032"/>
    <s v="Vikar - helligdagstillegg"/>
    <n v="0"/>
    <n v="0"/>
    <n v="0"/>
    <n v="0"/>
  </r>
  <r>
    <x v="8"/>
    <s v="September"/>
    <n v="9"/>
    <s v="T3"/>
    <x v="1"/>
    <s v="Kommunal Boenhet"/>
    <n v="254"/>
    <s v="Helse og mestring"/>
    <x v="0"/>
    <x v="0"/>
    <n v="1020"/>
    <n v="102032"/>
    <s v="Vikar - helligdagstillegg"/>
    <n v="0"/>
    <n v="0"/>
    <n v="0"/>
    <n v="0"/>
  </r>
  <r>
    <x v="9"/>
    <s v="Oktober"/>
    <n v="10"/>
    <s v="T3"/>
    <x v="1"/>
    <s v="Kommunal Boenhet"/>
    <n v="254"/>
    <s v="Helse og mestring"/>
    <x v="0"/>
    <x v="0"/>
    <n v="1020"/>
    <n v="102032"/>
    <s v="Vikar - helligdagstillegg"/>
    <n v="0"/>
    <n v="0"/>
    <n v="0"/>
    <n v="0"/>
  </r>
  <r>
    <x v="10"/>
    <s v="November"/>
    <n v="11"/>
    <s v="T3"/>
    <x v="1"/>
    <s v="Kommunal Boenhet"/>
    <n v="254"/>
    <s v="Helse og mestring"/>
    <x v="0"/>
    <x v="0"/>
    <n v="1020"/>
    <n v="102032"/>
    <s v="Vikar - helligdagstillegg"/>
    <n v="0"/>
    <n v="0"/>
    <n v="0"/>
    <n v="0"/>
  </r>
  <r>
    <x v="11"/>
    <s v="Desember"/>
    <n v="12"/>
    <s v="T3"/>
    <x v="1"/>
    <s v="Kommunal Boenhet"/>
    <n v="254"/>
    <s v="Helse og mestring"/>
    <x v="0"/>
    <x v="0"/>
    <n v="1020"/>
    <n v="102032"/>
    <s v="Vikar - helligdagstillegg"/>
    <n v="0"/>
    <n v="0"/>
    <n v="0"/>
    <n v="0"/>
  </r>
  <r>
    <x v="0"/>
    <s v="Januar"/>
    <n v="1"/>
    <s v="T1"/>
    <x v="0"/>
    <s v="Kommunal Boenhet"/>
    <n v="254"/>
    <s v="Helse og mestring"/>
    <x v="0"/>
    <x v="0"/>
    <n v="1030"/>
    <n v="103000"/>
    <s v="Ekstrahjelp"/>
    <n v="0"/>
    <n v="0"/>
    <n v="0"/>
    <n v="0"/>
  </r>
  <r>
    <x v="1"/>
    <s v="Februar"/>
    <n v="2"/>
    <s v="T1"/>
    <x v="0"/>
    <s v="Kommunal Boenhet"/>
    <n v="254"/>
    <s v="Helse og mestring"/>
    <x v="0"/>
    <x v="0"/>
    <n v="1030"/>
    <n v="103000"/>
    <s v="Ekstrahjelp"/>
    <n v="0"/>
    <n v="32502.05"/>
    <n v="-32502.05"/>
    <n v="32502.05"/>
  </r>
  <r>
    <x v="2"/>
    <s v="Mars"/>
    <n v="3"/>
    <s v="T1"/>
    <x v="0"/>
    <s v="Kommunal Boenhet"/>
    <n v="254"/>
    <s v="Helse og mestring"/>
    <x v="0"/>
    <x v="0"/>
    <n v="1030"/>
    <n v="103000"/>
    <s v="Ekstrahjelp"/>
    <n v="0"/>
    <n v="26230.47"/>
    <n v="-26230.47"/>
    <n v="26230.47"/>
  </r>
  <r>
    <x v="3"/>
    <s v="April"/>
    <n v="4"/>
    <s v="T1"/>
    <x v="0"/>
    <s v="Kommunal Boenhet"/>
    <n v="254"/>
    <s v="Helse og mestring"/>
    <x v="0"/>
    <x v="0"/>
    <n v="1030"/>
    <n v="103000"/>
    <s v="Ekstrahjelp"/>
    <n v="0"/>
    <n v="4661.68"/>
    <n v="-4661.68"/>
    <n v="4661.68"/>
  </r>
  <r>
    <x v="4"/>
    <s v="Mai"/>
    <n v="5"/>
    <s v="T2"/>
    <x v="0"/>
    <s v="Kommunal Boenhet"/>
    <n v="254"/>
    <s v="Helse og mestring"/>
    <x v="0"/>
    <x v="0"/>
    <n v="1030"/>
    <n v="103000"/>
    <s v="Ekstrahjelp"/>
    <n v="0"/>
    <n v="12263.23"/>
    <n v="-12263.23"/>
    <n v="12263.23"/>
  </r>
  <r>
    <x v="5"/>
    <s v="Juni"/>
    <n v="6"/>
    <s v="T2"/>
    <x v="0"/>
    <s v="Kommunal Boenhet"/>
    <n v="254"/>
    <s v="Helse og mestring"/>
    <x v="0"/>
    <x v="0"/>
    <n v="1030"/>
    <n v="103000"/>
    <s v="Ekstrahjelp"/>
    <n v="0"/>
    <n v="34776.14"/>
    <n v="-34776.14"/>
    <n v="34776.14"/>
  </r>
  <r>
    <x v="6"/>
    <s v="Juli"/>
    <n v="7"/>
    <s v="T2"/>
    <x v="0"/>
    <s v="Kommunal Boenhet"/>
    <n v="254"/>
    <s v="Helse og mestring"/>
    <x v="0"/>
    <x v="0"/>
    <n v="1030"/>
    <n v="103000"/>
    <s v="Ekstrahjelp"/>
    <n v="0"/>
    <n v="20546.22"/>
    <n v="-20546.22"/>
    <n v="20546.22"/>
  </r>
  <r>
    <x v="7"/>
    <s v="August"/>
    <n v="8"/>
    <s v="T2"/>
    <x v="0"/>
    <s v="Kommunal Boenhet"/>
    <n v="254"/>
    <s v="Helse og mestring"/>
    <x v="0"/>
    <x v="0"/>
    <n v="1030"/>
    <n v="103000"/>
    <s v="Ekstrahjelp"/>
    <n v="0"/>
    <n v="10668.91"/>
    <n v="-10668.91"/>
    <n v="10668.91"/>
  </r>
  <r>
    <x v="8"/>
    <s v="September"/>
    <n v="9"/>
    <s v="T3"/>
    <x v="1"/>
    <s v="Kommunal Boenhet"/>
    <n v="254"/>
    <s v="Helse og mestring"/>
    <x v="0"/>
    <x v="0"/>
    <n v="1030"/>
    <n v="103000"/>
    <s v="Ekstrahjelp"/>
    <n v="0"/>
    <n v="0"/>
    <n v="0"/>
    <n v="0"/>
  </r>
  <r>
    <x v="9"/>
    <s v="Oktober"/>
    <n v="10"/>
    <s v="T3"/>
    <x v="1"/>
    <s v="Kommunal Boenhet"/>
    <n v="254"/>
    <s v="Helse og mestring"/>
    <x v="0"/>
    <x v="0"/>
    <n v="1030"/>
    <n v="103000"/>
    <s v="Ekstrahjelp"/>
    <n v="0"/>
    <n v="0"/>
    <n v="0"/>
    <n v="0"/>
  </r>
  <r>
    <x v="10"/>
    <s v="November"/>
    <n v="11"/>
    <s v="T3"/>
    <x v="1"/>
    <s v="Kommunal Boenhet"/>
    <n v="254"/>
    <s v="Helse og mestring"/>
    <x v="0"/>
    <x v="0"/>
    <n v="1030"/>
    <n v="103000"/>
    <s v="Ekstrahjelp"/>
    <n v="0"/>
    <n v="0"/>
    <n v="0"/>
    <n v="0"/>
  </r>
  <r>
    <x v="11"/>
    <s v="Desember"/>
    <n v="12"/>
    <s v="T3"/>
    <x v="1"/>
    <s v="Kommunal Boenhet"/>
    <n v="254"/>
    <s v="Helse og mestring"/>
    <x v="0"/>
    <x v="0"/>
    <n v="1030"/>
    <n v="103000"/>
    <s v="Ekstrahjelp"/>
    <n v="0"/>
    <n v="0"/>
    <n v="0"/>
    <n v="0"/>
  </r>
  <r>
    <x v="0"/>
    <s v="Januar"/>
    <n v="1"/>
    <s v="T1"/>
    <x v="0"/>
    <s v="Kommunal Boenhet"/>
    <n v="254"/>
    <s v="Helse og mestring"/>
    <x v="0"/>
    <x v="0"/>
    <n v="1030"/>
    <n v="103030"/>
    <s v="Ekstrahjelp - lørdags- og søndagstillegg"/>
    <n v="0"/>
    <n v="0"/>
    <n v="0"/>
    <n v="0"/>
  </r>
  <r>
    <x v="1"/>
    <s v="Februar"/>
    <n v="2"/>
    <s v="T1"/>
    <x v="0"/>
    <s v="Kommunal Boenhet"/>
    <n v="254"/>
    <s v="Helse og mestring"/>
    <x v="0"/>
    <x v="0"/>
    <n v="1030"/>
    <n v="103030"/>
    <s v="Ekstrahjelp - lørdags- og søndagstillegg"/>
    <n v="0"/>
    <n v="0"/>
    <n v="0"/>
    <n v="0"/>
  </r>
  <r>
    <x v="2"/>
    <s v="Mars"/>
    <n v="3"/>
    <s v="T1"/>
    <x v="0"/>
    <s v="Kommunal Boenhet"/>
    <n v="254"/>
    <s v="Helse og mestring"/>
    <x v="0"/>
    <x v="0"/>
    <n v="1030"/>
    <n v="103030"/>
    <s v="Ekstrahjelp - lørdags- og søndagstillegg"/>
    <n v="0"/>
    <n v="1881.6"/>
    <n v="-1881.6"/>
    <n v="1881.6"/>
  </r>
  <r>
    <x v="3"/>
    <s v="April"/>
    <n v="4"/>
    <s v="T1"/>
    <x v="0"/>
    <s v="Kommunal Boenhet"/>
    <n v="254"/>
    <s v="Helse og mestring"/>
    <x v="0"/>
    <x v="0"/>
    <n v="1030"/>
    <n v="103030"/>
    <s v="Ekstrahjelp - lørdags- og søndagstillegg"/>
    <n v="0"/>
    <n v="0"/>
    <n v="0"/>
    <n v="0"/>
  </r>
  <r>
    <x v="4"/>
    <s v="Mai"/>
    <n v="5"/>
    <s v="T2"/>
    <x v="0"/>
    <s v="Kommunal Boenhet"/>
    <n v="254"/>
    <s v="Helse og mestring"/>
    <x v="0"/>
    <x v="0"/>
    <n v="1030"/>
    <n v="103030"/>
    <s v="Ekstrahjelp - lørdags- og søndagstillegg"/>
    <n v="0"/>
    <n v="0"/>
    <n v="0"/>
    <n v="0"/>
  </r>
  <r>
    <x v="5"/>
    <s v="Juni"/>
    <n v="6"/>
    <s v="T2"/>
    <x v="0"/>
    <s v="Kommunal Boenhet"/>
    <n v="254"/>
    <s v="Helse og mestring"/>
    <x v="0"/>
    <x v="0"/>
    <n v="1030"/>
    <n v="103030"/>
    <s v="Ekstrahjelp - lørdags- og søndagstillegg"/>
    <n v="0"/>
    <n v="558.46"/>
    <n v="-558.46"/>
    <n v="558.46"/>
  </r>
  <r>
    <x v="6"/>
    <s v="Juli"/>
    <n v="7"/>
    <s v="T2"/>
    <x v="0"/>
    <s v="Kommunal Boenhet"/>
    <n v="254"/>
    <s v="Helse og mestring"/>
    <x v="0"/>
    <x v="0"/>
    <n v="1030"/>
    <n v="103030"/>
    <s v="Ekstrahjelp - lørdags- og søndagstillegg"/>
    <n v="0"/>
    <n v="1058.4000000000001"/>
    <n v="-1058.4000000000001"/>
    <n v="1058.4000000000001"/>
  </r>
  <r>
    <x v="7"/>
    <s v="August"/>
    <n v="8"/>
    <s v="T2"/>
    <x v="0"/>
    <s v="Kommunal Boenhet"/>
    <n v="254"/>
    <s v="Helse og mestring"/>
    <x v="0"/>
    <x v="0"/>
    <n v="1030"/>
    <n v="103030"/>
    <s v="Ekstrahjelp - lørdags- og søndagstillegg"/>
    <n v="0"/>
    <n v="1881.6"/>
    <n v="-1881.6"/>
    <n v="1881.6"/>
  </r>
  <r>
    <x v="8"/>
    <s v="September"/>
    <n v="9"/>
    <s v="T3"/>
    <x v="1"/>
    <s v="Kommunal Boenhet"/>
    <n v="254"/>
    <s v="Helse og mestring"/>
    <x v="0"/>
    <x v="0"/>
    <n v="1030"/>
    <n v="103030"/>
    <s v="Ekstrahjelp - lørdags- og søndagstillegg"/>
    <n v="0"/>
    <n v="0"/>
    <n v="0"/>
    <n v="0"/>
  </r>
  <r>
    <x v="9"/>
    <s v="Oktober"/>
    <n v="10"/>
    <s v="T3"/>
    <x v="1"/>
    <s v="Kommunal Boenhet"/>
    <n v="254"/>
    <s v="Helse og mestring"/>
    <x v="0"/>
    <x v="0"/>
    <n v="1030"/>
    <n v="103030"/>
    <s v="Ekstrahjelp - lørdags- og søndagstillegg"/>
    <n v="0"/>
    <n v="0"/>
    <n v="0"/>
    <n v="0"/>
  </r>
  <r>
    <x v="10"/>
    <s v="November"/>
    <n v="11"/>
    <s v="T3"/>
    <x v="1"/>
    <s v="Kommunal Boenhet"/>
    <n v="254"/>
    <s v="Helse og mestring"/>
    <x v="0"/>
    <x v="0"/>
    <n v="1030"/>
    <n v="103030"/>
    <s v="Ekstrahjelp - lørdags- og søndagstillegg"/>
    <n v="0"/>
    <n v="0"/>
    <n v="0"/>
    <n v="0"/>
  </r>
  <r>
    <x v="11"/>
    <s v="Desember"/>
    <n v="12"/>
    <s v="T3"/>
    <x v="1"/>
    <s v="Kommunal Boenhet"/>
    <n v="254"/>
    <s v="Helse og mestring"/>
    <x v="0"/>
    <x v="0"/>
    <n v="1030"/>
    <n v="103030"/>
    <s v="Ekstrahjelp - lørdags- og søndagstillegg"/>
    <n v="0"/>
    <n v="0"/>
    <n v="0"/>
    <n v="0"/>
  </r>
  <r>
    <x v="0"/>
    <s v="Januar"/>
    <n v="1"/>
    <s v="T1"/>
    <x v="0"/>
    <s v="Kommunal Boenhet"/>
    <n v="254"/>
    <s v="Helse og mestring"/>
    <x v="0"/>
    <x v="0"/>
    <n v="1030"/>
    <n v="103031"/>
    <s v="Ekstrahjelp - kvelds- og nattillegg"/>
    <n v="0"/>
    <n v="0"/>
    <n v="0"/>
    <n v="0"/>
  </r>
  <r>
    <x v="1"/>
    <s v="Februar"/>
    <n v="2"/>
    <s v="T1"/>
    <x v="0"/>
    <s v="Kommunal Boenhet"/>
    <n v="254"/>
    <s v="Helse og mestring"/>
    <x v="0"/>
    <x v="0"/>
    <n v="1030"/>
    <n v="103031"/>
    <s v="Ekstrahjelp - kvelds- og nattillegg"/>
    <n v="0"/>
    <n v="1740.48"/>
    <n v="-1740.48"/>
    <n v="1740.48"/>
  </r>
  <r>
    <x v="2"/>
    <s v="Mars"/>
    <n v="3"/>
    <s v="T1"/>
    <x v="0"/>
    <s v="Kommunal Boenhet"/>
    <n v="254"/>
    <s v="Helse og mestring"/>
    <x v="0"/>
    <x v="0"/>
    <n v="1030"/>
    <n v="103031"/>
    <s v="Ekstrahjelp - kvelds- og nattillegg"/>
    <n v="0"/>
    <n v="831.04"/>
    <n v="-831.04"/>
    <n v="831.04"/>
  </r>
  <r>
    <x v="3"/>
    <s v="April"/>
    <n v="4"/>
    <s v="T1"/>
    <x v="0"/>
    <s v="Kommunal Boenhet"/>
    <n v="254"/>
    <s v="Helse og mestring"/>
    <x v="0"/>
    <x v="0"/>
    <n v="1030"/>
    <n v="103031"/>
    <s v="Ekstrahjelp - kvelds- og nattillegg"/>
    <n v="0"/>
    <n v="0"/>
    <n v="0"/>
    <n v="0"/>
  </r>
  <r>
    <x v="4"/>
    <s v="Mai"/>
    <n v="5"/>
    <s v="T2"/>
    <x v="0"/>
    <s v="Kommunal Boenhet"/>
    <n v="254"/>
    <s v="Helse og mestring"/>
    <x v="0"/>
    <x v="0"/>
    <n v="1030"/>
    <n v="103031"/>
    <s v="Ekstrahjelp - kvelds- og nattillegg"/>
    <n v="0"/>
    <n v="0"/>
    <n v="0"/>
    <n v="0"/>
  </r>
  <r>
    <x v="5"/>
    <s v="Juni"/>
    <n v="6"/>
    <s v="T2"/>
    <x v="0"/>
    <s v="Kommunal Boenhet"/>
    <n v="254"/>
    <s v="Helse og mestring"/>
    <x v="0"/>
    <x v="0"/>
    <n v="1030"/>
    <n v="103031"/>
    <s v="Ekstrahjelp - kvelds- og nattillegg"/>
    <n v="0"/>
    <n v="1641.4"/>
    <n v="-1641.4"/>
    <n v="1641.4"/>
  </r>
  <r>
    <x v="6"/>
    <s v="Juli"/>
    <n v="7"/>
    <s v="T2"/>
    <x v="0"/>
    <s v="Kommunal Boenhet"/>
    <n v="254"/>
    <s v="Helse og mestring"/>
    <x v="0"/>
    <x v="0"/>
    <n v="1030"/>
    <n v="103031"/>
    <s v="Ekstrahjelp - kvelds- og nattillegg"/>
    <n v="0"/>
    <n v="1383.76"/>
    <n v="-1383.76"/>
    <n v="1383.76"/>
  </r>
  <r>
    <x v="7"/>
    <s v="August"/>
    <n v="8"/>
    <s v="T2"/>
    <x v="0"/>
    <s v="Kommunal Boenhet"/>
    <n v="254"/>
    <s v="Helse og mestring"/>
    <x v="0"/>
    <x v="0"/>
    <n v="1030"/>
    <n v="103031"/>
    <s v="Ekstrahjelp - kvelds- og nattillegg"/>
    <n v="0"/>
    <n v="987.84"/>
    <n v="-987.84"/>
    <n v="987.84"/>
  </r>
  <r>
    <x v="8"/>
    <s v="September"/>
    <n v="9"/>
    <s v="T3"/>
    <x v="1"/>
    <s v="Kommunal Boenhet"/>
    <n v="254"/>
    <s v="Helse og mestring"/>
    <x v="0"/>
    <x v="0"/>
    <n v="1030"/>
    <n v="103031"/>
    <s v="Ekstrahjelp - kvelds- og nattillegg"/>
    <n v="0"/>
    <n v="0"/>
    <n v="0"/>
    <n v="0"/>
  </r>
  <r>
    <x v="9"/>
    <s v="Oktober"/>
    <n v="10"/>
    <s v="T3"/>
    <x v="1"/>
    <s v="Kommunal Boenhet"/>
    <n v="254"/>
    <s v="Helse og mestring"/>
    <x v="0"/>
    <x v="0"/>
    <n v="1030"/>
    <n v="103031"/>
    <s v="Ekstrahjelp - kvelds- og nattillegg"/>
    <n v="0"/>
    <n v="0"/>
    <n v="0"/>
    <n v="0"/>
  </r>
  <r>
    <x v="10"/>
    <s v="November"/>
    <n v="11"/>
    <s v="T3"/>
    <x v="1"/>
    <s v="Kommunal Boenhet"/>
    <n v="254"/>
    <s v="Helse og mestring"/>
    <x v="0"/>
    <x v="0"/>
    <n v="1030"/>
    <n v="103031"/>
    <s v="Ekstrahjelp - kvelds- og nattillegg"/>
    <n v="0"/>
    <n v="0"/>
    <n v="0"/>
    <n v="0"/>
  </r>
  <r>
    <x v="11"/>
    <s v="Desember"/>
    <n v="12"/>
    <s v="T3"/>
    <x v="1"/>
    <s v="Kommunal Boenhet"/>
    <n v="254"/>
    <s v="Helse og mestring"/>
    <x v="0"/>
    <x v="0"/>
    <n v="1030"/>
    <n v="103031"/>
    <s v="Ekstrahjelp - kvelds- og nattillegg"/>
    <n v="0"/>
    <n v="0"/>
    <n v="0"/>
    <n v="0"/>
  </r>
  <r>
    <x v="0"/>
    <s v="Januar"/>
    <n v="1"/>
    <s v="T1"/>
    <x v="0"/>
    <s v="Kommunal Boenhet"/>
    <n v="254"/>
    <s v="Helse og mestring"/>
    <x v="0"/>
    <x v="0"/>
    <n v="1030"/>
    <n v="103032"/>
    <s v="Ekstrahjelp - helligdagstillegg"/>
    <n v="0"/>
    <n v="0"/>
    <n v="0"/>
    <n v="0"/>
  </r>
  <r>
    <x v="1"/>
    <s v="Februar"/>
    <n v="2"/>
    <s v="T1"/>
    <x v="0"/>
    <s v="Kommunal Boenhet"/>
    <n v="254"/>
    <s v="Helse og mestring"/>
    <x v="0"/>
    <x v="0"/>
    <n v="1030"/>
    <n v="103032"/>
    <s v="Ekstrahjelp - helligdagstillegg"/>
    <n v="0"/>
    <n v="1708.4"/>
    <n v="-1708.4"/>
    <n v="1708.4"/>
  </r>
  <r>
    <x v="2"/>
    <s v="Mars"/>
    <n v="3"/>
    <s v="T1"/>
    <x v="0"/>
    <s v="Kommunal Boenhet"/>
    <n v="254"/>
    <s v="Helse og mestring"/>
    <x v="0"/>
    <x v="0"/>
    <n v="1030"/>
    <n v="103032"/>
    <s v="Ekstrahjelp - helligdagstillegg"/>
    <n v="0"/>
    <n v="0"/>
    <n v="0"/>
    <n v="0"/>
  </r>
  <r>
    <x v="3"/>
    <s v="April"/>
    <n v="4"/>
    <s v="T1"/>
    <x v="0"/>
    <s v="Kommunal Boenhet"/>
    <n v="254"/>
    <s v="Helse og mestring"/>
    <x v="0"/>
    <x v="0"/>
    <n v="1030"/>
    <n v="103032"/>
    <s v="Ekstrahjelp - helligdagstillegg"/>
    <n v="0"/>
    <n v="0"/>
    <n v="0"/>
    <n v="0"/>
  </r>
  <r>
    <x v="4"/>
    <s v="Mai"/>
    <n v="5"/>
    <s v="T2"/>
    <x v="0"/>
    <s v="Kommunal Boenhet"/>
    <n v="254"/>
    <s v="Helse og mestring"/>
    <x v="0"/>
    <x v="0"/>
    <n v="1030"/>
    <n v="103032"/>
    <s v="Ekstrahjelp - helligdagstillegg"/>
    <n v="0"/>
    <n v="0"/>
    <n v="0"/>
    <n v="0"/>
  </r>
  <r>
    <x v="5"/>
    <s v="Juni"/>
    <n v="6"/>
    <s v="T2"/>
    <x v="0"/>
    <s v="Kommunal Boenhet"/>
    <n v="254"/>
    <s v="Helse og mestring"/>
    <x v="0"/>
    <x v="0"/>
    <n v="1030"/>
    <n v="103032"/>
    <s v="Ekstrahjelp - helligdagstillegg"/>
    <n v="0"/>
    <n v="4900.8999999999996"/>
    <n v="-4900.8999999999996"/>
    <n v="4900.8999999999996"/>
  </r>
  <r>
    <x v="6"/>
    <s v="Juli"/>
    <n v="7"/>
    <s v="T2"/>
    <x v="0"/>
    <s v="Kommunal Boenhet"/>
    <n v="254"/>
    <s v="Helse og mestring"/>
    <x v="0"/>
    <x v="0"/>
    <n v="1030"/>
    <n v="103032"/>
    <s v="Ekstrahjelp - helligdagstillegg"/>
    <n v="0"/>
    <n v="0"/>
    <n v="0"/>
    <n v="0"/>
  </r>
  <r>
    <x v="7"/>
    <s v="August"/>
    <n v="8"/>
    <s v="T2"/>
    <x v="0"/>
    <s v="Kommunal Boenhet"/>
    <n v="254"/>
    <s v="Helse og mestring"/>
    <x v="0"/>
    <x v="0"/>
    <n v="1030"/>
    <n v="103032"/>
    <s v="Ekstrahjelp - helligdagstillegg"/>
    <n v="0"/>
    <n v="0"/>
    <n v="0"/>
    <n v="0"/>
  </r>
  <r>
    <x v="8"/>
    <s v="September"/>
    <n v="9"/>
    <s v="T3"/>
    <x v="1"/>
    <s v="Kommunal Boenhet"/>
    <n v="254"/>
    <s v="Helse og mestring"/>
    <x v="0"/>
    <x v="0"/>
    <n v="1030"/>
    <n v="103032"/>
    <s v="Ekstrahjelp - helligdagstillegg"/>
    <n v="0"/>
    <n v="0"/>
    <n v="0"/>
    <n v="0"/>
  </r>
  <r>
    <x v="9"/>
    <s v="Oktober"/>
    <n v="10"/>
    <s v="T3"/>
    <x v="1"/>
    <s v="Kommunal Boenhet"/>
    <n v="254"/>
    <s v="Helse og mestring"/>
    <x v="0"/>
    <x v="0"/>
    <n v="1030"/>
    <n v="103032"/>
    <s v="Ekstrahjelp - helligdagstillegg"/>
    <n v="0"/>
    <n v="0"/>
    <n v="0"/>
    <n v="0"/>
  </r>
  <r>
    <x v="10"/>
    <s v="November"/>
    <n v="11"/>
    <s v="T3"/>
    <x v="1"/>
    <s v="Kommunal Boenhet"/>
    <n v="254"/>
    <s v="Helse og mestring"/>
    <x v="0"/>
    <x v="0"/>
    <n v="1030"/>
    <n v="103032"/>
    <s v="Ekstrahjelp - helligdagstillegg"/>
    <n v="0"/>
    <n v="0"/>
    <n v="0"/>
    <n v="0"/>
  </r>
  <r>
    <x v="11"/>
    <s v="Desember"/>
    <n v="12"/>
    <s v="T3"/>
    <x v="1"/>
    <s v="Kommunal Boenhet"/>
    <n v="254"/>
    <s v="Helse og mestring"/>
    <x v="0"/>
    <x v="0"/>
    <n v="1030"/>
    <n v="103032"/>
    <s v="Ekstrahjelp - helligdagstillegg"/>
    <n v="0"/>
    <n v="0"/>
    <n v="0"/>
    <n v="0"/>
  </r>
  <r>
    <x v="0"/>
    <s v="Januar"/>
    <n v="1"/>
    <s v="T1"/>
    <x v="0"/>
    <s v="Kommunal Boenhet"/>
    <n v="254"/>
    <s v="Helse og mestring"/>
    <x v="0"/>
    <x v="0"/>
    <n v="1030"/>
    <n v="103040"/>
    <s v="Engasjementer / midlertidige stillinger"/>
    <n v="0"/>
    <n v="0"/>
    <n v="0"/>
    <n v="0"/>
  </r>
  <r>
    <x v="1"/>
    <s v="Februar"/>
    <n v="2"/>
    <s v="T1"/>
    <x v="0"/>
    <s v="Kommunal Boenhet"/>
    <n v="254"/>
    <s v="Helse og mestring"/>
    <x v="0"/>
    <x v="0"/>
    <n v="1030"/>
    <n v="103040"/>
    <s v="Engasjementer / midlertidige stillinger"/>
    <n v="0"/>
    <n v="0"/>
    <n v="0"/>
    <n v="0"/>
  </r>
  <r>
    <x v="2"/>
    <s v="Mars"/>
    <n v="3"/>
    <s v="T1"/>
    <x v="0"/>
    <s v="Kommunal Boenhet"/>
    <n v="254"/>
    <s v="Helse og mestring"/>
    <x v="0"/>
    <x v="0"/>
    <n v="1030"/>
    <n v="103040"/>
    <s v="Engasjementer / midlertidige stillinger"/>
    <n v="0"/>
    <n v="19282.89"/>
    <n v="-19282.89"/>
    <n v="19282.89"/>
  </r>
  <r>
    <x v="3"/>
    <s v="April"/>
    <n v="4"/>
    <s v="T1"/>
    <x v="0"/>
    <s v="Kommunal Boenhet"/>
    <n v="254"/>
    <s v="Helse og mestring"/>
    <x v="0"/>
    <x v="0"/>
    <n v="1030"/>
    <n v="103040"/>
    <s v="Engasjementer / midlertidige stillinger"/>
    <n v="0"/>
    <n v="0"/>
    <n v="0"/>
    <n v="0"/>
  </r>
  <r>
    <x v="4"/>
    <s v="Mai"/>
    <n v="5"/>
    <s v="T2"/>
    <x v="0"/>
    <s v="Kommunal Boenhet"/>
    <n v="254"/>
    <s v="Helse og mestring"/>
    <x v="0"/>
    <x v="0"/>
    <n v="1030"/>
    <n v="103040"/>
    <s v="Engasjementer / midlertidige stillinger"/>
    <n v="0"/>
    <n v="0"/>
    <n v="0"/>
    <n v="0"/>
  </r>
  <r>
    <x v="5"/>
    <s v="Juni"/>
    <n v="6"/>
    <s v="T2"/>
    <x v="0"/>
    <s v="Kommunal Boenhet"/>
    <n v="254"/>
    <s v="Helse og mestring"/>
    <x v="0"/>
    <x v="0"/>
    <n v="1030"/>
    <n v="103040"/>
    <s v="Engasjementer / midlertidige stillinger"/>
    <n v="0"/>
    <n v="0"/>
    <n v="0"/>
    <n v="0"/>
  </r>
  <r>
    <x v="6"/>
    <s v="Juli"/>
    <n v="7"/>
    <s v="T2"/>
    <x v="0"/>
    <s v="Kommunal Boenhet"/>
    <n v="254"/>
    <s v="Helse og mestring"/>
    <x v="0"/>
    <x v="0"/>
    <n v="1030"/>
    <n v="103040"/>
    <s v="Engasjementer / midlertidige stillinger"/>
    <n v="0"/>
    <n v="0"/>
    <n v="0"/>
    <n v="0"/>
  </r>
  <r>
    <x v="7"/>
    <s v="August"/>
    <n v="8"/>
    <s v="T2"/>
    <x v="0"/>
    <s v="Kommunal Boenhet"/>
    <n v="254"/>
    <s v="Helse og mestring"/>
    <x v="0"/>
    <x v="0"/>
    <n v="1030"/>
    <n v="103040"/>
    <s v="Engasjementer / midlertidige stillinger"/>
    <n v="0"/>
    <n v="0"/>
    <n v="0"/>
    <n v="0"/>
  </r>
  <r>
    <x v="8"/>
    <s v="September"/>
    <n v="9"/>
    <s v="T3"/>
    <x v="1"/>
    <s v="Kommunal Boenhet"/>
    <n v="254"/>
    <s v="Helse og mestring"/>
    <x v="0"/>
    <x v="0"/>
    <n v="1030"/>
    <n v="103040"/>
    <s v="Engasjementer / midlertidige stillinger"/>
    <n v="0"/>
    <n v="0"/>
    <n v="0"/>
    <n v="0"/>
  </r>
  <r>
    <x v="9"/>
    <s v="Oktober"/>
    <n v="10"/>
    <s v="T3"/>
    <x v="1"/>
    <s v="Kommunal Boenhet"/>
    <n v="254"/>
    <s v="Helse og mestring"/>
    <x v="0"/>
    <x v="0"/>
    <n v="1030"/>
    <n v="103040"/>
    <s v="Engasjementer / midlertidige stillinger"/>
    <n v="0"/>
    <n v="0"/>
    <n v="0"/>
    <n v="0"/>
  </r>
  <r>
    <x v="10"/>
    <s v="November"/>
    <n v="11"/>
    <s v="T3"/>
    <x v="1"/>
    <s v="Kommunal Boenhet"/>
    <n v="254"/>
    <s v="Helse og mestring"/>
    <x v="0"/>
    <x v="0"/>
    <n v="1030"/>
    <n v="103040"/>
    <s v="Engasjementer / midlertidige stillinger"/>
    <n v="0"/>
    <n v="0"/>
    <n v="0"/>
    <n v="0"/>
  </r>
  <r>
    <x v="11"/>
    <s v="Desember"/>
    <n v="12"/>
    <s v="T3"/>
    <x v="1"/>
    <s v="Kommunal Boenhet"/>
    <n v="254"/>
    <s v="Helse og mestring"/>
    <x v="0"/>
    <x v="0"/>
    <n v="1030"/>
    <n v="103040"/>
    <s v="Engasjementer / midlertidige stillinger"/>
    <n v="0"/>
    <n v="0"/>
    <n v="0"/>
    <n v="0"/>
  </r>
  <r>
    <x v="0"/>
    <s v="Januar"/>
    <n v="1"/>
    <s v="T1"/>
    <x v="0"/>
    <s v="Kommunal Boenhet"/>
    <n v="254"/>
    <s v="Helse og mestring"/>
    <x v="0"/>
    <x v="0"/>
    <n v="1030"/>
    <n v="103050"/>
    <s v="Sommer- og sesonghjelp"/>
    <n v="0"/>
    <n v="0"/>
    <n v="0"/>
    <n v="0"/>
  </r>
  <r>
    <x v="1"/>
    <s v="Februar"/>
    <n v="2"/>
    <s v="T1"/>
    <x v="0"/>
    <s v="Kommunal Boenhet"/>
    <n v="254"/>
    <s v="Helse og mestring"/>
    <x v="0"/>
    <x v="0"/>
    <n v="1030"/>
    <n v="103050"/>
    <s v="Sommer- og sesonghjelp"/>
    <n v="0"/>
    <n v="0"/>
    <n v="0"/>
    <n v="0"/>
  </r>
  <r>
    <x v="2"/>
    <s v="Mars"/>
    <n v="3"/>
    <s v="T1"/>
    <x v="0"/>
    <s v="Kommunal Boenhet"/>
    <n v="254"/>
    <s v="Helse og mestring"/>
    <x v="0"/>
    <x v="0"/>
    <n v="1030"/>
    <n v="103050"/>
    <s v="Sommer- og sesonghjelp"/>
    <n v="0"/>
    <n v="0"/>
    <n v="0"/>
    <n v="0"/>
  </r>
  <r>
    <x v="3"/>
    <s v="April"/>
    <n v="4"/>
    <s v="T1"/>
    <x v="0"/>
    <s v="Kommunal Boenhet"/>
    <n v="254"/>
    <s v="Helse og mestring"/>
    <x v="0"/>
    <x v="0"/>
    <n v="1030"/>
    <n v="103050"/>
    <s v="Sommer- og sesonghjelp"/>
    <n v="0"/>
    <n v="0"/>
    <n v="0"/>
    <n v="0"/>
  </r>
  <r>
    <x v="4"/>
    <s v="Mai"/>
    <n v="5"/>
    <s v="T2"/>
    <x v="0"/>
    <s v="Kommunal Boenhet"/>
    <n v="254"/>
    <s v="Helse og mestring"/>
    <x v="0"/>
    <x v="0"/>
    <n v="1030"/>
    <n v="103050"/>
    <s v="Sommer- og sesonghjelp"/>
    <n v="0"/>
    <n v="0"/>
    <n v="0"/>
    <n v="0"/>
  </r>
  <r>
    <x v="5"/>
    <s v="Juni"/>
    <n v="6"/>
    <s v="T2"/>
    <x v="0"/>
    <s v="Kommunal Boenhet"/>
    <n v="254"/>
    <s v="Helse og mestring"/>
    <x v="0"/>
    <x v="0"/>
    <n v="1030"/>
    <n v="103050"/>
    <s v="Sommer- og sesonghjelp"/>
    <n v="0"/>
    <n v="0"/>
    <n v="0"/>
    <n v="0"/>
  </r>
  <r>
    <x v="6"/>
    <s v="Juli"/>
    <n v="7"/>
    <s v="T2"/>
    <x v="0"/>
    <s v="Kommunal Boenhet"/>
    <n v="254"/>
    <s v="Helse og mestring"/>
    <x v="0"/>
    <x v="0"/>
    <n v="1030"/>
    <n v="103050"/>
    <s v="Sommer- og sesonghjelp"/>
    <n v="0"/>
    <n v="10175.6"/>
    <n v="-10175.6"/>
    <n v="10175.6"/>
  </r>
  <r>
    <x v="7"/>
    <s v="August"/>
    <n v="8"/>
    <s v="T2"/>
    <x v="0"/>
    <s v="Kommunal Boenhet"/>
    <n v="254"/>
    <s v="Helse og mestring"/>
    <x v="0"/>
    <x v="0"/>
    <n v="1030"/>
    <n v="103050"/>
    <s v="Sommer- og sesonghjelp"/>
    <n v="0"/>
    <n v="19858.59"/>
    <n v="-19858.59"/>
    <n v="19858.59"/>
  </r>
  <r>
    <x v="8"/>
    <s v="September"/>
    <n v="9"/>
    <s v="T3"/>
    <x v="1"/>
    <s v="Kommunal Boenhet"/>
    <n v="254"/>
    <s v="Helse og mestring"/>
    <x v="0"/>
    <x v="0"/>
    <n v="1030"/>
    <n v="103050"/>
    <s v="Sommer- og sesonghjelp"/>
    <n v="0"/>
    <n v="0"/>
    <n v="0"/>
    <n v="0"/>
  </r>
  <r>
    <x v="9"/>
    <s v="Oktober"/>
    <n v="10"/>
    <s v="T3"/>
    <x v="1"/>
    <s v="Kommunal Boenhet"/>
    <n v="254"/>
    <s v="Helse og mestring"/>
    <x v="0"/>
    <x v="0"/>
    <n v="1030"/>
    <n v="103050"/>
    <s v="Sommer- og sesonghjelp"/>
    <n v="0"/>
    <n v="0"/>
    <n v="0"/>
    <n v="0"/>
  </r>
  <r>
    <x v="10"/>
    <s v="November"/>
    <n v="11"/>
    <s v="T3"/>
    <x v="1"/>
    <s v="Kommunal Boenhet"/>
    <n v="254"/>
    <s v="Helse og mestring"/>
    <x v="0"/>
    <x v="0"/>
    <n v="1030"/>
    <n v="103050"/>
    <s v="Sommer- og sesonghjelp"/>
    <n v="0"/>
    <n v="0"/>
    <n v="0"/>
    <n v="0"/>
  </r>
  <r>
    <x v="11"/>
    <s v="Desember"/>
    <n v="12"/>
    <s v="T3"/>
    <x v="1"/>
    <s v="Kommunal Boenhet"/>
    <n v="254"/>
    <s v="Helse og mestring"/>
    <x v="0"/>
    <x v="0"/>
    <n v="1030"/>
    <n v="103050"/>
    <s v="Sommer- og sesonghjelp"/>
    <n v="0"/>
    <n v="0"/>
    <n v="0"/>
    <n v="0"/>
  </r>
  <r>
    <x v="0"/>
    <s v="Januar"/>
    <n v="1"/>
    <s v="T1"/>
    <x v="0"/>
    <s v="Kommunal Boenhet"/>
    <n v="254"/>
    <s v="Helse og mestring"/>
    <x v="0"/>
    <x v="0"/>
    <n v="1040"/>
    <n v="104000"/>
    <s v="Overtidslønn"/>
    <n v="7063"/>
    <n v="0"/>
    <n v="7063"/>
    <n v="-7063"/>
  </r>
  <r>
    <x v="1"/>
    <s v="Februar"/>
    <n v="2"/>
    <s v="T1"/>
    <x v="0"/>
    <s v="Kommunal Boenhet"/>
    <n v="254"/>
    <s v="Helse og mestring"/>
    <x v="0"/>
    <x v="0"/>
    <n v="1040"/>
    <n v="104000"/>
    <s v="Overtidslønn"/>
    <n v="7063"/>
    <n v="103533.77"/>
    <n v="-96470.77"/>
    <n v="96470.77"/>
  </r>
  <r>
    <x v="2"/>
    <s v="Mars"/>
    <n v="3"/>
    <s v="T1"/>
    <x v="0"/>
    <s v="Kommunal Boenhet"/>
    <n v="254"/>
    <s v="Helse og mestring"/>
    <x v="0"/>
    <x v="0"/>
    <n v="1040"/>
    <n v="104000"/>
    <s v="Overtidslønn"/>
    <n v="7063"/>
    <n v="66482.399999999994"/>
    <n v="-59419.4"/>
    <n v="59419.4"/>
  </r>
  <r>
    <x v="3"/>
    <s v="April"/>
    <n v="4"/>
    <s v="T1"/>
    <x v="0"/>
    <s v="Kommunal Boenhet"/>
    <n v="254"/>
    <s v="Helse og mestring"/>
    <x v="0"/>
    <x v="0"/>
    <n v="1040"/>
    <n v="104000"/>
    <s v="Overtidslønn"/>
    <n v="7063"/>
    <n v="8461.82"/>
    <n v="-1398.82"/>
    <n v="1398.82"/>
  </r>
  <r>
    <x v="4"/>
    <s v="Mai"/>
    <n v="5"/>
    <s v="T2"/>
    <x v="0"/>
    <s v="Kommunal Boenhet"/>
    <n v="254"/>
    <s v="Helse og mestring"/>
    <x v="0"/>
    <x v="0"/>
    <n v="1040"/>
    <n v="104000"/>
    <s v="Overtidslønn"/>
    <n v="7063"/>
    <n v="4272.71"/>
    <n v="2790.29"/>
    <n v="-2790.29"/>
  </r>
  <r>
    <x v="5"/>
    <s v="Juni"/>
    <n v="6"/>
    <s v="T2"/>
    <x v="0"/>
    <s v="Kommunal Boenhet"/>
    <n v="254"/>
    <s v="Helse og mestring"/>
    <x v="0"/>
    <x v="0"/>
    <n v="1040"/>
    <n v="104000"/>
    <s v="Overtidslønn"/>
    <n v="7063"/>
    <n v="6065.63"/>
    <n v="997.37"/>
    <n v="-997.37"/>
  </r>
  <r>
    <x v="6"/>
    <s v="Juli"/>
    <n v="7"/>
    <s v="T2"/>
    <x v="0"/>
    <s v="Kommunal Boenhet"/>
    <n v="254"/>
    <s v="Helse og mestring"/>
    <x v="0"/>
    <x v="0"/>
    <n v="1040"/>
    <n v="104000"/>
    <s v="Overtidslønn"/>
    <n v="7063"/>
    <n v="31970.720000000001"/>
    <n v="-24907.72"/>
    <n v="24907.72"/>
  </r>
  <r>
    <x v="7"/>
    <s v="August"/>
    <n v="8"/>
    <s v="T2"/>
    <x v="0"/>
    <s v="Kommunal Boenhet"/>
    <n v="254"/>
    <s v="Helse og mestring"/>
    <x v="0"/>
    <x v="0"/>
    <n v="1040"/>
    <n v="104000"/>
    <s v="Overtidslønn"/>
    <n v="7063"/>
    <n v="21288.799999999999"/>
    <n v="-14225.8"/>
    <n v="14225.8"/>
  </r>
  <r>
    <x v="8"/>
    <s v="September"/>
    <n v="9"/>
    <s v="T3"/>
    <x v="1"/>
    <s v="Kommunal Boenhet"/>
    <n v="254"/>
    <s v="Helse og mestring"/>
    <x v="0"/>
    <x v="0"/>
    <n v="1040"/>
    <n v="104000"/>
    <s v="Overtidslønn"/>
    <n v="7063"/>
    <n v="0"/>
    <n v="0"/>
    <n v="-7063"/>
  </r>
  <r>
    <x v="9"/>
    <s v="Oktober"/>
    <n v="10"/>
    <s v="T3"/>
    <x v="1"/>
    <s v="Kommunal Boenhet"/>
    <n v="254"/>
    <s v="Helse og mestring"/>
    <x v="0"/>
    <x v="0"/>
    <n v="1040"/>
    <n v="104000"/>
    <s v="Overtidslønn"/>
    <n v="7063"/>
    <n v="0"/>
    <n v="0"/>
    <n v="-7063"/>
  </r>
  <r>
    <x v="10"/>
    <s v="November"/>
    <n v="11"/>
    <s v="T3"/>
    <x v="1"/>
    <s v="Kommunal Boenhet"/>
    <n v="254"/>
    <s v="Helse og mestring"/>
    <x v="0"/>
    <x v="0"/>
    <n v="1040"/>
    <n v="104000"/>
    <s v="Overtidslønn"/>
    <n v="7063"/>
    <n v="0"/>
    <n v="0"/>
    <n v="-7063"/>
  </r>
  <r>
    <x v="11"/>
    <s v="Desember"/>
    <n v="12"/>
    <s v="T3"/>
    <x v="1"/>
    <s v="Kommunal Boenhet"/>
    <n v="254"/>
    <s v="Helse og mestring"/>
    <x v="0"/>
    <x v="0"/>
    <n v="1040"/>
    <n v="104000"/>
    <s v="Overtidslønn"/>
    <n v="7307"/>
    <n v="0"/>
    <n v="0"/>
    <n v="-7307"/>
  </r>
  <r>
    <x v="0"/>
    <s v="Januar"/>
    <n v="1"/>
    <s v="T1"/>
    <x v="0"/>
    <s v="Kommunal Boenhet"/>
    <n v="254"/>
    <s v="Helse og mestring"/>
    <x v="0"/>
    <x v="0"/>
    <n v="1050"/>
    <n v="105000"/>
    <s v="Lærlinger"/>
    <n v="0"/>
    <n v="0"/>
    <n v="0"/>
    <n v="0"/>
  </r>
  <r>
    <x v="1"/>
    <s v="Februar"/>
    <n v="2"/>
    <s v="T1"/>
    <x v="0"/>
    <s v="Kommunal Boenhet"/>
    <n v="254"/>
    <s v="Helse og mestring"/>
    <x v="0"/>
    <x v="0"/>
    <n v="1050"/>
    <n v="105000"/>
    <s v="Lærlinger"/>
    <n v="0"/>
    <n v="0"/>
    <n v="0"/>
    <n v="0"/>
  </r>
  <r>
    <x v="2"/>
    <s v="Mars"/>
    <n v="3"/>
    <s v="T1"/>
    <x v="0"/>
    <s v="Kommunal Boenhet"/>
    <n v="254"/>
    <s v="Helse og mestring"/>
    <x v="0"/>
    <x v="0"/>
    <n v="1050"/>
    <n v="105000"/>
    <s v="Lærlinger"/>
    <n v="0"/>
    <n v="8900.99"/>
    <n v="-8900.99"/>
    <n v="8900.99"/>
  </r>
  <r>
    <x v="3"/>
    <s v="April"/>
    <n v="4"/>
    <s v="T1"/>
    <x v="0"/>
    <s v="Kommunal Boenhet"/>
    <n v="254"/>
    <s v="Helse og mestring"/>
    <x v="0"/>
    <x v="0"/>
    <n v="1050"/>
    <n v="105000"/>
    <s v="Lærlinger"/>
    <n v="0"/>
    <n v="14522.67"/>
    <n v="-14522.67"/>
    <n v="14522.67"/>
  </r>
  <r>
    <x v="4"/>
    <s v="Mai"/>
    <n v="5"/>
    <s v="T2"/>
    <x v="0"/>
    <s v="Kommunal Boenhet"/>
    <n v="254"/>
    <s v="Helse og mestring"/>
    <x v="0"/>
    <x v="0"/>
    <n v="1050"/>
    <n v="105000"/>
    <s v="Lærlinger"/>
    <n v="0"/>
    <n v="14522.67"/>
    <n v="-14522.67"/>
    <n v="14522.67"/>
  </r>
  <r>
    <x v="5"/>
    <s v="Juni"/>
    <n v="6"/>
    <s v="T2"/>
    <x v="0"/>
    <s v="Kommunal Boenhet"/>
    <n v="254"/>
    <s v="Helse og mestring"/>
    <x v="0"/>
    <x v="0"/>
    <n v="1050"/>
    <n v="105000"/>
    <s v="Lærlinger"/>
    <n v="0"/>
    <n v="-1403.44"/>
    <n v="1403.44"/>
    <n v="-1403.44"/>
  </r>
  <r>
    <x v="6"/>
    <s v="Juli"/>
    <n v="7"/>
    <s v="T2"/>
    <x v="0"/>
    <s v="Kommunal Boenhet"/>
    <n v="254"/>
    <s v="Helse og mestring"/>
    <x v="0"/>
    <x v="0"/>
    <n v="1050"/>
    <n v="105000"/>
    <s v="Lærlinger"/>
    <n v="0"/>
    <n v="15504.53"/>
    <n v="-15504.53"/>
    <n v="15504.53"/>
  </r>
  <r>
    <x v="7"/>
    <s v="August"/>
    <n v="8"/>
    <s v="T2"/>
    <x v="0"/>
    <s v="Kommunal Boenhet"/>
    <n v="254"/>
    <s v="Helse og mestring"/>
    <x v="0"/>
    <x v="0"/>
    <n v="1050"/>
    <n v="105000"/>
    <s v="Lærlinger"/>
    <n v="0"/>
    <n v="17630.16"/>
    <n v="-17630.16"/>
    <n v="17630.16"/>
  </r>
  <r>
    <x v="8"/>
    <s v="September"/>
    <n v="9"/>
    <s v="T3"/>
    <x v="1"/>
    <s v="Kommunal Boenhet"/>
    <n v="254"/>
    <s v="Helse og mestring"/>
    <x v="0"/>
    <x v="0"/>
    <n v="1050"/>
    <n v="105000"/>
    <s v="Lærlinger"/>
    <n v="0"/>
    <n v="0"/>
    <n v="0"/>
    <n v="0"/>
  </r>
  <r>
    <x v="9"/>
    <s v="Oktober"/>
    <n v="10"/>
    <s v="T3"/>
    <x v="1"/>
    <s v="Kommunal Boenhet"/>
    <n v="254"/>
    <s v="Helse og mestring"/>
    <x v="0"/>
    <x v="0"/>
    <n v="1050"/>
    <n v="105000"/>
    <s v="Lærlinger"/>
    <n v="0"/>
    <n v="0"/>
    <n v="0"/>
    <n v="0"/>
  </r>
  <r>
    <x v="10"/>
    <s v="November"/>
    <n v="11"/>
    <s v="T3"/>
    <x v="1"/>
    <s v="Kommunal Boenhet"/>
    <n v="254"/>
    <s v="Helse og mestring"/>
    <x v="0"/>
    <x v="0"/>
    <n v="1050"/>
    <n v="105000"/>
    <s v="Lærlinger"/>
    <n v="0"/>
    <n v="0"/>
    <n v="0"/>
    <n v="0"/>
  </r>
  <r>
    <x v="11"/>
    <s v="Desember"/>
    <n v="12"/>
    <s v="T3"/>
    <x v="1"/>
    <s v="Kommunal Boenhet"/>
    <n v="254"/>
    <s v="Helse og mestring"/>
    <x v="0"/>
    <x v="0"/>
    <n v="1050"/>
    <n v="105000"/>
    <s v="Lærlinger"/>
    <n v="0"/>
    <n v="0"/>
    <n v="0"/>
    <n v="0"/>
  </r>
  <r>
    <x v="0"/>
    <s v="Januar"/>
    <n v="1"/>
    <s v="T1"/>
    <x v="0"/>
    <s v="Kommunal Boenhet"/>
    <n v="254"/>
    <s v="Helse og mestring"/>
    <x v="0"/>
    <x v="0"/>
    <n v="1050"/>
    <n v="105042"/>
    <s v="Lønn utrykning"/>
    <n v="0"/>
    <n v="0"/>
    <n v="0"/>
    <n v="0"/>
  </r>
  <r>
    <x v="1"/>
    <s v="Februar"/>
    <n v="2"/>
    <s v="T1"/>
    <x v="0"/>
    <s v="Kommunal Boenhet"/>
    <n v="254"/>
    <s v="Helse og mestring"/>
    <x v="0"/>
    <x v="0"/>
    <n v="1050"/>
    <n v="105042"/>
    <s v="Lønn utrykning"/>
    <n v="0"/>
    <n v="0"/>
    <n v="0"/>
    <n v="0"/>
  </r>
  <r>
    <x v="2"/>
    <s v="Mars"/>
    <n v="3"/>
    <s v="T1"/>
    <x v="0"/>
    <s v="Kommunal Boenhet"/>
    <n v="254"/>
    <s v="Helse og mestring"/>
    <x v="0"/>
    <x v="0"/>
    <n v="1050"/>
    <n v="105042"/>
    <s v="Lønn utrykning"/>
    <n v="0"/>
    <n v="0"/>
    <n v="0"/>
    <n v="0"/>
  </r>
  <r>
    <x v="3"/>
    <s v="April"/>
    <n v="4"/>
    <s v="T1"/>
    <x v="0"/>
    <s v="Kommunal Boenhet"/>
    <n v="254"/>
    <s v="Helse og mestring"/>
    <x v="0"/>
    <x v="0"/>
    <n v="1050"/>
    <n v="105042"/>
    <s v="Lønn utrykning"/>
    <n v="0"/>
    <n v="0"/>
    <n v="0"/>
    <n v="0"/>
  </r>
  <r>
    <x v="4"/>
    <s v="Mai"/>
    <n v="5"/>
    <s v="T2"/>
    <x v="0"/>
    <s v="Kommunal Boenhet"/>
    <n v="254"/>
    <s v="Helse og mestring"/>
    <x v="0"/>
    <x v="0"/>
    <n v="1050"/>
    <n v="105042"/>
    <s v="Lønn utrykning"/>
    <n v="0"/>
    <n v="0"/>
    <n v="0"/>
    <n v="0"/>
  </r>
  <r>
    <x v="5"/>
    <s v="Juni"/>
    <n v="6"/>
    <s v="T2"/>
    <x v="0"/>
    <s v="Kommunal Boenhet"/>
    <n v="254"/>
    <s v="Helse og mestring"/>
    <x v="0"/>
    <x v="0"/>
    <n v="1050"/>
    <n v="105042"/>
    <s v="Lønn utrykning"/>
    <n v="0"/>
    <n v="0"/>
    <n v="0"/>
    <n v="0"/>
  </r>
  <r>
    <x v="6"/>
    <s v="Juli"/>
    <n v="7"/>
    <s v="T2"/>
    <x v="0"/>
    <s v="Kommunal Boenhet"/>
    <n v="254"/>
    <s v="Helse og mestring"/>
    <x v="0"/>
    <x v="0"/>
    <n v="1050"/>
    <n v="105042"/>
    <s v="Lønn utrykning"/>
    <n v="0"/>
    <n v="0"/>
    <n v="0"/>
    <n v="0"/>
  </r>
  <r>
    <x v="7"/>
    <s v="August"/>
    <n v="8"/>
    <s v="T2"/>
    <x v="0"/>
    <s v="Kommunal Boenhet"/>
    <n v="254"/>
    <s v="Helse og mestring"/>
    <x v="0"/>
    <x v="0"/>
    <n v="1050"/>
    <n v="105042"/>
    <s v="Lønn utrykning"/>
    <n v="0"/>
    <n v="0"/>
    <n v="0"/>
    <n v="0"/>
  </r>
  <r>
    <x v="8"/>
    <s v="September"/>
    <n v="9"/>
    <s v="T3"/>
    <x v="1"/>
    <s v="Kommunal Boenhet"/>
    <n v="254"/>
    <s v="Helse og mestring"/>
    <x v="0"/>
    <x v="0"/>
    <n v="1050"/>
    <n v="105042"/>
    <s v="Lønn utrykning"/>
    <n v="0"/>
    <n v="0"/>
    <n v="0"/>
    <n v="0"/>
  </r>
  <r>
    <x v="9"/>
    <s v="Oktober"/>
    <n v="10"/>
    <s v="T3"/>
    <x v="1"/>
    <s v="Kommunal Boenhet"/>
    <n v="254"/>
    <s v="Helse og mestring"/>
    <x v="0"/>
    <x v="0"/>
    <n v="1050"/>
    <n v="105042"/>
    <s v="Lønn utrykning"/>
    <n v="0"/>
    <n v="0"/>
    <n v="0"/>
    <n v="0"/>
  </r>
  <r>
    <x v="10"/>
    <s v="November"/>
    <n v="11"/>
    <s v="T3"/>
    <x v="1"/>
    <s v="Kommunal Boenhet"/>
    <n v="254"/>
    <s v="Helse og mestring"/>
    <x v="0"/>
    <x v="0"/>
    <n v="1050"/>
    <n v="105042"/>
    <s v="Lønn utrykning"/>
    <n v="0"/>
    <n v="0"/>
    <n v="0"/>
    <n v="0"/>
  </r>
  <r>
    <x v="11"/>
    <s v="Desember"/>
    <n v="12"/>
    <s v="T3"/>
    <x v="1"/>
    <s v="Kommunal Boenhet"/>
    <n v="254"/>
    <s v="Helse og mestring"/>
    <x v="0"/>
    <x v="0"/>
    <n v="1050"/>
    <n v="105042"/>
    <s v="Lønn utrykning"/>
    <n v="0"/>
    <n v="0"/>
    <n v="0"/>
    <n v="0"/>
  </r>
  <r>
    <x v="0"/>
    <s v="Januar"/>
    <n v="1"/>
    <s v="T1"/>
    <x v="0"/>
    <s v="Kommunal Boenhet"/>
    <n v="254"/>
    <s v="Helse og mestring"/>
    <x v="0"/>
    <x v="0"/>
    <n v="1050"/>
    <n v="105045"/>
    <s v="Turtillegg - reise med pasient / klient/brukere"/>
    <n v="0"/>
    <n v="0"/>
    <n v="0"/>
    <n v="0"/>
  </r>
  <r>
    <x v="1"/>
    <s v="Februar"/>
    <n v="2"/>
    <s v="T1"/>
    <x v="0"/>
    <s v="Kommunal Boenhet"/>
    <n v="254"/>
    <s v="Helse og mestring"/>
    <x v="0"/>
    <x v="0"/>
    <n v="1050"/>
    <n v="105045"/>
    <s v="Turtillegg - reise med pasient / klient/brukere"/>
    <n v="0"/>
    <n v="0"/>
    <n v="0"/>
    <n v="0"/>
  </r>
  <r>
    <x v="2"/>
    <s v="Mars"/>
    <n v="3"/>
    <s v="T1"/>
    <x v="0"/>
    <s v="Kommunal Boenhet"/>
    <n v="254"/>
    <s v="Helse og mestring"/>
    <x v="0"/>
    <x v="0"/>
    <n v="1050"/>
    <n v="105045"/>
    <s v="Turtillegg - reise med pasient / klient/brukere"/>
    <n v="0"/>
    <n v="12191.9"/>
    <n v="-12191.9"/>
    <n v="12191.9"/>
  </r>
  <r>
    <x v="3"/>
    <s v="April"/>
    <n v="4"/>
    <s v="T1"/>
    <x v="0"/>
    <s v="Kommunal Boenhet"/>
    <n v="254"/>
    <s v="Helse og mestring"/>
    <x v="0"/>
    <x v="0"/>
    <n v="1050"/>
    <n v="105045"/>
    <s v="Turtillegg - reise med pasient / klient/brukere"/>
    <n v="0"/>
    <n v="0"/>
    <n v="0"/>
    <n v="0"/>
  </r>
  <r>
    <x v="4"/>
    <s v="Mai"/>
    <n v="5"/>
    <s v="T2"/>
    <x v="0"/>
    <s v="Kommunal Boenhet"/>
    <n v="254"/>
    <s v="Helse og mestring"/>
    <x v="0"/>
    <x v="0"/>
    <n v="1050"/>
    <n v="105045"/>
    <s v="Turtillegg - reise med pasient / klient/brukere"/>
    <n v="0"/>
    <n v="1075.2"/>
    <n v="-1075.2"/>
    <n v="1075.2"/>
  </r>
  <r>
    <x v="5"/>
    <s v="Juni"/>
    <n v="6"/>
    <s v="T2"/>
    <x v="0"/>
    <s v="Kommunal Boenhet"/>
    <n v="254"/>
    <s v="Helse og mestring"/>
    <x v="0"/>
    <x v="0"/>
    <n v="1050"/>
    <n v="105045"/>
    <s v="Turtillegg - reise med pasient / klient/brukere"/>
    <n v="0"/>
    <n v="0"/>
    <n v="0"/>
    <n v="0"/>
  </r>
  <r>
    <x v="6"/>
    <s v="Juli"/>
    <n v="7"/>
    <s v="T2"/>
    <x v="0"/>
    <s v="Kommunal Boenhet"/>
    <n v="254"/>
    <s v="Helse og mestring"/>
    <x v="0"/>
    <x v="0"/>
    <n v="1050"/>
    <n v="105045"/>
    <s v="Turtillegg - reise med pasient / klient/brukere"/>
    <n v="0"/>
    <n v="0"/>
    <n v="0"/>
    <n v="0"/>
  </r>
  <r>
    <x v="7"/>
    <s v="August"/>
    <n v="8"/>
    <s v="T2"/>
    <x v="0"/>
    <s v="Kommunal Boenhet"/>
    <n v="254"/>
    <s v="Helse og mestring"/>
    <x v="0"/>
    <x v="0"/>
    <n v="1050"/>
    <n v="105045"/>
    <s v="Turtillegg - reise med pasient / klient/brukere"/>
    <n v="0"/>
    <n v="12519.36"/>
    <n v="-12519.36"/>
    <n v="12519.36"/>
  </r>
  <r>
    <x v="8"/>
    <s v="September"/>
    <n v="9"/>
    <s v="T3"/>
    <x v="1"/>
    <s v="Kommunal Boenhet"/>
    <n v="254"/>
    <s v="Helse og mestring"/>
    <x v="0"/>
    <x v="0"/>
    <n v="1050"/>
    <n v="105045"/>
    <s v="Turtillegg - reise med pasient / klient/brukere"/>
    <n v="0"/>
    <n v="0"/>
    <n v="0"/>
    <n v="0"/>
  </r>
  <r>
    <x v="9"/>
    <s v="Oktober"/>
    <n v="10"/>
    <s v="T3"/>
    <x v="1"/>
    <s v="Kommunal Boenhet"/>
    <n v="254"/>
    <s v="Helse og mestring"/>
    <x v="0"/>
    <x v="0"/>
    <n v="1050"/>
    <n v="105045"/>
    <s v="Turtillegg - reise med pasient / klient/brukere"/>
    <n v="0"/>
    <n v="0"/>
    <n v="0"/>
    <n v="0"/>
  </r>
  <r>
    <x v="10"/>
    <s v="November"/>
    <n v="11"/>
    <s v="T3"/>
    <x v="1"/>
    <s v="Kommunal Boenhet"/>
    <n v="254"/>
    <s v="Helse og mestring"/>
    <x v="0"/>
    <x v="0"/>
    <n v="1050"/>
    <n v="105045"/>
    <s v="Turtillegg - reise med pasient / klient/brukere"/>
    <n v="0"/>
    <n v="0"/>
    <n v="0"/>
    <n v="0"/>
  </r>
  <r>
    <x v="11"/>
    <s v="Desember"/>
    <n v="12"/>
    <s v="T3"/>
    <x v="1"/>
    <s v="Kommunal Boenhet"/>
    <n v="254"/>
    <s v="Helse og mestring"/>
    <x v="0"/>
    <x v="0"/>
    <n v="1050"/>
    <n v="105045"/>
    <s v="Turtillegg - reise med pasient / klient/brukere"/>
    <n v="0"/>
    <n v="0"/>
    <n v="0"/>
    <n v="0"/>
  </r>
  <r>
    <x v="0"/>
    <s v="Januar"/>
    <n v="1"/>
    <s v="T1"/>
    <x v="0"/>
    <s v="Kommunal Boenhet"/>
    <n v="254"/>
    <s v="Helse og mestring"/>
    <x v="0"/>
    <x v="0"/>
    <n v="1050"/>
    <n v="105046"/>
    <s v="Forskjøvet arbeidstid"/>
    <n v="0"/>
    <n v="0"/>
    <n v="0"/>
    <n v="0"/>
  </r>
  <r>
    <x v="1"/>
    <s v="Februar"/>
    <n v="2"/>
    <s v="T1"/>
    <x v="0"/>
    <s v="Kommunal Boenhet"/>
    <n v="254"/>
    <s v="Helse og mestring"/>
    <x v="0"/>
    <x v="0"/>
    <n v="1050"/>
    <n v="105046"/>
    <s v="Forskjøvet arbeidstid"/>
    <n v="0"/>
    <n v="6334.29"/>
    <n v="-6334.29"/>
    <n v="6334.29"/>
  </r>
  <r>
    <x v="2"/>
    <s v="Mars"/>
    <n v="3"/>
    <s v="T1"/>
    <x v="0"/>
    <s v="Kommunal Boenhet"/>
    <n v="254"/>
    <s v="Helse og mestring"/>
    <x v="0"/>
    <x v="0"/>
    <n v="1050"/>
    <n v="105046"/>
    <s v="Forskjøvet arbeidstid"/>
    <n v="0"/>
    <n v="3689.04"/>
    <n v="-3689.04"/>
    <n v="3689.04"/>
  </r>
  <r>
    <x v="3"/>
    <s v="April"/>
    <n v="4"/>
    <s v="T1"/>
    <x v="0"/>
    <s v="Kommunal Boenhet"/>
    <n v="254"/>
    <s v="Helse og mestring"/>
    <x v="0"/>
    <x v="0"/>
    <n v="1050"/>
    <n v="105046"/>
    <s v="Forskjøvet arbeidstid"/>
    <n v="0"/>
    <n v="3891.32"/>
    <n v="-3891.32"/>
    <n v="3891.32"/>
  </r>
  <r>
    <x v="4"/>
    <s v="Mai"/>
    <n v="5"/>
    <s v="T2"/>
    <x v="0"/>
    <s v="Kommunal Boenhet"/>
    <n v="254"/>
    <s v="Helse og mestring"/>
    <x v="0"/>
    <x v="0"/>
    <n v="1050"/>
    <n v="105046"/>
    <s v="Forskjøvet arbeidstid"/>
    <n v="0"/>
    <n v="72.260000000000005"/>
    <n v="-72.260000000000005"/>
    <n v="72.260000000000005"/>
  </r>
  <r>
    <x v="5"/>
    <s v="Juni"/>
    <n v="6"/>
    <s v="T2"/>
    <x v="0"/>
    <s v="Kommunal Boenhet"/>
    <n v="254"/>
    <s v="Helse og mestring"/>
    <x v="0"/>
    <x v="0"/>
    <n v="1050"/>
    <n v="105046"/>
    <s v="Forskjøvet arbeidstid"/>
    <n v="0"/>
    <n v="990.72"/>
    <n v="-990.72"/>
    <n v="990.72"/>
  </r>
  <r>
    <x v="6"/>
    <s v="Juli"/>
    <n v="7"/>
    <s v="T2"/>
    <x v="0"/>
    <s v="Kommunal Boenhet"/>
    <n v="254"/>
    <s v="Helse og mestring"/>
    <x v="0"/>
    <x v="0"/>
    <n v="1050"/>
    <n v="105046"/>
    <s v="Forskjøvet arbeidstid"/>
    <n v="0"/>
    <n v="1940.37"/>
    <n v="-1940.37"/>
    <n v="1940.37"/>
  </r>
  <r>
    <x v="7"/>
    <s v="August"/>
    <n v="8"/>
    <s v="T2"/>
    <x v="0"/>
    <s v="Kommunal Boenhet"/>
    <n v="254"/>
    <s v="Helse og mestring"/>
    <x v="0"/>
    <x v="0"/>
    <n v="1050"/>
    <n v="105046"/>
    <s v="Forskjøvet arbeidstid"/>
    <n v="0"/>
    <n v="3424.71"/>
    <n v="-3424.71"/>
    <n v="3424.71"/>
  </r>
  <r>
    <x v="8"/>
    <s v="September"/>
    <n v="9"/>
    <s v="T3"/>
    <x v="1"/>
    <s v="Kommunal Boenhet"/>
    <n v="254"/>
    <s v="Helse og mestring"/>
    <x v="0"/>
    <x v="0"/>
    <n v="1050"/>
    <n v="105046"/>
    <s v="Forskjøvet arbeidstid"/>
    <n v="0"/>
    <n v="0"/>
    <n v="0"/>
    <n v="0"/>
  </r>
  <r>
    <x v="9"/>
    <s v="Oktober"/>
    <n v="10"/>
    <s v="T3"/>
    <x v="1"/>
    <s v="Kommunal Boenhet"/>
    <n v="254"/>
    <s v="Helse og mestring"/>
    <x v="0"/>
    <x v="0"/>
    <n v="1050"/>
    <n v="105046"/>
    <s v="Forskjøvet arbeidstid"/>
    <n v="0"/>
    <n v="0"/>
    <n v="0"/>
    <n v="0"/>
  </r>
  <r>
    <x v="10"/>
    <s v="November"/>
    <n v="11"/>
    <s v="T3"/>
    <x v="1"/>
    <s v="Kommunal Boenhet"/>
    <n v="254"/>
    <s v="Helse og mestring"/>
    <x v="0"/>
    <x v="0"/>
    <n v="1050"/>
    <n v="105046"/>
    <s v="Forskjøvet arbeidstid"/>
    <n v="0"/>
    <n v="0"/>
    <n v="0"/>
    <n v="0"/>
  </r>
  <r>
    <x v="11"/>
    <s v="Desember"/>
    <n v="12"/>
    <s v="T3"/>
    <x v="1"/>
    <s v="Kommunal Boenhet"/>
    <n v="254"/>
    <s v="Helse og mestring"/>
    <x v="0"/>
    <x v="0"/>
    <n v="1050"/>
    <n v="105046"/>
    <s v="Forskjøvet arbeidstid"/>
    <n v="0"/>
    <n v="0"/>
    <n v="0"/>
    <n v="0"/>
  </r>
  <r>
    <x v="0"/>
    <s v="Januar"/>
    <n v="1"/>
    <s v="T1"/>
    <x v="0"/>
    <s v="Kommunal Boenhet"/>
    <n v="254"/>
    <s v="Helse og mestring"/>
    <x v="0"/>
    <x v="0"/>
    <n v="1050"/>
    <n v="105060"/>
    <s v="Skattepl. telefongodtgjørelse"/>
    <n v="333"/>
    <n v="0"/>
    <n v="333"/>
    <n v="-333"/>
  </r>
  <r>
    <x v="1"/>
    <s v="Februar"/>
    <n v="2"/>
    <s v="T1"/>
    <x v="0"/>
    <s v="Kommunal Boenhet"/>
    <n v="254"/>
    <s v="Helse og mestring"/>
    <x v="0"/>
    <x v="0"/>
    <n v="1050"/>
    <n v="105060"/>
    <s v="Skattepl. telefongodtgjørelse"/>
    <n v="333"/>
    <n v="0"/>
    <n v="333"/>
    <n v="-333"/>
  </r>
  <r>
    <x v="2"/>
    <s v="Mars"/>
    <n v="3"/>
    <s v="T1"/>
    <x v="0"/>
    <s v="Kommunal Boenhet"/>
    <n v="254"/>
    <s v="Helse og mestring"/>
    <x v="0"/>
    <x v="0"/>
    <n v="1050"/>
    <n v="105060"/>
    <s v="Skattepl. telefongodtgjørelse"/>
    <n v="333"/>
    <n v="0"/>
    <n v="333"/>
    <n v="-333"/>
  </r>
  <r>
    <x v="3"/>
    <s v="April"/>
    <n v="4"/>
    <s v="T1"/>
    <x v="0"/>
    <s v="Kommunal Boenhet"/>
    <n v="254"/>
    <s v="Helse og mestring"/>
    <x v="0"/>
    <x v="0"/>
    <n v="1050"/>
    <n v="105060"/>
    <s v="Skattepl. telefongodtgjørelse"/>
    <n v="333"/>
    <n v="0"/>
    <n v="333"/>
    <n v="-333"/>
  </r>
  <r>
    <x v="4"/>
    <s v="Mai"/>
    <n v="5"/>
    <s v="T2"/>
    <x v="0"/>
    <s v="Kommunal Boenhet"/>
    <n v="254"/>
    <s v="Helse og mestring"/>
    <x v="0"/>
    <x v="0"/>
    <n v="1050"/>
    <n v="105060"/>
    <s v="Skattepl. telefongodtgjørelse"/>
    <n v="333"/>
    <n v="0"/>
    <n v="333"/>
    <n v="-333"/>
  </r>
  <r>
    <x v="5"/>
    <s v="Juni"/>
    <n v="6"/>
    <s v="T2"/>
    <x v="0"/>
    <s v="Kommunal Boenhet"/>
    <n v="254"/>
    <s v="Helse og mestring"/>
    <x v="0"/>
    <x v="0"/>
    <n v="1050"/>
    <n v="105060"/>
    <s v="Skattepl. telefongodtgjørelse"/>
    <n v="333"/>
    <n v="0"/>
    <n v="333"/>
    <n v="-333"/>
  </r>
  <r>
    <x v="6"/>
    <s v="Juli"/>
    <n v="7"/>
    <s v="T2"/>
    <x v="0"/>
    <s v="Kommunal Boenhet"/>
    <n v="254"/>
    <s v="Helse og mestring"/>
    <x v="0"/>
    <x v="0"/>
    <n v="1050"/>
    <n v="105060"/>
    <s v="Skattepl. telefongodtgjørelse"/>
    <n v="333"/>
    <n v="0"/>
    <n v="333"/>
    <n v="-333"/>
  </r>
  <r>
    <x v="7"/>
    <s v="August"/>
    <n v="8"/>
    <s v="T2"/>
    <x v="0"/>
    <s v="Kommunal Boenhet"/>
    <n v="254"/>
    <s v="Helse og mestring"/>
    <x v="0"/>
    <x v="0"/>
    <n v="1050"/>
    <n v="105060"/>
    <s v="Skattepl. telefongodtgjørelse"/>
    <n v="333"/>
    <n v="0"/>
    <n v="333"/>
    <n v="-333"/>
  </r>
  <r>
    <x v="8"/>
    <s v="September"/>
    <n v="9"/>
    <s v="T3"/>
    <x v="1"/>
    <s v="Kommunal Boenhet"/>
    <n v="254"/>
    <s v="Helse og mestring"/>
    <x v="0"/>
    <x v="0"/>
    <n v="1050"/>
    <n v="105060"/>
    <s v="Skattepl. telefongodtgjørelse"/>
    <n v="333"/>
    <n v="0"/>
    <n v="0"/>
    <n v="-333"/>
  </r>
  <r>
    <x v="9"/>
    <s v="Oktober"/>
    <n v="10"/>
    <s v="T3"/>
    <x v="1"/>
    <s v="Kommunal Boenhet"/>
    <n v="254"/>
    <s v="Helse og mestring"/>
    <x v="0"/>
    <x v="0"/>
    <n v="1050"/>
    <n v="105060"/>
    <s v="Skattepl. telefongodtgjørelse"/>
    <n v="333"/>
    <n v="0"/>
    <n v="0"/>
    <n v="-333"/>
  </r>
  <r>
    <x v="10"/>
    <s v="November"/>
    <n v="11"/>
    <s v="T3"/>
    <x v="1"/>
    <s v="Kommunal Boenhet"/>
    <n v="254"/>
    <s v="Helse og mestring"/>
    <x v="0"/>
    <x v="0"/>
    <n v="1050"/>
    <n v="105060"/>
    <s v="Skattepl. telefongodtgjørelse"/>
    <n v="333"/>
    <n v="0"/>
    <n v="0"/>
    <n v="-333"/>
  </r>
  <r>
    <x v="11"/>
    <s v="Desember"/>
    <n v="12"/>
    <s v="T3"/>
    <x v="1"/>
    <s v="Kommunal Boenhet"/>
    <n v="254"/>
    <s v="Helse og mestring"/>
    <x v="0"/>
    <x v="0"/>
    <n v="1050"/>
    <n v="105060"/>
    <s v="Skattepl. telefongodtgjørelse"/>
    <n v="337"/>
    <n v="0"/>
    <n v="0"/>
    <n v="-337"/>
  </r>
  <r>
    <x v="0"/>
    <s v="Januar"/>
    <n v="1"/>
    <s v="T1"/>
    <x v="0"/>
    <s v="Kommunal Boenhet"/>
    <n v="254"/>
    <s v="Helse og mestring"/>
    <x v="0"/>
    <x v="0"/>
    <n v="1050"/>
    <n v="105064"/>
    <s v="Skattepl. klesgodtgjørelse"/>
    <n v="1416"/>
    <n v="1127.32"/>
    <n v="288.68"/>
    <n v="-288.68"/>
  </r>
  <r>
    <x v="1"/>
    <s v="Februar"/>
    <n v="2"/>
    <s v="T1"/>
    <x v="0"/>
    <s v="Kommunal Boenhet"/>
    <n v="254"/>
    <s v="Helse og mestring"/>
    <x v="0"/>
    <x v="0"/>
    <n v="1050"/>
    <n v="105064"/>
    <s v="Skattepl. klesgodtgjørelse"/>
    <n v="1416"/>
    <n v="1295"/>
    <n v="121"/>
    <n v="-121"/>
  </r>
  <r>
    <x v="2"/>
    <s v="Mars"/>
    <n v="3"/>
    <s v="T1"/>
    <x v="0"/>
    <s v="Kommunal Boenhet"/>
    <n v="254"/>
    <s v="Helse og mestring"/>
    <x v="0"/>
    <x v="0"/>
    <n v="1050"/>
    <n v="105064"/>
    <s v="Skattepl. klesgodtgjørelse"/>
    <n v="1416"/>
    <n v="1180.8699999999999"/>
    <n v="235.13"/>
    <n v="-235.13"/>
  </r>
  <r>
    <x v="3"/>
    <s v="April"/>
    <n v="4"/>
    <s v="T1"/>
    <x v="0"/>
    <s v="Kommunal Boenhet"/>
    <n v="254"/>
    <s v="Helse og mestring"/>
    <x v="0"/>
    <x v="0"/>
    <n v="1050"/>
    <n v="105064"/>
    <s v="Skattepl. klesgodtgjørelse"/>
    <n v="1416"/>
    <n v="1070.2"/>
    <n v="345.8"/>
    <n v="-345.8"/>
  </r>
  <r>
    <x v="4"/>
    <s v="Mai"/>
    <n v="5"/>
    <s v="T2"/>
    <x v="0"/>
    <s v="Kommunal Boenhet"/>
    <n v="254"/>
    <s v="Helse og mestring"/>
    <x v="0"/>
    <x v="0"/>
    <n v="1050"/>
    <n v="105064"/>
    <s v="Skattepl. klesgodtgjørelse"/>
    <n v="1416"/>
    <n v="1107.8599999999999"/>
    <n v="308.14"/>
    <n v="-308.14"/>
  </r>
  <r>
    <x v="5"/>
    <s v="Juni"/>
    <n v="6"/>
    <s v="T2"/>
    <x v="0"/>
    <s v="Kommunal Boenhet"/>
    <n v="254"/>
    <s v="Helse og mestring"/>
    <x v="0"/>
    <x v="0"/>
    <n v="1050"/>
    <n v="105064"/>
    <s v="Skattepl. klesgodtgjørelse"/>
    <n v="1416"/>
    <n v="1016.81"/>
    <n v="399.19"/>
    <n v="-399.19"/>
  </r>
  <r>
    <x v="6"/>
    <s v="Juli"/>
    <n v="7"/>
    <s v="T2"/>
    <x v="0"/>
    <s v="Kommunal Boenhet"/>
    <n v="254"/>
    <s v="Helse og mestring"/>
    <x v="0"/>
    <x v="0"/>
    <n v="1050"/>
    <n v="105064"/>
    <s v="Skattepl. klesgodtgjørelse"/>
    <n v="1416"/>
    <n v="974.22"/>
    <n v="441.78"/>
    <n v="-441.78"/>
  </r>
  <r>
    <x v="7"/>
    <s v="August"/>
    <n v="8"/>
    <s v="T2"/>
    <x v="0"/>
    <s v="Kommunal Boenhet"/>
    <n v="254"/>
    <s v="Helse og mestring"/>
    <x v="0"/>
    <x v="0"/>
    <n v="1050"/>
    <n v="105064"/>
    <s v="Skattepl. klesgodtgjørelse"/>
    <n v="1416"/>
    <n v="974.22"/>
    <n v="441.78"/>
    <n v="-441.78"/>
  </r>
  <r>
    <x v="8"/>
    <s v="September"/>
    <n v="9"/>
    <s v="T3"/>
    <x v="1"/>
    <s v="Kommunal Boenhet"/>
    <n v="254"/>
    <s v="Helse og mestring"/>
    <x v="0"/>
    <x v="0"/>
    <n v="1050"/>
    <n v="105064"/>
    <s v="Skattepl. klesgodtgjørelse"/>
    <n v="1416"/>
    <n v="0"/>
    <n v="0"/>
    <n v="-1416"/>
  </r>
  <r>
    <x v="9"/>
    <s v="Oktober"/>
    <n v="10"/>
    <s v="T3"/>
    <x v="1"/>
    <s v="Kommunal Boenhet"/>
    <n v="254"/>
    <s v="Helse og mestring"/>
    <x v="0"/>
    <x v="0"/>
    <n v="1050"/>
    <n v="105064"/>
    <s v="Skattepl. klesgodtgjørelse"/>
    <n v="1416"/>
    <n v="0"/>
    <n v="0"/>
    <n v="-1416"/>
  </r>
  <r>
    <x v="10"/>
    <s v="November"/>
    <n v="11"/>
    <s v="T3"/>
    <x v="1"/>
    <s v="Kommunal Boenhet"/>
    <n v="254"/>
    <s v="Helse og mestring"/>
    <x v="0"/>
    <x v="0"/>
    <n v="1050"/>
    <n v="105064"/>
    <s v="Skattepl. klesgodtgjørelse"/>
    <n v="1416"/>
    <n v="0"/>
    <n v="0"/>
    <n v="-1416"/>
  </r>
  <r>
    <x v="11"/>
    <s v="Desember"/>
    <n v="12"/>
    <s v="T3"/>
    <x v="1"/>
    <s v="Kommunal Boenhet"/>
    <n v="254"/>
    <s v="Helse og mestring"/>
    <x v="0"/>
    <x v="0"/>
    <n v="1050"/>
    <n v="105064"/>
    <s v="Skattepl. klesgodtgjørelse"/>
    <n v="1424"/>
    <n v="0"/>
    <n v="0"/>
    <n v="-1424"/>
  </r>
  <r>
    <x v="0"/>
    <s v="Januar"/>
    <n v="1"/>
    <s v="T1"/>
    <x v="0"/>
    <s v="Kommunal Boenhet"/>
    <n v="254"/>
    <s v="Helse og mestring"/>
    <x v="0"/>
    <x v="0"/>
    <n v="1050"/>
    <n v="105065"/>
    <s v="Skattepl. km-godtgjørelse"/>
    <n v="0"/>
    <n v="0"/>
    <n v="0"/>
    <n v="0"/>
  </r>
  <r>
    <x v="1"/>
    <s v="Februar"/>
    <n v="2"/>
    <s v="T1"/>
    <x v="0"/>
    <s v="Kommunal Boenhet"/>
    <n v="254"/>
    <s v="Helse og mestring"/>
    <x v="0"/>
    <x v="0"/>
    <n v="1050"/>
    <n v="105065"/>
    <s v="Skattepl. km-godtgjørelse"/>
    <n v="0"/>
    <n v="0"/>
    <n v="0"/>
    <n v="0"/>
  </r>
  <r>
    <x v="2"/>
    <s v="Mars"/>
    <n v="3"/>
    <s v="T1"/>
    <x v="0"/>
    <s v="Kommunal Boenhet"/>
    <n v="254"/>
    <s v="Helse og mestring"/>
    <x v="0"/>
    <x v="0"/>
    <n v="1050"/>
    <n v="105065"/>
    <s v="Skattepl. km-godtgjørelse"/>
    <n v="0"/>
    <n v="0"/>
    <n v="0"/>
    <n v="0"/>
  </r>
  <r>
    <x v="3"/>
    <s v="April"/>
    <n v="4"/>
    <s v="T1"/>
    <x v="0"/>
    <s v="Kommunal Boenhet"/>
    <n v="254"/>
    <s v="Helse og mestring"/>
    <x v="0"/>
    <x v="0"/>
    <n v="1050"/>
    <n v="105065"/>
    <s v="Skattepl. km-godtgjørelse"/>
    <n v="0"/>
    <n v="0"/>
    <n v="0"/>
    <n v="0"/>
  </r>
  <r>
    <x v="4"/>
    <s v="Mai"/>
    <n v="5"/>
    <s v="T2"/>
    <x v="0"/>
    <s v="Kommunal Boenhet"/>
    <n v="254"/>
    <s v="Helse og mestring"/>
    <x v="0"/>
    <x v="0"/>
    <n v="1050"/>
    <n v="105065"/>
    <s v="Skattepl. km-godtgjørelse"/>
    <n v="0"/>
    <n v="0"/>
    <n v="0"/>
    <n v="0"/>
  </r>
  <r>
    <x v="5"/>
    <s v="Juni"/>
    <n v="6"/>
    <s v="T2"/>
    <x v="0"/>
    <s v="Kommunal Boenhet"/>
    <n v="254"/>
    <s v="Helse og mestring"/>
    <x v="0"/>
    <x v="0"/>
    <n v="1050"/>
    <n v="105065"/>
    <s v="Skattepl. km-godtgjørelse"/>
    <n v="0"/>
    <n v="81.14"/>
    <n v="-81.14"/>
    <n v="81.14"/>
  </r>
  <r>
    <x v="6"/>
    <s v="Juli"/>
    <n v="7"/>
    <s v="T2"/>
    <x v="0"/>
    <s v="Kommunal Boenhet"/>
    <n v="254"/>
    <s v="Helse og mestring"/>
    <x v="0"/>
    <x v="0"/>
    <n v="1050"/>
    <n v="105065"/>
    <s v="Skattepl. km-godtgjørelse"/>
    <n v="0"/>
    <n v="411.89"/>
    <n v="-411.89"/>
    <n v="411.89"/>
  </r>
  <r>
    <x v="7"/>
    <s v="August"/>
    <n v="8"/>
    <s v="T2"/>
    <x v="0"/>
    <s v="Kommunal Boenhet"/>
    <n v="254"/>
    <s v="Helse og mestring"/>
    <x v="0"/>
    <x v="0"/>
    <n v="1050"/>
    <n v="105065"/>
    <s v="Skattepl. km-godtgjørelse"/>
    <n v="0"/>
    <n v="0"/>
    <n v="0"/>
    <n v="0"/>
  </r>
  <r>
    <x v="8"/>
    <s v="September"/>
    <n v="9"/>
    <s v="T3"/>
    <x v="1"/>
    <s v="Kommunal Boenhet"/>
    <n v="254"/>
    <s v="Helse og mestring"/>
    <x v="0"/>
    <x v="0"/>
    <n v="1050"/>
    <n v="105065"/>
    <s v="Skattepl. km-godtgjørelse"/>
    <n v="0"/>
    <n v="0"/>
    <n v="0"/>
    <n v="0"/>
  </r>
  <r>
    <x v="9"/>
    <s v="Oktober"/>
    <n v="10"/>
    <s v="T3"/>
    <x v="1"/>
    <s v="Kommunal Boenhet"/>
    <n v="254"/>
    <s v="Helse og mestring"/>
    <x v="0"/>
    <x v="0"/>
    <n v="1050"/>
    <n v="105065"/>
    <s v="Skattepl. km-godtgjørelse"/>
    <n v="0"/>
    <n v="0"/>
    <n v="0"/>
    <n v="0"/>
  </r>
  <r>
    <x v="10"/>
    <s v="November"/>
    <n v="11"/>
    <s v="T3"/>
    <x v="1"/>
    <s v="Kommunal Boenhet"/>
    <n v="254"/>
    <s v="Helse og mestring"/>
    <x v="0"/>
    <x v="0"/>
    <n v="1050"/>
    <n v="105065"/>
    <s v="Skattepl. km-godtgjørelse"/>
    <n v="0"/>
    <n v="0"/>
    <n v="0"/>
    <n v="0"/>
  </r>
  <r>
    <x v="11"/>
    <s v="Desember"/>
    <n v="12"/>
    <s v="T3"/>
    <x v="1"/>
    <s v="Kommunal Boenhet"/>
    <n v="254"/>
    <s v="Helse og mestring"/>
    <x v="0"/>
    <x v="0"/>
    <n v="1050"/>
    <n v="105065"/>
    <s v="Skattepl. km-godtgjørelse"/>
    <n v="0"/>
    <n v="0"/>
    <n v="0"/>
    <n v="0"/>
  </r>
  <r>
    <x v="0"/>
    <s v="Januar"/>
    <n v="1"/>
    <s v="T1"/>
    <x v="0"/>
    <s v="Kommunal Boenhet"/>
    <n v="254"/>
    <s v="Helse og mestring"/>
    <x v="0"/>
    <x v="0"/>
    <n v="1090"/>
    <n v="109000"/>
    <s v="Pensjon fellesordningen - ordinære (klp)"/>
    <n v="171251"/>
    <n v="111774.79"/>
    <n v="59476.21"/>
    <n v="-59476.21"/>
  </r>
  <r>
    <x v="1"/>
    <s v="Februar"/>
    <n v="2"/>
    <s v="T1"/>
    <x v="0"/>
    <s v="Kommunal Boenhet"/>
    <n v="254"/>
    <s v="Helse og mestring"/>
    <x v="0"/>
    <x v="0"/>
    <n v="1090"/>
    <n v="109000"/>
    <s v="Pensjon fellesordningen - ordinære (klp)"/>
    <n v="171250"/>
    <n v="201470.68"/>
    <n v="-30220.68"/>
    <n v="30220.68"/>
  </r>
  <r>
    <x v="2"/>
    <s v="Mars"/>
    <n v="3"/>
    <s v="T1"/>
    <x v="0"/>
    <s v="Kommunal Boenhet"/>
    <n v="254"/>
    <s v="Helse og mestring"/>
    <x v="0"/>
    <x v="0"/>
    <n v="1090"/>
    <n v="109000"/>
    <s v="Pensjon fellesordningen - ordinære (klp)"/>
    <n v="171248"/>
    <n v="168932.97"/>
    <n v="2315.0300000000002"/>
    <n v="-2315.0300000000002"/>
  </r>
  <r>
    <x v="3"/>
    <s v="April"/>
    <n v="4"/>
    <s v="T1"/>
    <x v="0"/>
    <s v="Kommunal Boenhet"/>
    <n v="254"/>
    <s v="Helse og mestring"/>
    <x v="0"/>
    <x v="0"/>
    <n v="1090"/>
    <n v="109000"/>
    <s v="Pensjon fellesordningen - ordinære (klp)"/>
    <n v="1055848"/>
    <n v="1034142.89"/>
    <n v="21705.11"/>
    <n v="-21705.11"/>
  </r>
  <r>
    <x v="4"/>
    <s v="Mai"/>
    <n v="5"/>
    <s v="T2"/>
    <x v="0"/>
    <s v="Kommunal Boenhet"/>
    <n v="254"/>
    <s v="Helse og mestring"/>
    <x v="0"/>
    <x v="0"/>
    <n v="1090"/>
    <n v="109000"/>
    <s v="Pensjon fellesordningen - ordinære (klp)"/>
    <n v="177108"/>
    <n v="165027.57999999999"/>
    <n v="12080.42"/>
    <n v="-12080.42"/>
  </r>
  <r>
    <x v="5"/>
    <s v="Juni"/>
    <n v="6"/>
    <s v="T2"/>
    <x v="0"/>
    <s v="Kommunal Boenhet"/>
    <n v="254"/>
    <s v="Helse og mestring"/>
    <x v="0"/>
    <x v="0"/>
    <n v="1090"/>
    <n v="109000"/>
    <s v="Pensjon fellesordningen - ordinære (klp)"/>
    <n v="115925"/>
    <n v="174781.14"/>
    <n v="-58856.14"/>
    <n v="58856.14"/>
  </r>
  <r>
    <x v="6"/>
    <s v="Juli"/>
    <n v="7"/>
    <s v="T2"/>
    <x v="0"/>
    <s v="Kommunal Boenhet"/>
    <n v="254"/>
    <s v="Helse og mestring"/>
    <x v="0"/>
    <x v="0"/>
    <n v="1090"/>
    <n v="109000"/>
    <s v="Pensjon fellesordningen - ordinære (klp)"/>
    <n v="176359"/>
    <n v="174748.32"/>
    <n v="1610.68"/>
    <n v="-1610.68"/>
  </r>
  <r>
    <x v="7"/>
    <s v="August"/>
    <n v="8"/>
    <s v="T2"/>
    <x v="0"/>
    <s v="Kommunal Boenhet"/>
    <n v="254"/>
    <s v="Helse og mestring"/>
    <x v="0"/>
    <x v="0"/>
    <n v="1090"/>
    <n v="109000"/>
    <s v="Pensjon fellesordningen - ordinære (klp)"/>
    <n v="177110"/>
    <n v="180009.25"/>
    <n v="-2899.25"/>
    <n v="2899.25"/>
  </r>
  <r>
    <x v="8"/>
    <s v="September"/>
    <n v="9"/>
    <s v="T3"/>
    <x v="1"/>
    <s v="Kommunal Boenhet"/>
    <n v="254"/>
    <s v="Helse og mestring"/>
    <x v="0"/>
    <x v="0"/>
    <n v="1090"/>
    <n v="109000"/>
    <s v="Pensjon fellesordningen - ordinære (klp)"/>
    <n v="177108"/>
    <n v="0"/>
    <n v="0"/>
    <n v="-177108"/>
  </r>
  <r>
    <x v="9"/>
    <s v="Oktober"/>
    <n v="10"/>
    <s v="T3"/>
    <x v="1"/>
    <s v="Kommunal Boenhet"/>
    <n v="254"/>
    <s v="Helse og mestring"/>
    <x v="0"/>
    <x v="0"/>
    <n v="1090"/>
    <n v="109000"/>
    <s v="Pensjon fellesordningen - ordinære (klp)"/>
    <n v="177107"/>
    <n v="0"/>
    <n v="0"/>
    <n v="-177107"/>
  </r>
  <r>
    <x v="10"/>
    <s v="November"/>
    <n v="11"/>
    <s v="T3"/>
    <x v="1"/>
    <s v="Kommunal Boenhet"/>
    <n v="254"/>
    <s v="Helse og mestring"/>
    <x v="0"/>
    <x v="0"/>
    <n v="1090"/>
    <n v="109000"/>
    <s v="Pensjon fellesordningen - ordinære (klp)"/>
    <n v="177103"/>
    <n v="0"/>
    <n v="0"/>
    <n v="-177103"/>
  </r>
  <r>
    <x v="11"/>
    <s v="Desember"/>
    <n v="12"/>
    <s v="T3"/>
    <x v="1"/>
    <s v="Kommunal Boenhet"/>
    <n v="254"/>
    <s v="Helse og mestring"/>
    <x v="0"/>
    <x v="0"/>
    <n v="1090"/>
    <n v="109000"/>
    <s v="Pensjon fellesordningen - ordinære (klp)"/>
    <n v="297706"/>
    <n v="0"/>
    <n v="0"/>
    <n v="-297706"/>
  </r>
  <r>
    <x v="0"/>
    <s v="Januar"/>
    <n v="1"/>
    <s v="T1"/>
    <x v="0"/>
    <s v="Kommunal Boenhet"/>
    <n v="254"/>
    <s v="Helse og mestring"/>
    <x v="0"/>
    <x v="0"/>
    <n v="1099"/>
    <n v="109999"/>
    <s v="Arbeidsgiveravgift"/>
    <n v="184285"/>
    <n v="123019.51"/>
    <n v="61265.49"/>
    <n v="-61265.49"/>
  </r>
  <r>
    <x v="1"/>
    <s v="Februar"/>
    <n v="2"/>
    <s v="T1"/>
    <x v="0"/>
    <s v="Kommunal Boenhet"/>
    <n v="254"/>
    <s v="Helse og mestring"/>
    <x v="0"/>
    <x v="0"/>
    <n v="1099"/>
    <n v="109999"/>
    <s v="Arbeidsgiveravgift"/>
    <n v="184284"/>
    <n v="263333.65999999997"/>
    <n v="-79049.66"/>
    <n v="79049.66"/>
  </r>
  <r>
    <x v="2"/>
    <s v="Mars"/>
    <n v="3"/>
    <s v="T1"/>
    <x v="0"/>
    <s v="Kommunal Boenhet"/>
    <n v="254"/>
    <s v="Helse og mestring"/>
    <x v="0"/>
    <x v="0"/>
    <n v="1099"/>
    <n v="109999"/>
    <s v="Arbeidsgiveravgift"/>
    <n v="184283"/>
    <n v="199701.82"/>
    <n v="-15418.82"/>
    <n v="15418.82"/>
  </r>
  <r>
    <x v="3"/>
    <s v="April"/>
    <n v="4"/>
    <s v="T1"/>
    <x v="0"/>
    <s v="Kommunal Boenhet"/>
    <n v="254"/>
    <s v="Helse og mestring"/>
    <x v="0"/>
    <x v="0"/>
    <n v="1099"/>
    <n v="109999"/>
    <s v="Arbeidsgiveravgift"/>
    <n v="308983"/>
    <n v="286457.09999999998"/>
    <n v="22525.9"/>
    <n v="-22525.9"/>
  </r>
  <r>
    <x v="4"/>
    <s v="Mai"/>
    <n v="5"/>
    <s v="T2"/>
    <x v="0"/>
    <s v="Kommunal Boenhet"/>
    <n v="254"/>
    <s v="Helse og mestring"/>
    <x v="0"/>
    <x v="0"/>
    <n v="1099"/>
    <n v="109999"/>
    <s v="Arbeidsgiveravgift"/>
    <n v="190108"/>
    <n v="190833.22"/>
    <n v="-725.22"/>
    <n v="725.22"/>
  </r>
  <r>
    <x v="5"/>
    <s v="Juni"/>
    <n v="6"/>
    <s v="T2"/>
    <x v="0"/>
    <s v="Kommunal Boenhet"/>
    <n v="254"/>
    <s v="Helse og mestring"/>
    <x v="0"/>
    <x v="0"/>
    <n v="1099"/>
    <n v="109999"/>
    <s v="Arbeidsgiveravgift"/>
    <n v="-5583"/>
    <n v="70719.100000000006"/>
    <n v="-76302.100000000006"/>
    <n v="76302.100000000006"/>
  </r>
  <r>
    <x v="6"/>
    <s v="Juli"/>
    <n v="7"/>
    <s v="T2"/>
    <x v="0"/>
    <s v="Kommunal Boenhet"/>
    <n v="254"/>
    <s v="Helse og mestring"/>
    <x v="0"/>
    <x v="0"/>
    <n v="1099"/>
    <n v="109999"/>
    <s v="Arbeidsgiveravgift"/>
    <n v="189347"/>
    <n v="210674.84"/>
    <n v="-21327.84"/>
    <n v="21327.84"/>
  </r>
  <r>
    <x v="7"/>
    <s v="August"/>
    <n v="8"/>
    <s v="T2"/>
    <x v="0"/>
    <s v="Kommunal Boenhet"/>
    <n v="254"/>
    <s v="Helse og mestring"/>
    <x v="0"/>
    <x v="0"/>
    <n v="1099"/>
    <n v="109999"/>
    <s v="Arbeidsgiveravgift"/>
    <n v="190110"/>
    <n v="182691.88"/>
    <n v="7418.12"/>
    <n v="-7418.12"/>
  </r>
  <r>
    <x v="8"/>
    <s v="September"/>
    <n v="9"/>
    <s v="T3"/>
    <x v="1"/>
    <s v="Kommunal Boenhet"/>
    <n v="254"/>
    <s v="Helse og mestring"/>
    <x v="0"/>
    <x v="0"/>
    <n v="1099"/>
    <n v="109999"/>
    <s v="Arbeidsgiveravgift"/>
    <n v="190113"/>
    <n v="0"/>
    <n v="0"/>
    <n v="-190113"/>
  </r>
  <r>
    <x v="9"/>
    <s v="Oktober"/>
    <n v="10"/>
    <s v="T3"/>
    <x v="1"/>
    <s v="Kommunal Boenhet"/>
    <n v="254"/>
    <s v="Helse og mestring"/>
    <x v="0"/>
    <x v="0"/>
    <n v="1099"/>
    <n v="109999"/>
    <s v="Arbeidsgiveravgift"/>
    <n v="190115"/>
    <n v="0"/>
    <n v="0"/>
    <n v="-190115"/>
  </r>
  <r>
    <x v="10"/>
    <s v="November"/>
    <n v="11"/>
    <s v="T3"/>
    <x v="1"/>
    <s v="Kommunal Boenhet"/>
    <n v="254"/>
    <s v="Helse og mestring"/>
    <x v="0"/>
    <x v="0"/>
    <n v="1099"/>
    <n v="109999"/>
    <s v="Arbeidsgiveravgift"/>
    <n v="190111"/>
    <n v="0"/>
    <n v="0"/>
    <n v="-190111"/>
  </r>
  <r>
    <x v="11"/>
    <s v="Desember"/>
    <n v="12"/>
    <s v="T3"/>
    <x v="1"/>
    <s v="Kommunal Boenhet"/>
    <n v="254"/>
    <s v="Helse og mestring"/>
    <x v="0"/>
    <x v="0"/>
    <n v="1099"/>
    <n v="109999"/>
    <s v="Arbeidsgiveravgift"/>
    <n v="207011"/>
    <n v="0"/>
    <n v="0"/>
    <n v="-207011"/>
  </r>
  <r>
    <x v="0"/>
    <s v="Januar"/>
    <n v="1"/>
    <s v="T1"/>
    <x v="0"/>
    <s v="Kommunal Boenhet"/>
    <n v="254"/>
    <s v="Helse og mestring"/>
    <x v="0"/>
    <x v="1"/>
    <n v="1710"/>
    <n v="171000"/>
    <s v="Refusjon sykepenger"/>
    <n v="-45399"/>
    <n v="-5370"/>
    <n v="-40029"/>
    <n v="40029"/>
  </r>
  <r>
    <x v="1"/>
    <s v="Februar"/>
    <n v="2"/>
    <s v="T1"/>
    <x v="0"/>
    <s v="Kommunal Boenhet"/>
    <n v="254"/>
    <s v="Helse og mestring"/>
    <x v="0"/>
    <x v="1"/>
    <n v="1710"/>
    <n v="171000"/>
    <s v="Refusjon sykepenger"/>
    <n v="-45399"/>
    <n v="-80559"/>
    <n v="35160"/>
    <n v="-35160"/>
  </r>
  <r>
    <x v="2"/>
    <s v="Mars"/>
    <n v="3"/>
    <s v="T1"/>
    <x v="0"/>
    <s v="Kommunal Boenhet"/>
    <n v="254"/>
    <s v="Helse og mestring"/>
    <x v="0"/>
    <x v="1"/>
    <n v="1710"/>
    <n v="171000"/>
    <s v="Refusjon sykepenger"/>
    <n v="-45399"/>
    <n v="-45142"/>
    <n v="-257"/>
    <n v="257"/>
  </r>
  <r>
    <x v="3"/>
    <s v="April"/>
    <n v="4"/>
    <s v="T1"/>
    <x v="0"/>
    <s v="Kommunal Boenhet"/>
    <n v="254"/>
    <s v="Helse og mestring"/>
    <x v="0"/>
    <x v="1"/>
    <n v="1710"/>
    <n v="171000"/>
    <s v="Refusjon sykepenger"/>
    <n v="-45399"/>
    <n v="-73049"/>
    <n v="27650"/>
    <n v="-27650"/>
  </r>
  <r>
    <x v="4"/>
    <s v="Mai"/>
    <n v="5"/>
    <s v="T2"/>
    <x v="0"/>
    <s v="Kommunal Boenhet"/>
    <n v="254"/>
    <s v="Helse og mestring"/>
    <x v="0"/>
    <x v="1"/>
    <n v="1710"/>
    <n v="171000"/>
    <s v="Refusjon sykepenger"/>
    <n v="-45399"/>
    <n v="-1975"/>
    <n v="-43424"/>
    <n v="43424"/>
  </r>
  <r>
    <x v="5"/>
    <s v="Juni"/>
    <n v="6"/>
    <s v="T2"/>
    <x v="0"/>
    <s v="Kommunal Boenhet"/>
    <n v="254"/>
    <s v="Helse og mestring"/>
    <x v="0"/>
    <x v="1"/>
    <n v="1710"/>
    <n v="171000"/>
    <s v="Refusjon sykepenger"/>
    <n v="-45399"/>
    <n v="-62611"/>
    <n v="17212"/>
    <n v="-17212"/>
  </r>
  <r>
    <x v="6"/>
    <s v="Juli"/>
    <n v="7"/>
    <s v="T2"/>
    <x v="0"/>
    <s v="Kommunal Boenhet"/>
    <n v="254"/>
    <s v="Helse og mestring"/>
    <x v="0"/>
    <x v="1"/>
    <n v="1710"/>
    <n v="171000"/>
    <s v="Refusjon sykepenger"/>
    <n v="-45399"/>
    <n v="-66066"/>
    <n v="20667"/>
    <n v="-20667"/>
  </r>
  <r>
    <x v="7"/>
    <s v="August"/>
    <n v="8"/>
    <s v="T2"/>
    <x v="0"/>
    <s v="Kommunal Boenhet"/>
    <n v="254"/>
    <s v="Helse og mestring"/>
    <x v="0"/>
    <x v="1"/>
    <n v="1710"/>
    <n v="171000"/>
    <s v="Refusjon sykepenger"/>
    <n v="-45399"/>
    <n v="-36621"/>
    <n v="-8778"/>
    <n v="8778"/>
  </r>
  <r>
    <x v="8"/>
    <s v="September"/>
    <n v="9"/>
    <s v="T3"/>
    <x v="1"/>
    <s v="Kommunal Boenhet"/>
    <n v="254"/>
    <s v="Helse og mestring"/>
    <x v="0"/>
    <x v="1"/>
    <n v="1710"/>
    <n v="171000"/>
    <s v="Refusjon sykepenger"/>
    <n v="-45399"/>
    <n v="0"/>
    <n v="0"/>
    <n v="45399"/>
  </r>
  <r>
    <x v="9"/>
    <s v="Oktober"/>
    <n v="10"/>
    <s v="T3"/>
    <x v="1"/>
    <s v="Kommunal Boenhet"/>
    <n v="254"/>
    <s v="Helse og mestring"/>
    <x v="0"/>
    <x v="1"/>
    <n v="1710"/>
    <n v="171000"/>
    <s v="Refusjon sykepenger"/>
    <n v="-45399"/>
    <n v="0"/>
    <n v="0"/>
    <n v="45399"/>
  </r>
  <r>
    <x v="10"/>
    <s v="November"/>
    <n v="11"/>
    <s v="T3"/>
    <x v="1"/>
    <s v="Kommunal Boenhet"/>
    <n v="254"/>
    <s v="Helse og mestring"/>
    <x v="0"/>
    <x v="1"/>
    <n v="1710"/>
    <n v="171000"/>
    <s v="Refusjon sykepenger"/>
    <n v="-45399"/>
    <n v="0"/>
    <n v="0"/>
    <n v="45399"/>
  </r>
  <r>
    <x v="11"/>
    <s v="Desember"/>
    <n v="12"/>
    <s v="T3"/>
    <x v="1"/>
    <s v="Kommunal Boenhet"/>
    <n v="254"/>
    <s v="Helse og mestring"/>
    <x v="0"/>
    <x v="1"/>
    <n v="1710"/>
    <n v="171000"/>
    <s v="Refusjon sykepenger"/>
    <n v="-45611"/>
    <n v="0"/>
    <n v="0"/>
    <n v="45611"/>
  </r>
  <r>
    <x v="0"/>
    <s v="Januar"/>
    <n v="1"/>
    <s v="T1"/>
    <x v="0"/>
    <s v="Kommunal Boenhet"/>
    <n v="254"/>
    <s v="Helse og mestring"/>
    <x v="0"/>
    <x v="1"/>
    <n v="1710"/>
    <n v="171005"/>
    <s v="Refusjon foreldrepenger"/>
    <n v="-44149"/>
    <n v="0"/>
    <n v="-44149"/>
    <n v="44149"/>
  </r>
  <r>
    <x v="1"/>
    <s v="Februar"/>
    <n v="2"/>
    <s v="T1"/>
    <x v="0"/>
    <s v="Kommunal Boenhet"/>
    <n v="254"/>
    <s v="Helse og mestring"/>
    <x v="0"/>
    <x v="1"/>
    <n v="1710"/>
    <n v="171005"/>
    <s v="Refusjon foreldrepenger"/>
    <n v="-44149"/>
    <n v="-3928"/>
    <n v="-40221"/>
    <n v="40221"/>
  </r>
  <r>
    <x v="2"/>
    <s v="Mars"/>
    <n v="3"/>
    <s v="T1"/>
    <x v="0"/>
    <s v="Kommunal Boenhet"/>
    <n v="254"/>
    <s v="Helse og mestring"/>
    <x v="0"/>
    <x v="1"/>
    <n v="1710"/>
    <n v="171005"/>
    <s v="Refusjon foreldrepenger"/>
    <n v="-44149"/>
    <n v="-72352"/>
    <n v="28203"/>
    <n v="-28203"/>
  </r>
  <r>
    <x v="3"/>
    <s v="April"/>
    <n v="4"/>
    <s v="T1"/>
    <x v="0"/>
    <s v="Kommunal Boenhet"/>
    <n v="254"/>
    <s v="Helse og mestring"/>
    <x v="0"/>
    <x v="1"/>
    <n v="1710"/>
    <n v="171005"/>
    <s v="Refusjon foreldrepenger"/>
    <n v="-44149"/>
    <n v="-34750"/>
    <n v="-9399"/>
    <n v="9399"/>
  </r>
  <r>
    <x v="4"/>
    <s v="Mai"/>
    <n v="5"/>
    <s v="T2"/>
    <x v="0"/>
    <s v="Kommunal Boenhet"/>
    <n v="254"/>
    <s v="Helse og mestring"/>
    <x v="0"/>
    <x v="1"/>
    <n v="1710"/>
    <n v="171005"/>
    <s v="Refusjon foreldrepenger"/>
    <n v="-44149"/>
    <n v="-91375"/>
    <n v="47226"/>
    <n v="-47226"/>
  </r>
  <r>
    <x v="5"/>
    <s v="Juni"/>
    <n v="6"/>
    <s v="T2"/>
    <x v="0"/>
    <s v="Kommunal Boenhet"/>
    <n v="254"/>
    <s v="Helse og mestring"/>
    <x v="0"/>
    <x v="1"/>
    <n v="1710"/>
    <n v="171005"/>
    <s v="Refusjon foreldrepenger"/>
    <n v="-44150"/>
    <n v="-49830"/>
    <n v="5680"/>
    <n v="-5680"/>
  </r>
  <r>
    <x v="6"/>
    <s v="Juli"/>
    <n v="7"/>
    <s v="T2"/>
    <x v="0"/>
    <s v="Kommunal Boenhet"/>
    <n v="254"/>
    <s v="Helse og mestring"/>
    <x v="0"/>
    <x v="1"/>
    <n v="1710"/>
    <n v="171005"/>
    <s v="Refusjon foreldrepenger"/>
    <n v="-44149"/>
    <n v="-49529"/>
    <n v="5380"/>
    <n v="-5380"/>
  </r>
  <r>
    <x v="7"/>
    <s v="August"/>
    <n v="8"/>
    <s v="T2"/>
    <x v="0"/>
    <s v="Kommunal Boenhet"/>
    <n v="254"/>
    <s v="Helse og mestring"/>
    <x v="0"/>
    <x v="1"/>
    <n v="1710"/>
    <n v="171005"/>
    <s v="Refusjon foreldrepenger"/>
    <n v="-44149"/>
    <n v="-59548"/>
    <n v="15399"/>
    <n v="-15399"/>
  </r>
  <r>
    <x v="8"/>
    <s v="September"/>
    <n v="9"/>
    <s v="T3"/>
    <x v="1"/>
    <s v="Kommunal Boenhet"/>
    <n v="254"/>
    <s v="Helse og mestring"/>
    <x v="0"/>
    <x v="1"/>
    <n v="1710"/>
    <n v="171005"/>
    <s v="Refusjon foreldrepenger"/>
    <n v="-44149"/>
    <n v="0"/>
    <n v="0"/>
    <n v="44149"/>
  </r>
  <r>
    <x v="9"/>
    <s v="Oktober"/>
    <n v="10"/>
    <s v="T3"/>
    <x v="1"/>
    <s v="Kommunal Boenhet"/>
    <n v="254"/>
    <s v="Helse og mestring"/>
    <x v="0"/>
    <x v="1"/>
    <n v="1710"/>
    <n v="171005"/>
    <s v="Refusjon foreldrepenger"/>
    <n v="-44149"/>
    <n v="0"/>
    <n v="0"/>
    <n v="44149"/>
  </r>
  <r>
    <x v="10"/>
    <s v="November"/>
    <n v="11"/>
    <s v="T3"/>
    <x v="1"/>
    <s v="Kommunal Boenhet"/>
    <n v="254"/>
    <s v="Helse og mestring"/>
    <x v="0"/>
    <x v="1"/>
    <n v="1710"/>
    <n v="171005"/>
    <s v="Refusjon foreldrepenger"/>
    <n v="-44149"/>
    <n v="0"/>
    <n v="0"/>
    <n v="44149"/>
  </r>
  <r>
    <x v="11"/>
    <s v="Desember"/>
    <n v="12"/>
    <s v="T3"/>
    <x v="1"/>
    <s v="Kommunal Boenhet"/>
    <n v="254"/>
    <s v="Helse og mestring"/>
    <x v="0"/>
    <x v="1"/>
    <n v="1710"/>
    <n v="171005"/>
    <s v="Refusjon foreldrepenger"/>
    <n v="-44360"/>
    <n v="0"/>
    <n v="0"/>
    <n v="44360"/>
  </r>
  <r>
    <x v="0"/>
    <s v="Januar"/>
    <n v="1"/>
    <s v="T1"/>
    <x v="0"/>
    <s v="Kommunal Boenhet"/>
    <n v="254"/>
    <s v="Helse og mestring"/>
    <x v="1"/>
    <x v="1"/>
    <n v="1100"/>
    <n v="110000"/>
    <s v="Kontormateriell / rekvisita"/>
    <n v="1000"/>
    <n v="412.8"/>
    <n v="587.20000000000005"/>
    <n v="-587.20000000000005"/>
  </r>
  <r>
    <x v="1"/>
    <s v="Februar"/>
    <n v="2"/>
    <s v="T1"/>
    <x v="0"/>
    <s v="Kommunal Boenhet"/>
    <n v="254"/>
    <s v="Helse og mestring"/>
    <x v="1"/>
    <x v="1"/>
    <n v="1100"/>
    <n v="110000"/>
    <s v="Kontormateriell / rekvisita"/>
    <n v="1000"/>
    <n v="609.30999999999995"/>
    <n v="390.69"/>
    <n v="-390.69"/>
  </r>
  <r>
    <x v="2"/>
    <s v="Mars"/>
    <n v="3"/>
    <s v="T1"/>
    <x v="0"/>
    <s v="Kommunal Boenhet"/>
    <n v="254"/>
    <s v="Helse og mestring"/>
    <x v="1"/>
    <x v="1"/>
    <n v="1100"/>
    <n v="110000"/>
    <s v="Kontormateriell / rekvisita"/>
    <n v="1000"/>
    <n v="1262.18"/>
    <n v="-262.18"/>
    <n v="262.18"/>
  </r>
  <r>
    <x v="3"/>
    <s v="April"/>
    <n v="4"/>
    <s v="T1"/>
    <x v="0"/>
    <s v="Kommunal Boenhet"/>
    <n v="254"/>
    <s v="Helse og mestring"/>
    <x v="1"/>
    <x v="1"/>
    <n v="1100"/>
    <n v="110000"/>
    <s v="Kontormateriell / rekvisita"/>
    <n v="1000"/>
    <n v="564.9"/>
    <n v="435.1"/>
    <n v="-435.1"/>
  </r>
  <r>
    <x v="4"/>
    <s v="Mai"/>
    <n v="5"/>
    <s v="T2"/>
    <x v="0"/>
    <s v="Kommunal Boenhet"/>
    <n v="254"/>
    <s v="Helse og mestring"/>
    <x v="1"/>
    <x v="1"/>
    <n v="1100"/>
    <n v="110000"/>
    <s v="Kontormateriell / rekvisita"/>
    <n v="1000"/>
    <n v="0"/>
    <n v="1000"/>
    <n v="-1000"/>
  </r>
  <r>
    <x v="5"/>
    <s v="Juni"/>
    <n v="6"/>
    <s v="T2"/>
    <x v="0"/>
    <s v="Kommunal Boenhet"/>
    <n v="254"/>
    <s v="Helse og mestring"/>
    <x v="1"/>
    <x v="1"/>
    <n v="1100"/>
    <n v="110000"/>
    <s v="Kontormateriell / rekvisita"/>
    <n v="1000"/>
    <n v="813.95"/>
    <n v="186.05"/>
    <n v="-186.05"/>
  </r>
  <r>
    <x v="6"/>
    <s v="Juli"/>
    <n v="7"/>
    <s v="T2"/>
    <x v="0"/>
    <s v="Kommunal Boenhet"/>
    <n v="254"/>
    <s v="Helse og mestring"/>
    <x v="1"/>
    <x v="1"/>
    <n v="1100"/>
    <n v="110000"/>
    <s v="Kontormateriell / rekvisita"/>
    <n v="1000"/>
    <n v="0"/>
    <n v="1000"/>
    <n v="-1000"/>
  </r>
  <r>
    <x v="7"/>
    <s v="August"/>
    <n v="8"/>
    <s v="T2"/>
    <x v="0"/>
    <s v="Kommunal Boenhet"/>
    <n v="254"/>
    <s v="Helse og mestring"/>
    <x v="1"/>
    <x v="1"/>
    <n v="1100"/>
    <n v="110000"/>
    <s v="Kontormateriell / rekvisita"/>
    <n v="1000"/>
    <n v="295.07"/>
    <n v="704.93"/>
    <n v="-704.93"/>
  </r>
  <r>
    <x v="8"/>
    <s v="September"/>
    <n v="9"/>
    <s v="T3"/>
    <x v="1"/>
    <s v="Kommunal Boenhet"/>
    <n v="254"/>
    <s v="Helse og mestring"/>
    <x v="1"/>
    <x v="1"/>
    <n v="1100"/>
    <n v="110000"/>
    <s v="Kontormateriell / rekvisita"/>
    <n v="1000"/>
    <n v="0"/>
    <n v="0"/>
    <n v="-1000"/>
  </r>
  <r>
    <x v="9"/>
    <s v="Oktober"/>
    <n v="10"/>
    <s v="T3"/>
    <x v="1"/>
    <s v="Kommunal Boenhet"/>
    <n v="254"/>
    <s v="Helse og mestring"/>
    <x v="1"/>
    <x v="1"/>
    <n v="1100"/>
    <n v="110000"/>
    <s v="Kontormateriell / rekvisita"/>
    <n v="1000"/>
    <n v="0"/>
    <n v="0"/>
    <n v="-1000"/>
  </r>
  <r>
    <x v="10"/>
    <s v="November"/>
    <n v="11"/>
    <s v="T3"/>
    <x v="1"/>
    <s v="Kommunal Boenhet"/>
    <n v="254"/>
    <s v="Helse og mestring"/>
    <x v="1"/>
    <x v="1"/>
    <n v="1100"/>
    <n v="110000"/>
    <s v="Kontormateriell / rekvisita"/>
    <n v="1000"/>
    <n v="0"/>
    <n v="0"/>
    <n v="-1000"/>
  </r>
  <r>
    <x v="11"/>
    <s v="Desember"/>
    <n v="12"/>
    <s v="T3"/>
    <x v="1"/>
    <s v="Kommunal Boenhet"/>
    <n v="254"/>
    <s v="Helse og mestring"/>
    <x v="1"/>
    <x v="1"/>
    <n v="1100"/>
    <n v="110000"/>
    <s v="Kontormateriell / rekvisita"/>
    <n v="1000"/>
    <n v="0"/>
    <n v="0"/>
    <n v="-1000"/>
  </r>
  <r>
    <x v="0"/>
    <s v="Januar"/>
    <n v="1"/>
    <s v="T1"/>
    <x v="0"/>
    <s v="Kommunal Boenhet"/>
    <n v="254"/>
    <s v="Helse og mestring"/>
    <x v="1"/>
    <x v="1"/>
    <n v="1100"/>
    <n v="110020"/>
    <s v="Kopieringsmatriell - papir / toner (ikke leie)"/>
    <n v="270"/>
    <n v="0"/>
    <n v="270"/>
    <n v="-270"/>
  </r>
  <r>
    <x v="1"/>
    <s v="Februar"/>
    <n v="2"/>
    <s v="T1"/>
    <x v="0"/>
    <s v="Kommunal Boenhet"/>
    <n v="254"/>
    <s v="Helse og mestring"/>
    <x v="1"/>
    <x v="1"/>
    <n v="1100"/>
    <n v="110020"/>
    <s v="Kopieringsmatriell - papir / toner (ikke leie)"/>
    <n v="270"/>
    <n v="0"/>
    <n v="270"/>
    <n v="-270"/>
  </r>
  <r>
    <x v="2"/>
    <s v="Mars"/>
    <n v="3"/>
    <s v="T1"/>
    <x v="0"/>
    <s v="Kommunal Boenhet"/>
    <n v="254"/>
    <s v="Helse og mestring"/>
    <x v="1"/>
    <x v="1"/>
    <n v="1100"/>
    <n v="110020"/>
    <s v="Kopieringsmatriell - papir / toner (ikke leie)"/>
    <n v="270"/>
    <n v="0"/>
    <n v="270"/>
    <n v="-270"/>
  </r>
  <r>
    <x v="3"/>
    <s v="April"/>
    <n v="4"/>
    <s v="T1"/>
    <x v="0"/>
    <s v="Kommunal Boenhet"/>
    <n v="254"/>
    <s v="Helse og mestring"/>
    <x v="1"/>
    <x v="1"/>
    <n v="1100"/>
    <n v="110020"/>
    <s v="Kopieringsmatriell - papir / toner (ikke leie)"/>
    <n v="270"/>
    <n v="0"/>
    <n v="270"/>
    <n v="-270"/>
  </r>
  <r>
    <x v="4"/>
    <s v="Mai"/>
    <n v="5"/>
    <s v="T2"/>
    <x v="0"/>
    <s v="Kommunal Boenhet"/>
    <n v="254"/>
    <s v="Helse og mestring"/>
    <x v="1"/>
    <x v="1"/>
    <n v="1100"/>
    <n v="110020"/>
    <s v="Kopieringsmatriell - papir / toner (ikke leie)"/>
    <n v="270"/>
    <n v="0"/>
    <n v="270"/>
    <n v="-270"/>
  </r>
  <r>
    <x v="5"/>
    <s v="Juni"/>
    <n v="6"/>
    <s v="T2"/>
    <x v="0"/>
    <s v="Kommunal Boenhet"/>
    <n v="254"/>
    <s v="Helse og mestring"/>
    <x v="1"/>
    <x v="1"/>
    <n v="1100"/>
    <n v="110020"/>
    <s v="Kopieringsmatriell - papir / toner (ikke leie)"/>
    <n v="270"/>
    <n v="0"/>
    <n v="270"/>
    <n v="-270"/>
  </r>
  <r>
    <x v="6"/>
    <s v="Juli"/>
    <n v="7"/>
    <s v="T2"/>
    <x v="0"/>
    <s v="Kommunal Boenhet"/>
    <n v="254"/>
    <s v="Helse og mestring"/>
    <x v="1"/>
    <x v="1"/>
    <n v="1100"/>
    <n v="110020"/>
    <s v="Kopieringsmatriell - papir / toner (ikke leie)"/>
    <n v="270"/>
    <n v="0"/>
    <n v="270"/>
    <n v="-270"/>
  </r>
  <r>
    <x v="7"/>
    <s v="August"/>
    <n v="8"/>
    <s v="T2"/>
    <x v="0"/>
    <s v="Kommunal Boenhet"/>
    <n v="254"/>
    <s v="Helse og mestring"/>
    <x v="1"/>
    <x v="1"/>
    <n v="1100"/>
    <n v="110020"/>
    <s v="Kopieringsmatriell - papir / toner (ikke leie)"/>
    <n v="270"/>
    <n v="0"/>
    <n v="270"/>
    <n v="-270"/>
  </r>
  <r>
    <x v="8"/>
    <s v="September"/>
    <n v="9"/>
    <s v="T3"/>
    <x v="1"/>
    <s v="Kommunal Boenhet"/>
    <n v="254"/>
    <s v="Helse og mestring"/>
    <x v="1"/>
    <x v="1"/>
    <n v="1100"/>
    <n v="110020"/>
    <s v="Kopieringsmatriell - papir / toner (ikke leie)"/>
    <n v="270"/>
    <n v="0"/>
    <n v="0"/>
    <n v="-270"/>
  </r>
  <r>
    <x v="9"/>
    <s v="Oktober"/>
    <n v="10"/>
    <s v="T3"/>
    <x v="1"/>
    <s v="Kommunal Boenhet"/>
    <n v="254"/>
    <s v="Helse og mestring"/>
    <x v="1"/>
    <x v="1"/>
    <n v="1100"/>
    <n v="110020"/>
    <s v="Kopieringsmatriell - papir / toner (ikke leie)"/>
    <n v="270"/>
    <n v="0"/>
    <n v="0"/>
    <n v="-270"/>
  </r>
  <r>
    <x v="10"/>
    <s v="November"/>
    <n v="11"/>
    <s v="T3"/>
    <x v="1"/>
    <s v="Kommunal Boenhet"/>
    <n v="254"/>
    <s v="Helse og mestring"/>
    <x v="1"/>
    <x v="1"/>
    <n v="1100"/>
    <n v="110020"/>
    <s v="Kopieringsmatriell - papir / toner (ikke leie)"/>
    <n v="270"/>
    <n v="0"/>
    <n v="0"/>
    <n v="-270"/>
  </r>
  <r>
    <x v="11"/>
    <s v="Desember"/>
    <n v="12"/>
    <s v="T3"/>
    <x v="1"/>
    <s v="Kommunal Boenhet"/>
    <n v="254"/>
    <s v="Helse og mestring"/>
    <x v="1"/>
    <x v="1"/>
    <n v="1100"/>
    <n v="110020"/>
    <s v="Kopieringsmatriell - papir / toner (ikke leie)"/>
    <n v="30"/>
    <n v="0"/>
    <n v="0"/>
    <n v="-30"/>
  </r>
  <r>
    <x v="0"/>
    <s v="Januar"/>
    <n v="1"/>
    <s v="T1"/>
    <x v="0"/>
    <s v="Kommunal Boenhet"/>
    <n v="254"/>
    <s v="Helse og mestring"/>
    <x v="1"/>
    <x v="1"/>
    <n v="1110"/>
    <n v="111000"/>
    <s v="Medisinsk forbruksmateriell"/>
    <n v="2210"/>
    <n v="2238.7399999999998"/>
    <n v="-28.74"/>
    <n v="28.74"/>
  </r>
  <r>
    <x v="1"/>
    <s v="Februar"/>
    <n v="2"/>
    <s v="T1"/>
    <x v="0"/>
    <s v="Kommunal Boenhet"/>
    <n v="254"/>
    <s v="Helse og mestring"/>
    <x v="1"/>
    <x v="1"/>
    <n v="1110"/>
    <n v="111000"/>
    <s v="Medisinsk forbruksmateriell"/>
    <n v="2210"/>
    <n v="3843.9"/>
    <n v="-1633.9"/>
    <n v="1633.9"/>
  </r>
  <r>
    <x v="2"/>
    <s v="Mars"/>
    <n v="3"/>
    <s v="T1"/>
    <x v="0"/>
    <s v="Kommunal Boenhet"/>
    <n v="254"/>
    <s v="Helse og mestring"/>
    <x v="1"/>
    <x v="1"/>
    <n v="1110"/>
    <n v="111000"/>
    <s v="Medisinsk forbruksmateriell"/>
    <n v="2210"/>
    <n v="0"/>
    <n v="2210"/>
    <n v="-2210"/>
  </r>
  <r>
    <x v="3"/>
    <s v="April"/>
    <n v="4"/>
    <s v="T1"/>
    <x v="0"/>
    <s v="Kommunal Boenhet"/>
    <n v="254"/>
    <s v="Helse og mestring"/>
    <x v="1"/>
    <x v="1"/>
    <n v="1110"/>
    <n v="111000"/>
    <s v="Medisinsk forbruksmateriell"/>
    <n v="2210"/>
    <n v="2060.1"/>
    <n v="149.9"/>
    <n v="-149.9"/>
  </r>
  <r>
    <x v="4"/>
    <s v="Mai"/>
    <n v="5"/>
    <s v="T2"/>
    <x v="0"/>
    <s v="Kommunal Boenhet"/>
    <n v="254"/>
    <s v="Helse og mestring"/>
    <x v="1"/>
    <x v="1"/>
    <n v="1110"/>
    <n v="111000"/>
    <s v="Medisinsk forbruksmateriell"/>
    <n v="2210"/>
    <n v="553.20000000000005"/>
    <n v="1656.8"/>
    <n v="-1656.8"/>
  </r>
  <r>
    <x v="5"/>
    <s v="Juni"/>
    <n v="6"/>
    <s v="T2"/>
    <x v="0"/>
    <s v="Kommunal Boenhet"/>
    <n v="254"/>
    <s v="Helse og mestring"/>
    <x v="1"/>
    <x v="1"/>
    <n v="1110"/>
    <n v="111000"/>
    <s v="Medisinsk forbruksmateriell"/>
    <n v="2210"/>
    <n v="2296.35"/>
    <n v="-86.35"/>
    <n v="86.35"/>
  </r>
  <r>
    <x v="6"/>
    <s v="Juli"/>
    <n v="7"/>
    <s v="T2"/>
    <x v="0"/>
    <s v="Kommunal Boenhet"/>
    <n v="254"/>
    <s v="Helse og mestring"/>
    <x v="1"/>
    <x v="1"/>
    <n v="1110"/>
    <n v="111000"/>
    <s v="Medisinsk forbruksmateriell"/>
    <n v="2210"/>
    <n v="0"/>
    <n v="2210"/>
    <n v="-2210"/>
  </r>
  <r>
    <x v="7"/>
    <s v="August"/>
    <n v="8"/>
    <s v="T2"/>
    <x v="0"/>
    <s v="Kommunal Boenhet"/>
    <n v="254"/>
    <s v="Helse og mestring"/>
    <x v="1"/>
    <x v="1"/>
    <n v="1110"/>
    <n v="111000"/>
    <s v="Medisinsk forbruksmateriell"/>
    <n v="2210"/>
    <n v="881"/>
    <n v="1329"/>
    <n v="-1329"/>
  </r>
  <r>
    <x v="8"/>
    <s v="September"/>
    <n v="9"/>
    <s v="T3"/>
    <x v="1"/>
    <s v="Kommunal Boenhet"/>
    <n v="254"/>
    <s v="Helse og mestring"/>
    <x v="1"/>
    <x v="1"/>
    <n v="1110"/>
    <n v="111000"/>
    <s v="Medisinsk forbruksmateriell"/>
    <n v="2210"/>
    <n v="0"/>
    <n v="0"/>
    <n v="-2210"/>
  </r>
  <r>
    <x v="9"/>
    <s v="Oktober"/>
    <n v="10"/>
    <s v="T3"/>
    <x v="1"/>
    <s v="Kommunal Boenhet"/>
    <n v="254"/>
    <s v="Helse og mestring"/>
    <x v="1"/>
    <x v="1"/>
    <n v="1110"/>
    <n v="111000"/>
    <s v="Medisinsk forbruksmateriell"/>
    <n v="2210"/>
    <n v="0"/>
    <n v="0"/>
    <n v="-2210"/>
  </r>
  <r>
    <x v="10"/>
    <s v="November"/>
    <n v="11"/>
    <s v="T3"/>
    <x v="1"/>
    <s v="Kommunal Boenhet"/>
    <n v="254"/>
    <s v="Helse og mestring"/>
    <x v="1"/>
    <x v="1"/>
    <n v="1110"/>
    <n v="111000"/>
    <s v="Medisinsk forbruksmateriell"/>
    <n v="2210"/>
    <n v="0"/>
    <n v="0"/>
    <n v="-2210"/>
  </r>
  <r>
    <x v="11"/>
    <s v="Desember"/>
    <n v="12"/>
    <s v="T3"/>
    <x v="1"/>
    <s v="Kommunal Boenhet"/>
    <n v="254"/>
    <s v="Helse og mestring"/>
    <x v="1"/>
    <x v="1"/>
    <n v="1110"/>
    <n v="111000"/>
    <s v="Medisinsk forbruksmateriell"/>
    <n v="2690"/>
    <n v="0"/>
    <n v="0"/>
    <n v="-2690"/>
  </r>
  <r>
    <x v="0"/>
    <s v="Januar"/>
    <n v="1"/>
    <s v="T1"/>
    <x v="0"/>
    <s v="Kommunal Boenhet"/>
    <n v="254"/>
    <s v="Helse og mestring"/>
    <x v="1"/>
    <x v="1"/>
    <n v="1114"/>
    <n v="111400"/>
    <s v="Medisiner"/>
    <n v="850"/>
    <n v="0"/>
    <n v="850"/>
    <n v="-850"/>
  </r>
  <r>
    <x v="1"/>
    <s v="Februar"/>
    <n v="2"/>
    <s v="T1"/>
    <x v="0"/>
    <s v="Kommunal Boenhet"/>
    <n v="254"/>
    <s v="Helse og mestring"/>
    <x v="1"/>
    <x v="1"/>
    <n v="1114"/>
    <n v="111400"/>
    <s v="Medisiner"/>
    <n v="850"/>
    <n v="0"/>
    <n v="850"/>
    <n v="-850"/>
  </r>
  <r>
    <x v="2"/>
    <s v="Mars"/>
    <n v="3"/>
    <s v="T1"/>
    <x v="0"/>
    <s v="Kommunal Boenhet"/>
    <n v="254"/>
    <s v="Helse og mestring"/>
    <x v="1"/>
    <x v="1"/>
    <n v="1114"/>
    <n v="111400"/>
    <s v="Medisiner"/>
    <n v="850"/>
    <n v="0"/>
    <n v="850"/>
    <n v="-850"/>
  </r>
  <r>
    <x v="3"/>
    <s v="April"/>
    <n v="4"/>
    <s v="T1"/>
    <x v="0"/>
    <s v="Kommunal Boenhet"/>
    <n v="254"/>
    <s v="Helse og mestring"/>
    <x v="1"/>
    <x v="1"/>
    <n v="1114"/>
    <n v="111400"/>
    <s v="Medisiner"/>
    <n v="850"/>
    <n v="2562.0500000000002"/>
    <n v="-1712.05"/>
    <n v="1712.05"/>
  </r>
  <r>
    <x v="4"/>
    <s v="Mai"/>
    <n v="5"/>
    <s v="T2"/>
    <x v="0"/>
    <s v="Kommunal Boenhet"/>
    <n v="254"/>
    <s v="Helse og mestring"/>
    <x v="1"/>
    <x v="1"/>
    <n v="1114"/>
    <n v="111400"/>
    <s v="Medisiner"/>
    <n v="850"/>
    <n v="0"/>
    <n v="850"/>
    <n v="-850"/>
  </r>
  <r>
    <x v="5"/>
    <s v="Juni"/>
    <n v="6"/>
    <s v="T2"/>
    <x v="0"/>
    <s v="Kommunal Boenhet"/>
    <n v="254"/>
    <s v="Helse og mestring"/>
    <x v="1"/>
    <x v="1"/>
    <n v="1114"/>
    <n v="111400"/>
    <s v="Medisiner"/>
    <n v="850"/>
    <n v="0"/>
    <n v="850"/>
    <n v="-850"/>
  </r>
  <r>
    <x v="6"/>
    <s v="Juli"/>
    <n v="7"/>
    <s v="T2"/>
    <x v="0"/>
    <s v="Kommunal Boenhet"/>
    <n v="254"/>
    <s v="Helse og mestring"/>
    <x v="1"/>
    <x v="1"/>
    <n v="1114"/>
    <n v="111400"/>
    <s v="Medisiner"/>
    <n v="850"/>
    <n v="0"/>
    <n v="850"/>
    <n v="-850"/>
  </r>
  <r>
    <x v="7"/>
    <s v="August"/>
    <n v="8"/>
    <s v="T2"/>
    <x v="0"/>
    <s v="Kommunal Boenhet"/>
    <n v="254"/>
    <s v="Helse og mestring"/>
    <x v="1"/>
    <x v="1"/>
    <n v="1114"/>
    <n v="111400"/>
    <s v="Medisiner"/>
    <n v="850"/>
    <n v="0"/>
    <n v="850"/>
    <n v="-850"/>
  </r>
  <r>
    <x v="8"/>
    <s v="September"/>
    <n v="9"/>
    <s v="T3"/>
    <x v="1"/>
    <s v="Kommunal Boenhet"/>
    <n v="254"/>
    <s v="Helse og mestring"/>
    <x v="1"/>
    <x v="1"/>
    <n v="1114"/>
    <n v="111400"/>
    <s v="Medisiner"/>
    <n v="850"/>
    <n v="0"/>
    <n v="0"/>
    <n v="-850"/>
  </r>
  <r>
    <x v="9"/>
    <s v="Oktober"/>
    <n v="10"/>
    <s v="T3"/>
    <x v="1"/>
    <s v="Kommunal Boenhet"/>
    <n v="254"/>
    <s v="Helse og mestring"/>
    <x v="1"/>
    <x v="1"/>
    <n v="1114"/>
    <n v="111400"/>
    <s v="Medisiner"/>
    <n v="850"/>
    <n v="0"/>
    <n v="0"/>
    <n v="-850"/>
  </r>
  <r>
    <x v="10"/>
    <s v="November"/>
    <n v="11"/>
    <s v="T3"/>
    <x v="1"/>
    <s v="Kommunal Boenhet"/>
    <n v="254"/>
    <s v="Helse og mestring"/>
    <x v="1"/>
    <x v="1"/>
    <n v="1114"/>
    <n v="111400"/>
    <s v="Medisiner"/>
    <n v="850"/>
    <n v="0"/>
    <n v="0"/>
    <n v="-850"/>
  </r>
  <r>
    <x v="11"/>
    <s v="Desember"/>
    <n v="12"/>
    <s v="T3"/>
    <x v="1"/>
    <s v="Kommunal Boenhet"/>
    <n v="254"/>
    <s v="Helse og mestring"/>
    <x v="1"/>
    <x v="1"/>
    <n v="1114"/>
    <n v="111400"/>
    <s v="Medisiner"/>
    <n v="650"/>
    <n v="0"/>
    <n v="0"/>
    <n v="-650"/>
  </r>
  <r>
    <x v="0"/>
    <s v="Januar"/>
    <n v="1"/>
    <s v="T1"/>
    <x v="0"/>
    <s v="Kommunal Boenhet"/>
    <n v="254"/>
    <s v="Helse og mestring"/>
    <x v="1"/>
    <x v="1"/>
    <n v="1115"/>
    <n v="111500"/>
    <s v="Matvarer / drikke - ikke møtevirksomhet"/>
    <n v="0"/>
    <n v="222.23"/>
    <n v="-222.23"/>
    <n v="222.23"/>
  </r>
  <r>
    <x v="1"/>
    <s v="Februar"/>
    <n v="2"/>
    <s v="T1"/>
    <x v="0"/>
    <s v="Kommunal Boenhet"/>
    <n v="254"/>
    <s v="Helse og mestring"/>
    <x v="1"/>
    <x v="1"/>
    <n v="1115"/>
    <n v="111500"/>
    <s v="Matvarer / drikke - ikke møtevirksomhet"/>
    <n v="0"/>
    <n v="0"/>
    <n v="0"/>
    <n v="0"/>
  </r>
  <r>
    <x v="2"/>
    <s v="Mars"/>
    <n v="3"/>
    <s v="T1"/>
    <x v="0"/>
    <s v="Kommunal Boenhet"/>
    <n v="254"/>
    <s v="Helse og mestring"/>
    <x v="1"/>
    <x v="1"/>
    <n v="1115"/>
    <n v="111500"/>
    <s v="Matvarer / drikke - ikke møtevirksomhet"/>
    <n v="0"/>
    <n v="585.89"/>
    <n v="-585.89"/>
    <n v="585.89"/>
  </r>
  <r>
    <x v="3"/>
    <s v="April"/>
    <n v="4"/>
    <s v="T1"/>
    <x v="0"/>
    <s v="Kommunal Boenhet"/>
    <n v="254"/>
    <s v="Helse og mestring"/>
    <x v="1"/>
    <x v="1"/>
    <n v="1115"/>
    <n v="111500"/>
    <s v="Matvarer / drikke - ikke møtevirksomhet"/>
    <n v="0"/>
    <n v="0"/>
    <n v="0"/>
    <n v="0"/>
  </r>
  <r>
    <x v="4"/>
    <s v="Mai"/>
    <n v="5"/>
    <s v="T2"/>
    <x v="0"/>
    <s v="Kommunal Boenhet"/>
    <n v="254"/>
    <s v="Helse og mestring"/>
    <x v="1"/>
    <x v="1"/>
    <n v="1115"/>
    <n v="111500"/>
    <s v="Matvarer / drikke - ikke møtevirksomhet"/>
    <n v="0"/>
    <n v="630.59"/>
    <n v="-630.59"/>
    <n v="630.59"/>
  </r>
  <r>
    <x v="5"/>
    <s v="Juni"/>
    <n v="6"/>
    <s v="T2"/>
    <x v="0"/>
    <s v="Kommunal Boenhet"/>
    <n v="254"/>
    <s v="Helse og mestring"/>
    <x v="1"/>
    <x v="1"/>
    <n v="1115"/>
    <n v="111500"/>
    <s v="Matvarer / drikke - ikke møtevirksomhet"/>
    <n v="0"/>
    <n v="716.97"/>
    <n v="-716.97"/>
    <n v="716.97"/>
  </r>
  <r>
    <x v="6"/>
    <s v="Juli"/>
    <n v="7"/>
    <s v="T2"/>
    <x v="0"/>
    <s v="Kommunal Boenhet"/>
    <n v="254"/>
    <s v="Helse og mestring"/>
    <x v="1"/>
    <x v="1"/>
    <n v="1115"/>
    <n v="111500"/>
    <s v="Matvarer / drikke - ikke møtevirksomhet"/>
    <n v="0"/>
    <n v="0"/>
    <n v="0"/>
    <n v="0"/>
  </r>
  <r>
    <x v="7"/>
    <s v="August"/>
    <n v="8"/>
    <s v="T2"/>
    <x v="0"/>
    <s v="Kommunal Boenhet"/>
    <n v="254"/>
    <s v="Helse og mestring"/>
    <x v="1"/>
    <x v="1"/>
    <n v="1115"/>
    <n v="111500"/>
    <s v="Matvarer / drikke - ikke møtevirksomhet"/>
    <n v="0"/>
    <n v="130.44"/>
    <n v="-130.44"/>
    <n v="130.44"/>
  </r>
  <r>
    <x v="8"/>
    <s v="September"/>
    <n v="9"/>
    <s v="T3"/>
    <x v="1"/>
    <s v="Kommunal Boenhet"/>
    <n v="254"/>
    <s v="Helse og mestring"/>
    <x v="1"/>
    <x v="1"/>
    <n v="1115"/>
    <n v="111500"/>
    <s v="Matvarer / drikke - ikke møtevirksomhet"/>
    <n v="0"/>
    <n v="0"/>
    <n v="0"/>
    <n v="0"/>
  </r>
  <r>
    <x v="9"/>
    <s v="Oktober"/>
    <n v="10"/>
    <s v="T3"/>
    <x v="1"/>
    <s v="Kommunal Boenhet"/>
    <n v="254"/>
    <s v="Helse og mestring"/>
    <x v="1"/>
    <x v="1"/>
    <n v="1115"/>
    <n v="111500"/>
    <s v="Matvarer / drikke - ikke møtevirksomhet"/>
    <n v="0"/>
    <n v="0"/>
    <n v="0"/>
    <n v="0"/>
  </r>
  <r>
    <x v="10"/>
    <s v="November"/>
    <n v="11"/>
    <s v="T3"/>
    <x v="1"/>
    <s v="Kommunal Boenhet"/>
    <n v="254"/>
    <s v="Helse og mestring"/>
    <x v="1"/>
    <x v="1"/>
    <n v="1115"/>
    <n v="111500"/>
    <s v="Matvarer / drikke - ikke møtevirksomhet"/>
    <n v="0"/>
    <n v="0"/>
    <n v="0"/>
    <n v="0"/>
  </r>
  <r>
    <x v="11"/>
    <s v="Desember"/>
    <n v="12"/>
    <s v="T3"/>
    <x v="1"/>
    <s v="Kommunal Boenhet"/>
    <n v="254"/>
    <s v="Helse og mestring"/>
    <x v="1"/>
    <x v="1"/>
    <n v="1115"/>
    <n v="111500"/>
    <s v="Matvarer / drikke - ikke møtevirksomhet"/>
    <n v="0"/>
    <n v="0"/>
    <n v="0"/>
    <n v="0"/>
  </r>
  <r>
    <x v="0"/>
    <s v="Januar"/>
    <n v="1"/>
    <s v="T1"/>
    <x v="0"/>
    <s v="Kommunal Boenhet"/>
    <n v="254"/>
    <s v="Helse og mestring"/>
    <x v="1"/>
    <x v="1"/>
    <n v="1115"/>
    <n v="111502"/>
    <s v="Bevertning møter / kurs / opplæring / overtidsmat"/>
    <n v="1868"/>
    <n v="0"/>
    <n v="1868"/>
    <n v="-1868"/>
  </r>
  <r>
    <x v="1"/>
    <s v="Februar"/>
    <n v="2"/>
    <s v="T1"/>
    <x v="0"/>
    <s v="Kommunal Boenhet"/>
    <n v="254"/>
    <s v="Helse og mestring"/>
    <x v="1"/>
    <x v="1"/>
    <n v="1115"/>
    <n v="111502"/>
    <s v="Bevertning møter / kurs / opplæring / overtidsmat"/>
    <n v="1868"/>
    <n v="294.5"/>
    <n v="1573.5"/>
    <n v="-1573.5"/>
  </r>
  <r>
    <x v="2"/>
    <s v="Mars"/>
    <n v="3"/>
    <s v="T1"/>
    <x v="0"/>
    <s v="Kommunal Boenhet"/>
    <n v="254"/>
    <s v="Helse og mestring"/>
    <x v="1"/>
    <x v="1"/>
    <n v="1115"/>
    <n v="111502"/>
    <s v="Bevertning møter / kurs / opplæring / overtidsmat"/>
    <n v="1868"/>
    <n v="477.59"/>
    <n v="1390.41"/>
    <n v="-1390.41"/>
  </r>
  <r>
    <x v="3"/>
    <s v="April"/>
    <n v="4"/>
    <s v="T1"/>
    <x v="0"/>
    <s v="Kommunal Boenhet"/>
    <n v="254"/>
    <s v="Helse og mestring"/>
    <x v="1"/>
    <x v="1"/>
    <n v="1115"/>
    <n v="111502"/>
    <s v="Bevertning møter / kurs / opplæring / overtidsmat"/>
    <n v="1868"/>
    <n v="0"/>
    <n v="1868"/>
    <n v="-1868"/>
  </r>
  <r>
    <x v="4"/>
    <s v="Mai"/>
    <n v="5"/>
    <s v="T2"/>
    <x v="0"/>
    <s v="Kommunal Boenhet"/>
    <n v="254"/>
    <s v="Helse og mestring"/>
    <x v="1"/>
    <x v="1"/>
    <n v="1115"/>
    <n v="111502"/>
    <s v="Bevertning møter / kurs / opplæring / overtidsmat"/>
    <n v="1868"/>
    <n v="4957.78"/>
    <n v="-3089.78"/>
    <n v="3089.78"/>
  </r>
  <r>
    <x v="5"/>
    <s v="Juni"/>
    <n v="6"/>
    <s v="T2"/>
    <x v="0"/>
    <s v="Kommunal Boenhet"/>
    <n v="254"/>
    <s v="Helse og mestring"/>
    <x v="1"/>
    <x v="1"/>
    <n v="1115"/>
    <n v="111502"/>
    <s v="Bevertning møter / kurs / opplæring / overtidsmat"/>
    <n v="1868"/>
    <n v="0"/>
    <n v="1868"/>
    <n v="-1868"/>
  </r>
  <r>
    <x v="6"/>
    <s v="Juli"/>
    <n v="7"/>
    <s v="T2"/>
    <x v="0"/>
    <s v="Kommunal Boenhet"/>
    <n v="254"/>
    <s v="Helse og mestring"/>
    <x v="1"/>
    <x v="1"/>
    <n v="1115"/>
    <n v="111502"/>
    <s v="Bevertning møter / kurs / opplæring / overtidsmat"/>
    <n v="1868"/>
    <n v="0"/>
    <n v="1868"/>
    <n v="-1868"/>
  </r>
  <r>
    <x v="7"/>
    <s v="August"/>
    <n v="8"/>
    <s v="T2"/>
    <x v="0"/>
    <s v="Kommunal Boenhet"/>
    <n v="254"/>
    <s v="Helse og mestring"/>
    <x v="1"/>
    <x v="1"/>
    <n v="1115"/>
    <n v="111502"/>
    <s v="Bevertning møter / kurs / opplæring / overtidsmat"/>
    <n v="1868"/>
    <n v="0"/>
    <n v="1868"/>
    <n v="-1868"/>
  </r>
  <r>
    <x v="8"/>
    <s v="September"/>
    <n v="9"/>
    <s v="T3"/>
    <x v="1"/>
    <s v="Kommunal Boenhet"/>
    <n v="254"/>
    <s v="Helse og mestring"/>
    <x v="1"/>
    <x v="1"/>
    <n v="1115"/>
    <n v="111502"/>
    <s v="Bevertning møter / kurs / opplæring / overtidsmat"/>
    <n v="1868"/>
    <n v="0"/>
    <n v="0"/>
    <n v="-1868"/>
  </r>
  <r>
    <x v="9"/>
    <s v="Oktober"/>
    <n v="10"/>
    <s v="T3"/>
    <x v="1"/>
    <s v="Kommunal Boenhet"/>
    <n v="254"/>
    <s v="Helse og mestring"/>
    <x v="1"/>
    <x v="1"/>
    <n v="1115"/>
    <n v="111502"/>
    <s v="Bevertning møter / kurs / opplæring / overtidsmat"/>
    <n v="1868"/>
    <n v="0"/>
    <n v="0"/>
    <n v="-1868"/>
  </r>
  <r>
    <x v="10"/>
    <s v="November"/>
    <n v="11"/>
    <s v="T3"/>
    <x v="1"/>
    <s v="Kommunal Boenhet"/>
    <n v="254"/>
    <s v="Helse og mestring"/>
    <x v="1"/>
    <x v="1"/>
    <n v="1115"/>
    <n v="111502"/>
    <s v="Bevertning møter / kurs / opplæring / overtidsmat"/>
    <n v="1868"/>
    <n v="0"/>
    <n v="0"/>
    <n v="-1868"/>
  </r>
  <r>
    <x v="11"/>
    <s v="Desember"/>
    <n v="12"/>
    <s v="T3"/>
    <x v="1"/>
    <s v="Kommunal Boenhet"/>
    <n v="254"/>
    <s v="Helse og mestring"/>
    <x v="1"/>
    <x v="1"/>
    <n v="1115"/>
    <n v="111502"/>
    <s v="Bevertning møter / kurs / opplæring / overtidsmat"/>
    <n v="1452"/>
    <n v="0"/>
    <n v="0"/>
    <n v="-1452"/>
  </r>
  <r>
    <x v="0"/>
    <s v="Januar"/>
    <n v="1"/>
    <s v="T1"/>
    <x v="0"/>
    <s v="Kommunal Boenhet"/>
    <n v="254"/>
    <s v="Helse og mestring"/>
    <x v="1"/>
    <x v="1"/>
    <n v="1115"/>
    <n v="111509"/>
    <s v="Pant"/>
    <n v="0"/>
    <n v="0"/>
    <n v="0"/>
    <n v="0"/>
  </r>
  <r>
    <x v="1"/>
    <s v="Februar"/>
    <n v="2"/>
    <s v="T1"/>
    <x v="0"/>
    <s v="Kommunal Boenhet"/>
    <n v="254"/>
    <s v="Helse og mestring"/>
    <x v="1"/>
    <x v="1"/>
    <n v="1115"/>
    <n v="111509"/>
    <s v="Pant"/>
    <n v="0"/>
    <n v="12"/>
    <n v="-12"/>
    <n v="12"/>
  </r>
  <r>
    <x v="2"/>
    <s v="Mars"/>
    <n v="3"/>
    <s v="T1"/>
    <x v="0"/>
    <s v="Kommunal Boenhet"/>
    <n v="254"/>
    <s v="Helse og mestring"/>
    <x v="1"/>
    <x v="1"/>
    <n v="1115"/>
    <n v="111509"/>
    <s v="Pant"/>
    <n v="0"/>
    <n v="21"/>
    <n v="-21"/>
    <n v="21"/>
  </r>
  <r>
    <x v="3"/>
    <s v="April"/>
    <n v="4"/>
    <s v="T1"/>
    <x v="0"/>
    <s v="Kommunal Boenhet"/>
    <n v="254"/>
    <s v="Helse og mestring"/>
    <x v="1"/>
    <x v="1"/>
    <n v="1115"/>
    <n v="111509"/>
    <s v="Pant"/>
    <n v="0"/>
    <n v="0"/>
    <n v="0"/>
    <n v="0"/>
  </r>
  <r>
    <x v="4"/>
    <s v="Mai"/>
    <n v="5"/>
    <s v="T2"/>
    <x v="0"/>
    <s v="Kommunal Boenhet"/>
    <n v="254"/>
    <s v="Helse og mestring"/>
    <x v="1"/>
    <x v="1"/>
    <n v="1115"/>
    <n v="111509"/>
    <s v="Pant"/>
    <n v="0"/>
    <n v="24"/>
    <n v="-24"/>
    <n v="24"/>
  </r>
  <r>
    <x v="5"/>
    <s v="Juni"/>
    <n v="6"/>
    <s v="T2"/>
    <x v="0"/>
    <s v="Kommunal Boenhet"/>
    <n v="254"/>
    <s v="Helse og mestring"/>
    <x v="1"/>
    <x v="1"/>
    <n v="1115"/>
    <n v="111509"/>
    <s v="Pant"/>
    <n v="0"/>
    <n v="0"/>
    <n v="0"/>
    <n v="0"/>
  </r>
  <r>
    <x v="6"/>
    <s v="Juli"/>
    <n v="7"/>
    <s v="T2"/>
    <x v="0"/>
    <s v="Kommunal Boenhet"/>
    <n v="254"/>
    <s v="Helse og mestring"/>
    <x v="1"/>
    <x v="1"/>
    <n v="1115"/>
    <n v="111509"/>
    <s v="Pant"/>
    <n v="0"/>
    <n v="0"/>
    <n v="0"/>
    <n v="0"/>
  </r>
  <r>
    <x v="7"/>
    <s v="August"/>
    <n v="8"/>
    <s v="T2"/>
    <x v="0"/>
    <s v="Kommunal Boenhet"/>
    <n v="254"/>
    <s v="Helse og mestring"/>
    <x v="1"/>
    <x v="1"/>
    <n v="1115"/>
    <n v="111509"/>
    <s v="Pant"/>
    <n v="0"/>
    <n v="0"/>
    <n v="0"/>
    <n v="0"/>
  </r>
  <r>
    <x v="8"/>
    <s v="September"/>
    <n v="9"/>
    <s v="T3"/>
    <x v="1"/>
    <s v="Kommunal Boenhet"/>
    <n v="254"/>
    <s v="Helse og mestring"/>
    <x v="1"/>
    <x v="1"/>
    <n v="1115"/>
    <n v="111509"/>
    <s v="Pant"/>
    <n v="0"/>
    <n v="0"/>
    <n v="0"/>
    <n v="0"/>
  </r>
  <r>
    <x v="9"/>
    <s v="Oktober"/>
    <n v="10"/>
    <s v="T3"/>
    <x v="1"/>
    <s v="Kommunal Boenhet"/>
    <n v="254"/>
    <s v="Helse og mestring"/>
    <x v="1"/>
    <x v="1"/>
    <n v="1115"/>
    <n v="111509"/>
    <s v="Pant"/>
    <n v="0"/>
    <n v="0"/>
    <n v="0"/>
    <n v="0"/>
  </r>
  <r>
    <x v="10"/>
    <s v="November"/>
    <n v="11"/>
    <s v="T3"/>
    <x v="1"/>
    <s v="Kommunal Boenhet"/>
    <n v="254"/>
    <s v="Helse og mestring"/>
    <x v="1"/>
    <x v="1"/>
    <n v="1115"/>
    <n v="111509"/>
    <s v="Pant"/>
    <n v="0"/>
    <n v="0"/>
    <n v="0"/>
    <n v="0"/>
  </r>
  <r>
    <x v="11"/>
    <s v="Desember"/>
    <n v="12"/>
    <s v="T3"/>
    <x v="1"/>
    <s v="Kommunal Boenhet"/>
    <n v="254"/>
    <s v="Helse og mestring"/>
    <x v="1"/>
    <x v="1"/>
    <n v="1115"/>
    <n v="111509"/>
    <s v="Pant"/>
    <n v="0"/>
    <n v="0"/>
    <n v="0"/>
    <n v="0"/>
  </r>
  <r>
    <x v="0"/>
    <s v="Januar"/>
    <n v="1"/>
    <s v="T1"/>
    <x v="0"/>
    <s v="Kommunal Boenhet"/>
    <n v="254"/>
    <s v="Helse og mestring"/>
    <x v="1"/>
    <x v="1"/>
    <n v="1120"/>
    <n v="112000"/>
    <s v="Velferdstiltak / arrangementer -  ansatte"/>
    <n v="1868"/>
    <n v="0"/>
    <n v="1868"/>
    <n v="-1868"/>
  </r>
  <r>
    <x v="1"/>
    <s v="Februar"/>
    <n v="2"/>
    <s v="T1"/>
    <x v="0"/>
    <s v="Kommunal Boenhet"/>
    <n v="254"/>
    <s v="Helse og mestring"/>
    <x v="1"/>
    <x v="1"/>
    <n v="1120"/>
    <n v="112000"/>
    <s v="Velferdstiltak / arrangementer -  ansatte"/>
    <n v="1868"/>
    <n v="0"/>
    <n v="1868"/>
    <n v="-1868"/>
  </r>
  <r>
    <x v="2"/>
    <s v="Mars"/>
    <n v="3"/>
    <s v="T1"/>
    <x v="0"/>
    <s v="Kommunal Boenhet"/>
    <n v="254"/>
    <s v="Helse og mestring"/>
    <x v="1"/>
    <x v="1"/>
    <n v="1120"/>
    <n v="112000"/>
    <s v="Velferdstiltak / arrangementer -  ansatte"/>
    <n v="1868"/>
    <n v="0"/>
    <n v="1868"/>
    <n v="-1868"/>
  </r>
  <r>
    <x v="3"/>
    <s v="April"/>
    <n v="4"/>
    <s v="T1"/>
    <x v="0"/>
    <s v="Kommunal Boenhet"/>
    <n v="254"/>
    <s v="Helse og mestring"/>
    <x v="1"/>
    <x v="1"/>
    <n v="1120"/>
    <n v="112000"/>
    <s v="Velferdstiltak / arrangementer -  ansatte"/>
    <n v="1868"/>
    <n v="103.8"/>
    <n v="1764.2"/>
    <n v="-1764.2"/>
  </r>
  <r>
    <x v="4"/>
    <s v="Mai"/>
    <n v="5"/>
    <s v="T2"/>
    <x v="0"/>
    <s v="Kommunal Boenhet"/>
    <n v="254"/>
    <s v="Helse og mestring"/>
    <x v="1"/>
    <x v="1"/>
    <n v="1120"/>
    <n v="112000"/>
    <s v="Velferdstiltak / arrangementer -  ansatte"/>
    <n v="1868"/>
    <n v="0"/>
    <n v="1868"/>
    <n v="-1868"/>
  </r>
  <r>
    <x v="5"/>
    <s v="Juni"/>
    <n v="6"/>
    <s v="T2"/>
    <x v="0"/>
    <s v="Kommunal Boenhet"/>
    <n v="254"/>
    <s v="Helse og mestring"/>
    <x v="1"/>
    <x v="1"/>
    <n v="1120"/>
    <n v="112000"/>
    <s v="Velferdstiltak / arrangementer -  ansatte"/>
    <n v="1868"/>
    <n v="483.2"/>
    <n v="1384.8"/>
    <n v="-1384.8"/>
  </r>
  <r>
    <x v="6"/>
    <s v="Juli"/>
    <n v="7"/>
    <s v="T2"/>
    <x v="0"/>
    <s v="Kommunal Boenhet"/>
    <n v="254"/>
    <s v="Helse og mestring"/>
    <x v="1"/>
    <x v="1"/>
    <n v="1120"/>
    <n v="112000"/>
    <s v="Velferdstiltak / arrangementer -  ansatte"/>
    <n v="1868"/>
    <n v="0"/>
    <n v="1868"/>
    <n v="-1868"/>
  </r>
  <r>
    <x v="7"/>
    <s v="August"/>
    <n v="8"/>
    <s v="T2"/>
    <x v="0"/>
    <s v="Kommunal Boenhet"/>
    <n v="254"/>
    <s v="Helse og mestring"/>
    <x v="1"/>
    <x v="1"/>
    <n v="1120"/>
    <n v="112000"/>
    <s v="Velferdstiltak / arrangementer -  ansatte"/>
    <n v="1868"/>
    <n v="0"/>
    <n v="1868"/>
    <n v="-1868"/>
  </r>
  <r>
    <x v="8"/>
    <s v="September"/>
    <n v="9"/>
    <s v="T3"/>
    <x v="1"/>
    <s v="Kommunal Boenhet"/>
    <n v="254"/>
    <s v="Helse og mestring"/>
    <x v="1"/>
    <x v="1"/>
    <n v="1120"/>
    <n v="112000"/>
    <s v="Velferdstiltak / arrangementer -  ansatte"/>
    <n v="1868"/>
    <n v="0"/>
    <n v="0"/>
    <n v="-1868"/>
  </r>
  <r>
    <x v="9"/>
    <s v="Oktober"/>
    <n v="10"/>
    <s v="T3"/>
    <x v="1"/>
    <s v="Kommunal Boenhet"/>
    <n v="254"/>
    <s v="Helse og mestring"/>
    <x v="1"/>
    <x v="1"/>
    <n v="1120"/>
    <n v="112000"/>
    <s v="Velferdstiltak / arrangementer -  ansatte"/>
    <n v="1868"/>
    <n v="0"/>
    <n v="0"/>
    <n v="-1868"/>
  </r>
  <r>
    <x v="10"/>
    <s v="November"/>
    <n v="11"/>
    <s v="T3"/>
    <x v="1"/>
    <s v="Kommunal Boenhet"/>
    <n v="254"/>
    <s v="Helse og mestring"/>
    <x v="1"/>
    <x v="1"/>
    <n v="1120"/>
    <n v="112000"/>
    <s v="Velferdstiltak / arrangementer -  ansatte"/>
    <n v="1868"/>
    <n v="0"/>
    <n v="0"/>
    <n v="-1868"/>
  </r>
  <r>
    <x v="11"/>
    <s v="Desember"/>
    <n v="12"/>
    <s v="T3"/>
    <x v="1"/>
    <s v="Kommunal Boenhet"/>
    <n v="254"/>
    <s v="Helse og mestring"/>
    <x v="1"/>
    <x v="1"/>
    <n v="1120"/>
    <n v="112000"/>
    <s v="Velferdstiltak / arrangementer -  ansatte"/>
    <n v="1452"/>
    <n v="0"/>
    <n v="0"/>
    <n v="-1452"/>
  </r>
  <r>
    <x v="0"/>
    <s v="Januar"/>
    <n v="1"/>
    <s v="T1"/>
    <x v="0"/>
    <s v="Kommunal Boenhet"/>
    <n v="254"/>
    <s v="Helse og mestring"/>
    <x v="1"/>
    <x v="1"/>
    <n v="1120"/>
    <n v="112002"/>
    <s v="Påskjønnelser - jfr reglement"/>
    <n v="340"/>
    <n v="491.15"/>
    <n v="-151.15"/>
    <n v="151.15"/>
  </r>
  <r>
    <x v="1"/>
    <s v="Februar"/>
    <n v="2"/>
    <s v="T1"/>
    <x v="0"/>
    <s v="Kommunal Boenhet"/>
    <n v="254"/>
    <s v="Helse og mestring"/>
    <x v="1"/>
    <x v="1"/>
    <n v="1120"/>
    <n v="112002"/>
    <s v="Påskjønnelser - jfr reglement"/>
    <n v="340"/>
    <n v="0"/>
    <n v="340"/>
    <n v="-340"/>
  </r>
  <r>
    <x v="2"/>
    <s v="Mars"/>
    <n v="3"/>
    <s v="T1"/>
    <x v="0"/>
    <s v="Kommunal Boenhet"/>
    <n v="254"/>
    <s v="Helse og mestring"/>
    <x v="1"/>
    <x v="1"/>
    <n v="1120"/>
    <n v="112002"/>
    <s v="Påskjønnelser - jfr reglement"/>
    <n v="340"/>
    <n v="0"/>
    <n v="340"/>
    <n v="-340"/>
  </r>
  <r>
    <x v="3"/>
    <s v="April"/>
    <n v="4"/>
    <s v="T1"/>
    <x v="0"/>
    <s v="Kommunal Boenhet"/>
    <n v="254"/>
    <s v="Helse og mestring"/>
    <x v="1"/>
    <x v="1"/>
    <n v="1120"/>
    <n v="112002"/>
    <s v="Påskjønnelser - jfr reglement"/>
    <n v="340"/>
    <n v="0"/>
    <n v="340"/>
    <n v="-340"/>
  </r>
  <r>
    <x v="4"/>
    <s v="Mai"/>
    <n v="5"/>
    <s v="T2"/>
    <x v="0"/>
    <s v="Kommunal Boenhet"/>
    <n v="254"/>
    <s v="Helse og mestring"/>
    <x v="1"/>
    <x v="1"/>
    <n v="1120"/>
    <n v="112002"/>
    <s v="Påskjønnelser - jfr reglement"/>
    <n v="340"/>
    <n v="0"/>
    <n v="340"/>
    <n v="-340"/>
  </r>
  <r>
    <x v="5"/>
    <s v="Juni"/>
    <n v="6"/>
    <s v="T2"/>
    <x v="0"/>
    <s v="Kommunal Boenhet"/>
    <n v="254"/>
    <s v="Helse og mestring"/>
    <x v="1"/>
    <x v="1"/>
    <n v="1120"/>
    <n v="112002"/>
    <s v="Påskjønnelser - jfr reglement"/>
    <n v="340"/>
    <n v="0"/>
    <n v="340"/>
    <n v="-340"/>
  </r>
  <r>
    <x v="6"/>
    <s v="Juli"/>
    <n v="7"/>
    <s v="T2"/>
    <x v="0"/>
    <s v="Kommunal Boenhet"/>
    <n v="254"/>
    <s v="Helse og mestring"/>
    <x v="1"/>
    <x v="1"/>
    <n v="1120"/>
    <n v="112002"/>
    <s v="Påskjønnelser - jfr reglement"/>
    <n v="340"/>
    <n v="0"/>
    <n v="340"/>
    <n v="-340"/>
  </r>
  <r>
    <x v="7"/>
    <s v="August"/>
    <n v="8"/>
    <s v="T2"/>
    <x v="0"/>
    <s v="Kommunal Boenhet"/>
    <n v="254"/>
    <s v="Helse og mestring"/>
    <x v="1"/>
    <x v="1"/>
    <n v="1120"/>
    <n v="112002"/>
    <s v="Påskjønnelser - jfr reglement"/>
    <n v="340"/>
    <n v="0"/>
    <n v="340"/>
    <n v="-340"/>
  </r>
  <r>
    <x v="8"/>
    <s v="September"/>
    <n v="9"/>
    <s v="T3"/>
    <x v="1"/>
    <s v="Kommunal Boenhet"/>
    <n v="254"/>
    <s v="Helse og mestring"/>
    <x v="1"/>
    <x v="1"/>
    <n v="1120"/>
    <n v="112002"/>
    <s v="Påskjønnelser - jfr reglement"/>
    <n v="340"/>
    <n v="0"/>
    <n v="0"/>
    <n v="-340"/>
  </r>
  <r>
    <x v="9"/>
    <s v="Oktober"/>
    <n v="10"/>
    <s v="T3"/>
    <x v="1"/>
    <s v="Kommunal Boenhet"/>
    <n v="254"/>
    <s v="Helse og mestring"/>
    <x v="1"/>
    <x v="1"/>
    <n v="1120"/>
    <n v="112002"/>
    <s v="Påskjønnelser - jfr reglement"/>
    <n v="340"/>
    <n v="0"/>
    <n v="0"/>
    <n v="-340"/>
  </r>
  <r>
    <x v="10"/>
    <s v="November"/>
    <n v="11"/>
    <s v="T3"/>
    <x v="1"/>
    <s v="Kommunal Boenhet"/>
    <n v="254"/>
    <s v="Helse og mestring"/>
    <x v="1"/>
    <x v="1"/>
    <n v="1120"/>
    <n v="112002"/>
    <s v="Påskjønnelser - jfr reglement"/>
    <n v="340"/>
    <n v="0"/>
    <n v="0"/>
    <n v="-340"/>
  </r>
  <r>
    <x v="11"/>
    <s v="Desember"/>
    <n v="12"/>
    <s v="T3"/>
    <x v="1"/>
    <s v="Kommunal Boenhet"/>
    <n v="254"/>
    <s v="Helse og mestring"/>
    <x v="1"/>
    <x v="1"/>
    <n v="1120"/>
    <n v="112002"/>
    <s v="Påskjønnelser - jfr reglement"/>
    <n v="260"/>
    <n v="0"/>
    <n v="0"/>
    <n v="-260"/>
  </r>
  <r>
    <x v="0"/>
    <s v="Januar"/>
    <n v="1"/>
    <s v="T1"/>
    <x v="0"/>
    <s v="Kommunal Boenhet"/>
    <n v="254"/>
    <s v="Helse og mestring"/>
    <x v="1"/>
    <x v="1"/>
    <n v="1120"/>
    <n v="112010"/>
    <s v="Arbeidsklær / verneutstyr / uniformer"/>
    <n v="0"/>
    <n v="1144.5"/>
    <n v="-1144.5"/>
    <n v="1144.5"/>
  </r>
  <r>
    <x v="1"/>
    <s v="Februar"/>
    <n v="2"/>
    <s v="T1"/>
    <x v="0"/>
    <s v="Kommunal Boenhet"/>
    <n v="254"/>
    <s v="Helse og mestring"/>
    <x v="1"/>
    <x v="1"/>
    <n v="1120"/>
    <n v="112010"/>
    <s v="Arbeidsklær / verneutstyr / uniformer"/>
    <n v="0"/>
    <n v="0"/>
    <n v="0"/>
    <n v="0"/>
  </r>
  <r>
    <x v="2"/>
    <s v="Mars"/>
    <n v="3"/>
    <s v="T1"/>
    <x v="0"/>
    <s v="Kommunal Boenhet"/>
    <n v="254"/>
    <s v="Helse og mestring"/>
    <x v="1"/>
    <x v="1"/>
    <n v="1120"/>
    <n v="112010"/>
    <s v="Arbeidsklær / verneutstyr / uniformer"/>
    <n v="0"/>
    <n v="0"/>
    <n v="0"/>
    <n v="0"/>
  </r>
  <r>
    <x v="3"/>
    <s v="April"/>
    <n v="4"/>
    <s v="T1"/>
    <x v="0"/>
    <s v="Kommunal Boenhet"/>
    <n v="254"/>
    <s v="Helse og mestring"/>
    <x v="1"/>
    <x v="1"/>
    <n v="1120"/>
    <n v="112010"/>
    <s v="Arbeidsklær / verneutstyr / uniformer"/>
    <n v="0"/>
    <n v="2289"/>
    <n v="-2289"/>
    <n v="2289"/>
  </r>
  <r>
    <x v="4"/>
    <s v="Mai"/>
    <n v="5"/>
    <s v="T2"/>
    <x v="0"/>
    <s v="Kommunal Boenhet"/>
    <n v="254"/>
    <s v="Helse og mestring"/>
    <x v="1"/>
    <x v="1"/>
    <n v="1120"/>
    <n v="112010"/>
    <s v="Arbeidsklær / verneutstyr / uniformer"/>
    <n v="0"/>
    <n v="0"/>
    <n v="0"/>
    <n v="0"/>
  </r>
  <r>
    <x v="5"/>
    <s v="Juni"/>
    <n v="6"/>
    <s v="T2"/>
    <x v="0"/>
    <s v="Kommunal Boenhet"/>
    <n v="254"/>
    <s v="Helse og mestring"/>
    <x v="1"/>
    <x v="1"/>
    <n v="1120"/>
    <n v="112010"/>
    <s v="Arbeidsklær / verneutstyr / uniformer"/>
    <n v="0"/>
    <n v="0"/>
    <n v="0"/>
    <n v="0"/>
  </r>
  <r>
    <x v="6"/>
    <s v="Juli"/>
    <n v="7"/>
    <s v="T2"/>
    <x v="0"/>
    <s v="Kommunal Boenhet"/>
    <n v="254"/>
    <s v="Helse og mestring"/>
    <x v="1"/>
    <x v="1"/>
    <n v="1120"/>
    <n v="112010"/>
    <s v="Arbeidsklær / verneutstyr / uniformer"/>
    <n v="0"/>
    <n v="0"/>
    <n v="0"/>
    <n v="0"/>
  </r>
  <r>
    <x v="7"/>
    <s v="August"/>
    <n v="8"/>
    <s v="T2"/>
    <x v="0"/>
    <s v="Kommunal Boenhet"/>
    <n v="254"/>
    <s v="Helse og mestring"/>
    <x v="1"/>
    <x v="1"/>
    <n v="1120"/>
    <n v="112010"/>
    <s v="Arbeidsklær / verneutstyr / uniformer"/>
    <n v="0"/>
    <n v="881"/>
    <n v="-881"/>
    <n v="881"/>
  </r>
  <r>
    <x v="8"/>
    <s v="September"/>
    <n v="9"/>
    <s v="T3"/>
    <x v="1"/>
    <s v="Kommunal Boenhet"/>
    <n v="254"/>
    <s v="Helse og mestring"/>
    <x v="1"/>
    <x v="1"/>
    <n v="1120"/>
    <n v="112010"/>
    <s v="Arbeidsklær / verneutstyr / uniformer"/>
    <n v="0"/>
    <n v="0"/>
    <n v="0"/>
    <n v="0"/>
  </r>
  <r>
    <x v="9"/>
    <s v="Oktober"/>
    <n v="10"/>
    <s v="T3"/>
    <x v="1"/>
    <s v="Kommunal Boenhet"/>
    <n v="254"/>
    <s v="Helse og mestring"/>
    <x v="1"/>
    <x v="1"/>
    <n v="1120"/>
    <n v="112010"/>
    <s v="Arbeidsklær / verneutstyr / uniformer"/>
    <n v="0"/>
    <n v="0"/>
    <n v="0"/>
    <n v="0"/>
  </r>
  <r>
    <x v="10"/>
    <s v="November"/>
    <n v="11"/>
    <s v="T3"/>
    <x v="1"/>
    <s v="Kommunal Boenhet"/>
    <n v="254"/>
    <s v="Helse og mestring"/>
    <x v="1"/>
    <x v="1"/>
    <n v="1120"/>
    <n v="112010"/>
    <s v="Arbeidsklær / verneutstyr / uniformer"/>
    <n v="0"/>
    <n v="0"/>
    <n v="0"/>
    <n v="0"/>
  </r>
  <r>
    <x v="11"/>
    <s v="Desember"/>
    <n v="12"/>
    <s v="T3"/>
    <x v="1"/>
    <s v="Kommunal Boenhet"/>
    <n v="254"/>
    <s v="Helse og mestring"/>
    <x v="1"/>
    <x v="1"/>
    <n v="1120"/>
    <n v="112010"/>
    <s v="Arbeidsklær / verneutstyr / uniformer"/>
    <n v="0"/>
    <n v="0"/>
    <n v="0"/>
    <n v="0"/>
  </r>
  <r>
    <x v="0"/>
    <s v="Januar"/>
    <n v="1"/>
    <s v="T1"/>
    <x v="0"/>
    <s v="Kommunal Boenhet"/>
    <n v="254"/>
    <s v="Helse og mestring"/>
    <x v="1"/>
    <x v="1"/>
    <n v="1120"/>
    <n v="112012"/>
    <s v="GAVE EKOM USKATT (LT 4800)"/>
    <n v="0"/>
    <n v="0"/>
    <n v="0"/>
    <n v="0"/>
  </r>
  <r>
    <x v="1"/>
    <s v="Februar"/>
    <n v="2"/>
    <s v="T1"/>
    <x v="0"/>
    <s v="Kommunal Boenhet"/>
    <n v="254"/>
    <s v="Helse og mestring"/>
    <x v="1"/>
    <x v="1"/>
    <n v="1120"/>
    <n v="112012"/>
    <s v="GAVE EKOM USKATT (LT 4800)"/>
    <n v="0"/>
    <n v="732"/>
    <n v="-732"/>
    <n v="732"/>
  </r>
  <r>
    <x v="2"/>
    <s v="Mars"/>
    <n v="3"/>
    <s v="T1"/>
    <x v="0"/>
    <s v="Kommunal Boenhet"/>
    <n v="254"/>
    <s v="Helse og mestring"/>
    <x v="1"/>
    <x v="1"/>
    <n v="1120"/>
    <n v="112012"/>
    <s v="GAVE EKOM USKATT (LT 4800)"/>
    <n v="0"/>
    <n v="0"/>
    <n v="0"/>
    <n v="0"/>
  </r>
  <r>
    <x v="3"/>
    <s v="April"/>
    <n v="4"/>
    <s v="T1"/>
    <x v="0"/>
    <s v="Kommunal Boenhet"/>
    <n v="254"/>
    <s v="Helse og mestring"/>
    <x v="1"/>
    <x v="1"/>
    <n v="1120"/>
    <n v="112012"/>
    <s v="GAVE EKOM USKATT (LT 4800)"/>
    <n v="0"/>
    <n v="1098"/>
    <n v="-1098"/>
    <n v="1098"/>
  </r>
  <r>
    <x v="4"/>
    <s v="Mai"/>
    <n v="5"/>
    <s v="T2"/>
    <x v="0"/>
    <s v="Kommunal Boenhet"/>
    <n v="254"/>
    <s v="Helse og mestring"/>
    <x v="1"/>
    <x v="1"/>
    <n v="1120"/>
    <n v="112012"/>
    <s v="GAVE EKOM USKATT (LT 4800)"/>
    <n v="0"/>
    <n v="366"/>
    <n v="-366"/>
    <n v="366"/>
  </r>
  <r>
    <x v="5"/>
    <s v="Juni"/>
    <n v="6"/>
    <s v="T2"/>
    <x v="0"/>
    <s v="Kommunal Boenhet"/>
    <n v="254"/>
    <s v="Helse og mestring"/>
    <x v="1"/>
    <x v="1"/>
    <n v="1120"/>
    <n v="112012"/>
    <s v="GAVE EKOM USKATT (LT 4800)"/>
    <n v="0"/>
    <n v="0"/>
    <n v="0"/>
    <n v="0"/>
  </r>
  <r>
    <x v="6"/>
    <s v="Juli"/>
    <n v="7"/>
    <s v="T2"/>
    <x v="0"/>
    <s v="Kommunal Boenhet"/>
    <n v="254"/>
    <s v="Helse og mestring"/>
    <x v="1"/>
    <x v="1"/>
    <n v="1120"/>
    <n v="112012"/>
    <s v="GAVE EKOM USKATT (LT 4800)"/>
    <n v="0"/>
    <n v="366"/>
    <n v="-366"/>
    <n v="366"/>
  </r>
  <r>
    <x v="7"/>
    <s v="August"/>
    <n v="8"/>
    <s v="T2"/>
    <x v="0"/>
    <s v="Kommunal Boenhet"/>
    <n v="254"/>
    <s v="Helse og mestring"/>
    <x v="1"/>
    <x v="1"/>
    <n v="1120"/>
    <n v="112012"/>
    <s v="GAVE EKOM USKATT (LT 4800)"/>
    <n v="0"/>
    <n v="366"/>
    <n v="-366"/>
    <n v="366"/>
  </r>
  <r>
    <x v="8"/>
    <s v="September"/>
    <n v="9"/>
    <s v="T3"/>
    <x v="1"/>
    <s v="Kommunal Boenhet"/>
    <n v="254"/>
    <s v="Helse og mestring"/>
    <x v="1"/>
    <x v="1"/>
    <n v="1120"/>
    <n v="112012"/>
    <s v="GAVE EKOM USKATT (LT 4800)"/>
    <n v="0"/>
    <n v="0"/>
    <n v="0"/>
    <n v="0"/>
  </r>
  <r>
    <x v="9"/>
    <s v="Oktober"/>
    <n v="10"/>
    <s v="T3"/>
    <x v="1"/>
    <s v="Kommunal Boenhet"/>
    <n v="254"/>
    <s v="Helse og mestring"/>
    <x v="1"/>
    <x v="1"/>
    <n v="1120"/>
    <n v="112012"/>
    <s v="GAVE EKOM USKATT (LT 4800)"/>
    <n v="0"/>
    <n v="0"/>
    <n v="0"/>
    <n v="0"/>
  </r>
  <r>
    <x v="10"/>
    <s v="November"/>
    <n v="11"/>
    <s v="T3"/>
    <x v="1"/>
    <s v="Kommunal Boenhet"/>
    <n v="254"/>
    <s v="Helse og mestring"/>
    <x v="1"/>
    <x v="1"/>
    <n v="1120"/>
    <n v="112012"/>
    <s v="GAVE EKOM USKATT (LT 4800)"/>
    <n v="0"/>
    <n v="0"/>
    <n v="0"/>
    <n v="0"/>
  </r>
  <r>
    <x v="11"/>
    <s v="Desember"/>
    <n v="12"/>
    <s v="T3"/>
    <x v="1"/>
    <s v="Kommunal Boenhet"/>
    <n v="254"/>
    <s v="Helse og mestring"/>
    <x v="1"/>
    <x v="1"/>
    <n v="1120"/>
    <n v="112012"/>
    <s v="GAVE EKOM USKATT (LT 4800)"/>
    <n v="0"/>
    <n v="0"/>
    <n v="0"/>
    <n v="0"/>
  </r>
  <r>
    <x v="0"/>
    <s v="Januar"/>
    <n v="1"/>
    <s v="T1"/>
    <x v="0"/>
    <s v="Kommunal Boenhet"/>
    <n v="254"/>
    <s v="Helse og mestring"/>
    <x v="1"/>
    <x v="1"/>
    <n v="1120"/>
    <n v="112013"/>
    <s v="MOTPOST GAVE EKOM USKATT (LT 4802)"/>
    <n v="0"/>
    <n v="0"/>
    <n v="0"/>
    <n v="0"/>
  </r>
  <r>
    <x v="1"/>
    <s v="Februar"/>
    <n v="2"/>
    <s v="T1"/>
    <x v="0"/>
    <s v="Kommunal Boenhet"/>
    <n v="254"/>
    <s v="Helse og mestring"/>
    <x v="1"/>
    <x v="1"/>
    <n v="1120"/>
    <n v="112013"/>
    <s v="MOTPOST GAVE EKOM USKATT (LT 4802)"/>
    <n v="0"/>
    <n v="-732"/>
    <n v="732"/>
    <n v="-732"/>
  </r>
  <r>
    <x v="2"/>
    <s v="Mars"/>
    <n v="3"/>
    <s v="T1"/>
    <x v="0"/>
    <s v="Kommunal Boenhet"/>
    <n v="254"/>
    <s v="Helse og mestring"/>
    <x v="1"/>
    <x v="1"/>
    <n v="1120"/>
    <n v="112013"/>
    <s v="MOTPOST GAVE EKOM USKATT (LT 4802)"/>
    <n v="0"/>
    <n v="0"/>
    <n v="0"/>
    <n v="0"/>
  </r>
  <r>
    <x v="3"/>
    <s v="April"/>
    <n v="4"/>
    <s v="T1"/>
    <x v="0"/>
    <s v="Kommunal Boenhet"/>
    <n v="254"/>
    <s v="Helse og mestring"/>
    <x v="1"/>
    <x v="1"/>
    <n v="1120"/>
    <n v="112013"/>
    <s v="MOTPOST GAVE EKOM USKATT (LT 4802)"/>
    <n v="0"/>
    <n v="-1098"/>
    <n v="1098"/>
    <n v="-1098"/>
  </r>
  <r>
    <x v="4"/>
    <s v="Mai"/>
    <n v="5"/>
    <s v="T2"/>
    <x v="0"/>
    <s v="Kommunal Boenhet"/>
    <n v="254"/>
    <s v="Helse og mestring"/>
    <x v="1"/>
    <x v="1"/>
    <n v="1120"/>
    <n v="112013"/>
    <s v="MOTPOST GAVE EKOM USKATT (LT 4802)"/>
    <n v="0"/>
    <n v="-366"/>
    <n v="366"/>
    <n v="-366"/>
  </r>
  <r>
    <x v="5"/>
    <s v="Juni"/>
    <n v="6"/>
    <s v="T2"/>
    <x v="0"/>
    <s v="Kommunal Boenhet"/>
    <n v="254"/>
    <s v="Helse og mestring"/>
    <x v="1"/>
    <x v="1"/>
    <n v="1120"/>
    <n v="112013"/>
    <s v="MOTPOST GAVE EKOM USKATT (LT 4802)"/>
    <n v="0"/>
    <n v="0"/>
    <n v="0"/>
    <n v="0"/>
  </r>
  <r>
    <x v="6"/>
    <s v="Juli"/>
    <n v="7"/>
    <s v="T2"/>
    <x v="0"/>
    <s v="Kommunal Boenhet"/>
    <n v="254"/>
    <s v="Helse og mestring"/>
    <x v="1"/>
    <x v="1"/>
    <n v="1120"/>
    <n v="112013"/>
    <s v="MOTPOST GAVE EKOM USKATT (LT 4802)"/>
    <n v="0"/>
    <n v="-366"/>
    <n v="366"/>
    <n v="-366"/>
  </r>
  <r>
    <x v="7"/>
    <s v="August"/>
    <n v="8"/>
    <s v="T2"/>
    <x v="0"/>
    <s v="Kommunal Boenhet"/>
    <n v="254"/>
    <s v="Helse og mestring"/>
    <x v="1"/>
    <x v="1"/>
    <n v="1120"/>
    <n v="112013"/>
    <s v="MOTPOST GAVE EKOM USKATT (LT 4802)"/>
    <n v="0"/>
    <n v="-366"/>
    <n v="366"/>
    <n v="-366"/>
  </r>
  <r>
    <x v="8"/>
    <s v="September"/>
    <n v="9"/>
    <s v="T3"/>
    <x v="1"/>
    <s v="Kommunal Boenhet"/>
    <n v="254"/>
    <s v="Helse og mestring"/>
    <x v="1"/>
    <x v="1"/>
    <n v="1120"/>
    <n v="112013"/>
    <s v="MOTPOST GAVE EKOM USKATT (LT 4802)"/>
    <n v="0"/>
    <n v="0"/>
    <n v="0"/>
    <n v="0"/>
  </r>
  <r>
    <x v="9"/>
    <s v="Oktober"/>
    <n v="10"/>
    <s v="T3"/>
    <x v="1"/>
    <s v="Kommunal Boenhet"/>
    <n v="254"/>
    <s v="Helse og mestring"/>
    <x v="1"/>
    <x v="1"/>
    <n v="1120"/>
    <n v="112013"/>
    <s v="MOTPOST GAVE EKOM USKATT (LT 4802)"/>
    <n v="0"/>
    <n v="0"/>
    <n v="0"/>
    <n v="0"/>
  </r>
  <r>
    <x v="10"/>
    <s v="November"/>
    <n v="11"/>
    <s v="T3"/>
    <x v="1"/>
    <s v="Kommunal Boenhet"/>
    <n v="254"/>
    <s v="Helse og mestring"/>
    <x v="1"/>
    <x v="1"/>
    <n v="1120"/>
    <n v="112013"/>
    <s v="MOTPOST GAVE EKOM USKATT (LT 4802)"/>
    <n v="0"/>
    <n v="0"/>
    <n v="0"/>
    <n v="0"/>
  </r>
  <r>
    <x v="11"/>
    <s v="Desember"/>
    <n v="12"/>
    <s v="T3"/>
    <x v="1"/>
    <s v="Kommunal Boenhet"/>
    <n v="254"/>
    <s v="Helse og mestring"/>
    <x v="1"/>
    <x v="1"/>
    <n v="1120"/>
    <n v="112013"/>
    <s v="MOTPOST GAVE EKOM USKATT (LT 4802)"/>
    <n v="0"/>
    <n v="0"/>
    <n v="0"/>
    <n v="0"/>
  </r>
  <r>
    <x v="0"/>
    <s v="Januar"/>
    <n v="1"/>
    <s v="T1"/>
    <x v="0"/>
    <s v="Kommunal Boenhet"/>
    <n v="254"/>
    <s v="Helse og mestring"/>
    <x v="1"/>
    <x v="1"/>
    <n v="1120"/>
    <n v="112020"/>
    <s v="Plast og papir"/>
    <n v="0"/>
    <n v="786.64"/>
    <n v="-786.64"/>
    <n v="786.64"/>
  </r>
  <r>
    <x v="1"/>
    <s v="Februar"/>
    <n v="2"/>
    <s v="T1"/>
    <x v="0"/>
    <s v="Kommunal Boenhet"/>
    <n v="254"/>
    <s v="Helse og mestring"/>
    <x v="1"/>
    <x v="1"/>
    <n v="1120"/>
    <n v="112020"/>
    <s v="Plast og papir"/>
    <n v="0"/>
    <n v="0"/>
    <n v="0"/>
    <n v="0"/>
  </r>
  <r>
    <x v="2"/>
    <s v="Mars"/>
    <n v="3"/>
    <s v="T1"/>
    <x v="0"/>
    <s v="Kommunal Boenhet"/>
    <n v="254"/>
    <s v="Helse og mestring"/>
    <x v="1"/>
    <x v="1"/>
    <n v="1120"/>
    <n v="112020"/>
    <s v="Plast og papir"/>
    <n v="0"/>
    <n v="0"/>
    <n v="0"/>
    <n v="0"/>
  </r>
  <r>
    <x v="3"/>
    <s v="April"/>
    <n v="4"/>
    <s v="T1"/>
    <x v="0"/>
    <s v="Kommunal Boenhet"/>
    <n v="254"/>
    <s v="Helse og mestring"/>
    <x v="1"/>
    <x v="1"/>
    <n v="1120"/>
    <n v="112020"/>
    <s v="Plast og papir"/>
    <n v="0"/>
    <n v="0"/>
    <n v="0"/>
    <n v="0"/>
  </r>
  <r>
    <x v="4"/>
    <s v="Mai"/>
    <n v="5"/>
    <s v="T2"/>
    <x v="0"/>
    <s v="Kommunal Boenhet"/>
    <n v="254"/>
    <s v="Helse og mestring"/>
    <x v="1"/>
    <x v="1"/>
    <n v="1120"/>
    <n v="112020"/>
    <s v="Plast og papir"/>
    <n v="0"/>
    <n v="0"/>
    <n v="0"/>
    <n v="0"/>
  </r>
  <r>
    <x v="5"/>
    <s v="Juni"/>
    <n v="6"/>
    <s v="T2"/>
    <x v="0"/>
    <s v="Kommunal Boenhet"/>
    <n v="254"/>
    <s v="Helse og mestring"/>
    <x v="1"/>
    <x v="1"/>
    <n v="1120"/>
    <n v="112020"/>
    <s v="Plast og papir"/>
    <n v="0"/>
    <n v="0"/>
    <n v="0"/>
    <n v="0"/>
  </r>
  <r>
    <x v="6"/>
    <s v="Juli"/>
    <n v="7"/>
    <s v="T2"/>
    <x v="0"/>
    <s v="Kommunal Boenhet"/>
    <n v="254"/>
    <s v="Helse og mestring"/>
    <x v="1"/>
    <x v="1"/>
    <n v="1120"/>
    <n v="112020"/>
    <s v="Plast og papir"/>
    <n v="0"/>
    <n v="0"/>
    <n v="0"/>
    <n v="0"/>
  </r>
  <r>
    <x v="7"/>
    <s v="August"/>
    <n v="8"/>
    <s v="T2"/>
    <x v="0"/>
    <s v="Kommunal Boenhet"/>
    <n v="254"/>
    <s v="Helse og mestring"/>
    <x v="1"/>
    <x v="1"/>
    <n v="1120"/>
    <n v="112020"/>
    <s v="Plast og papir"/>
    <n v="0"/>
    <n v="0"/>
    <n v="0"/>
    <n v="0"/>
  </r>
  <r>
    <x v="8"/>
    <s v="September"/>
    <n v="9"/>
    <s v="T3"/>
    <x v="1"/>
    <s v="Kommunal Boenhet"/>
    <n v="254"/>
    <s v="Helse og mestring"/>
    <x v="1"/>
    <x v="1"/>
    <n v="1120"/>
    <n v="112020"/>
    <s v="Plast og papir"/>
    <n v="0"/>
    <n v="0"/>
    <n v="0"/>
    <n v="0"/>
  </r>
  <r>
    <x v="9"/>
    <s v="Oktober"/>
    <n v="10"/>
    <s v="T3"/>
    <x v="1"/>
    <s v="Kommunal Boenhet"/>
    <n v="254"/>
    <s v="Helse og mestring"/>
    <x v="1"/>
    <x v="1"/>
    <n v="1120"/>
    <n v="112020"/>
    <s v="Plast og papir"/>
    <n v="0"/>
    <n v="0"/>
    <n v="0"/>
    <n v="0"/>
  </r>
  <r>
    <x v="10"/>
    <s v="November"/>
    <n v="11"/>
    <s v="T3"/>
    <x v="1"/>
    <s v="Kommunal Boenhet"/>
    <n v="254"/>
    <s v="Helse og mestring"/>
    <x v="1"/>
    <x v="1"/>
    <n v="1120"/>
    <n v="112020"/>
    <s v="Plast og papir"/>
    <n v="0"/>
    <n v="0"/>
    <n v="0"/>
    <n v="0"/>
  </r>
  <r>
    <x v="11"/>
    <s v="Desember"/>
    <n v="12"/>
    <s v="T3"/>
    <x v="1"/>
    <s v="Kommunal Boenhet"/>
    <n v="254"/>
    <s v="Helse og mestring"/>
    <x v="1"/>
    <x v="1"/>
    <n v="1120"/>
    <n v="112020"/>
    <s v="Plast og papir"/>
    <n v="0"/>
    <n v="0"/>
    <n v="0"/>
    <n v="0"/>
  </r>
  <r>
    <x v="0"/>
    <s v="Januar"/>
    <n v="1"/>
    <s v="T1"/>
    <x v="0"/>
    <s v="Kommunal Boenhet"/>
    <n v="254"/>
    <s v="Helse og mestring"/>
    <x v="1"/>
    <x v="1"/>
    <n v="1120"/>
    <n v="112021"/>
    <s v="Renholdsutstyr"/>
    <n v="1868"/>
    <n v="805.51"/>
    <n v="1062.49"/>
    <n v="-1062.49"/>
  </r>
  <r>
    <x v="1"/>
    <s v="Februar"/>
    <n v="2"/>
    <s v="T1"/>
    <x v="0"/>
    <s v="Kommunal Boenhet"/>
    <n v="254"/>
    <s v="Helse og mestring"/>
    <x v="1"/>
    <x v="1"/>
    <n v="1120"/>
    <n v="112021"/>
    <s v="Renholdsutstyr"/>
    <n v="1868"/>
    <n v="0"/>
    <n v="1868"/>
    <n v="-1868"/>
  </r>
  <r>
    <x v="2"/>
    <s v="Mars"/>
    <n v="3"/>
    <s v="T1"/>
    <x v="0"/>
    <s v="Kommunal Boenhet"/>
    <n v="254"/>
    <s v="Helse og mestring"/>
    <x v="1"/>
    <x v="1"/>
    <n v="1120"/>
    <n v="112021"/>
    <s v="Renholdsutstyr"/>
    <n v="1868"/>
    <n v="0"/>
    <n v="1868"/>
    <n v="-1868"/>
  </r>
  <r>
    <x v="3"/>
    <s v="April"/>
    <n v="4"/>
    <s v="T1"/>
    <x v="0"/>
    <s v="Kommunal Boenhet"/>
    <n v="254"/>
    <s v="Helse og mestring"/>
    <x v="1"/>
    <x v="1"/>
    <n v="1120"/>
    <n v="112021"/>
    <s v="Renholdsutstyr"/>
    <n v="1868"/>
    <n v="5108.25"/>
    <n v="-3240.25"/>
    <n v="3240.25"/>
  </r>
  <r>
    <x v="4"/>
    <s v="Mai"/>
    <n v="5"/>
    <s v="T2"/>
    <x v="0"/>
    <s v="Kommunal Boenhet"/>
    <n v="254"/>
    <s v="Helse og mestring"/>
    <x v="1"/>
    <x v="1"/>
    <n v="1120"/>
    <n v="112021"/>
    <s v="Renholdsutstyr"/>
    <n v="1868"/>
    <n v="1999.8"/>
    <n v="-131.80000000000001"/>
    <n v="131.80000000000001"/>
  </r>
  <r>
    <x v="5"/>
    <s v="Juni"/>
    <n v="6"/>
    <s v="T2"/>
    <x v="0"/>
    <s v="Kommunal Boenhet"/>
    <n v="254"/>
    <s v="Helse og mestring"/>
    <x v="1"/>
    <x v="1"/>
    <n v="1120"/>
    <n v="112021"/>
    <s v="Renholdsutstyr"/>
    <n v="1868"/>
    <n v="2043.3"/>
    <n v="-175.3"/>
    <n v="175.3"/>
  </r>
  <r>
    <x v="6"/>
    <s v="Juli"/>
    <n v="7"/>
    <s v="T2"/>
    <x v="0"/>
    <s v="Kommunal Boenhet"/>
    <n v="254"/>
    <s v="Helse og mestring"/>
    <x v="1"/>
    <x v="1"/>
    <n v="1120"/>
    <n v="112021"/>
    <s v="Renholdsutstyr"/>
    <n v="1868"/>
    <n v="0"/>
    <n v="1868"/>
    <n v="-1868"/>
  </r>
  <r>
    <x v="7"/>
    <s v="August"/>
    <n v="8"/>
    <s v="T2"/>
    <x v="0"/>
    <s v="Kommunal Boenhet"/>
    <n v="254"/>
    <s v="Helse og mestring"/>
    <x v="1"/>
    <x v="1"/>
    <n v="1120"/>
    <n v="112021"/>
    <s v="Renholdsutstyr"/>
    <n v="1868"/>
    <n v="0"/>
    <n v="1868"/>
    <n v="-1868"/>
  </r>
  <r>
    <x v="8"/>
    <s v="September"/>
    <n v="9"/>
    <s v="T3"/>
    <x v="1"/>
    <s v="Kommunal Boenhet"/>
    <n v="254"/>
    <s v="Helse og mestring"/>
    <x v="1"/>
    <x v="1"/>
    <n v="1120"/>
    <n v="112021"/>
    <s v="Renholdsutstyr"/>
    <n v="1868"/>
    <n v="0"/>
    <n v="0"/>
    <n v="-1868"/>
  </r>
  <r>
    <x v="9"/>
    <s v="Oktober"/>
    <n v="10"/>
    <s v="T3"/>
    <x v="1"/>
    <s v="Kommunal Boenhet"/>
    <n v="254"/>
    <s v="Helse og mestring"/>
    <x v="1"/>
    <x v="1"/>
    <n v="1120"/>
    <n v="112021"/>
    <s v="Renholdsutstyr"/>
    <n v="1868"/>
    <n v="0"/>
    <n v="0"/>
    <n v="-1868"/>
  </r>
  <r>
    <x v="10"/>
    <s v="November"/>
    <n v="11"/>
    <s v="T3"/>
    <x v="1"/>
    <s v="Kommunal Boenhet"/>
    <n v="254"/>
    <s v="Helse og mestring"/>
    <x v="1"/>
    <x v="1"/>
    <n v="1120"/>
    <n v="112021"/>
    <s v="Renholdsutstyr"/>
    <n v="1868"/>
    <n v="0"/>
    <n v="0"/>
    <n v="-1868"/>
  </r>
  <r>
    <x v="11"/>
    <s v="Desember"/>
    <n v="12"/>
    <s v="T3"/>
    <x v="1"/>
    <s v="Kommunal Boenhet"/>
    <n v="254"/>
    <s v="Helse og mestring"/>
    <x v="1"/>
    <x v="1"/>
    <n v="1120"/>
    <n v="112021"/>
    <s v="Renholdsutstyr"/>
    <n v="1452"/>
    <n v="0"/>
    <n v="0"/>
    <n v="-1452"/>
  </r>
  <r>
    <x v="0"/>
    <s v="Januar"/>
    <n v="1"/>
    <s v="T1"/>
    <x v="0"/>
    <s v="Kommunal Boenhet"/>
    <n v="254"/>
    <s v="Helse og mestring"/>
    <x v="1"/>
    <x v="1"/>
    <n v="1120"/>
    <n v="112022"/>
    <s v="Rengjøringsmidler"/>
    <n v="850"/>
    <n v="7132.57"/>
    <n v="-6282.57"/>
    <n v="6282.57"/>
  </r>
  <r>
    <x v="1"/>
    <s v="Februar"/>
    <n v="2"/>
    <s v="T1"/>
    <x v="0"/>
    <s v="Kommunal Boenhet"/>
    <n v="254"/>
    <s v="Helse og mestring"/>
    <x v="1"/>
    <x v="1"/>
    <n v="1120"/>
    <n v="112022"/>
    <s v="Rengjøringsmidler"/>
    <n v="850"/>
    <n v="0"/>
    <n v="850"/>
    <n v="-850"/>
  </r>
  <r>
    <x v="2"/>
    <s v="Mars"/>
    <n v="3"/>
    <s v="T1"/>
    <x v="0"/>
    <s v="Kommunal Boenhet"/>
    <n v="254"/>
    <s v="Helse og mestring"/>
    <x v="1"/>
    <x v="1"/>
    <n v="1120"/>
    <n v="112022"/>
    <s v="Rengjøringsmidler"/>
    <n v="850"/>
    <n v="0"/>
    <n v="850"/>
    <n v="-850"/>
  </r>
  <r>
    <x v="3"/>
    <s v="April"/>
    <n v="4"/>
    <s v="T1"/>
    <x v="0"/>
    <s v="Kommunal Boenhet"/>
    <n v="254"/>
    <s v="Helse og mestring"/>
    <x v="1"/>
    <x v="1"/>
    <n v="1120"/>
    <n v="112022"/>
    <s v="Rengjøringsmidler"/>
    <n v="850"/>
    <n v="0"/>
    <n v="850"/>
    <n v="-850"/>
  </r>
  <r>
    <x v="4"/>
    <s v="Mai"/>
    <n v="5"/>
    <s v="T2"/>
    <x v="0"/>
    <s v="Kommunal Boenhet"/>
    <n v="254"/>
    <s v="Helse og mestring"/>
    <x v="1"/>
    <x v="1"/>
    <n v="1120"/>
    <n v="112022"/>
    <s v="Rengjøringsmidler"/>
    <n v="850"/>
    <n v="0"/>
    <n v="850"/>
    <n v="-850"/>
  </r>
  <r>
    <x v="5"/>
    <s v="Juni"/>
    <n v="6"/>
    <s v="T2"/>
    <x v="0"/>
    <s v="Kommunal Boenhet"/>
    <n v="254"/>
    <s v="Helse og mestring"/>
    <x v="1"/>
    <x v="1"/>
    <n v="1120"/>
    <n v="112022"/>
    <s v="Rengjøringsmidler"/>
    <n v="850"/>
    <n v="0"/>
    <n v="850"/>
    <n v="-850"/>
  </r>
  <r>
    <x v="6"/>
    <s v="Juli"/>
    <n v="7"/>
    <s v="T2"/>
    <x v="0"/>
    <s v="Kommunal Boenhet"/>
    <n v="254"/>
    <s v="Helse og mestring"/>
    <x v="1"/>
    <x v="1"/>
    <n v="1120"/>
    <n v="112022"/>
    <s v="Rengjøringsmidler"/>
    <n v="850"/>
    <n v="0"/>
    <n v="850"/>
    <n v="-850"/>
  </r>
  <r>
    <x v="7"/>
    <s v="August"/>
    <n v="8"/>
    <s v="T2"/>
    <x v="0"/>
    <s v="Kommunal Boenhet"/>
    <n v="254"/>
    <s v="Helse og mestring"/>
    <x v="1"/>
    <x v="1"/>
    <n v="1120"/>
    <n v="112022"/>
    <s v="Rengjøringsmidler"/>
    <n v="850"/>
    <n v="0"/>
    <n v="850"/>
    <n v="-850"/>
  </r>
  <r>
    <x v="8"/>
    <s v="September"/>
    <n v="9"/>
    <s v="T3"/>
    <x v="1"/>
    <s v="Kommunal Boenhet"/>
    <n v="254"/>
    <s v="Helse og mestring"/>
    <x v="1"/>
    <x v="1"/>
    <n v="1120"/>
    <n v="112022"/>
    <s v="Rengjøringsmidler"/>
    <n v="850"/>
    <n v="0"/>
    <n v="0"/>
    <n v="-850"/>
  </r>
  <r>
    <x v="9"/>
    <s v="Oktober"/>
    <n v="10"/>
    <s v="T3"/>
    <x v="1"/>
    <s v="Kommunal Boenhet"/>
    <n v="254"/>
    <s v="Helse og mestring"/>
    <x v="1"/>
    <x v="1"/>
    <n v="1120"/>
    <n v="112022"/>
    <s v="Rengjøringsmidler"/>
    <n v="850"/>
    <n v="0"/>
    <n v="0"/>
    <n v="-850"/>
  </r>
  <r>
    <x v="10"/>
    <s v="November"/>
    <n v="11"/>
    <s v="T3"/>
    <x v="1"/>
    <s v="Kommunal Boenhet"/>
    <n v="254"/>
    <s v="Helse og mestring"/>
    <x v="1"/>
    <x v="1"/>
    <n v="1120"/>
    <n v="112022"/>
    <s v="Rengjøringsmidler"/>
    <n v="850"/>
    <n v="0"/>
    <n v="0"/>
    <n v="-850"/>
  </r>
  <r>
    <x v="11"/>
    <s v="Desember"/>
    <n v="12"/>
    <s v="T3"/>
    <x v="1"/>
    <s v="Kommunal Boenhet"/>
    <n v="254"/>
    <s v="Helse og mestring"/>
    <x v="1"/>
    <x v="1"/>
    <n v="1120"/>
    <n v="112022"/>
    <s v="Rengjøringsmidler"/>
    <n v="650"/>
    <n v="0"/>
    <n v="0"/>
    <n v="-650"/>
  </r>
  <r>
    <x v="0"/>
    <s v="Januar"/>
    <n v="1"/>
    <s v="T1"/>
    <x v="0"/>
    <s v="Kommunal Boenhet"/>
    <n v="254"/>
    <s v="Helse og mestring"/>
    <x v="1"/>
    <x v="1"/>
    <n v="1120"/>
    <n v="112024"/>
    <s v="Tekstiler og gardiner"/>
    <n v="0"/>
    <n v="0"/>
    <n v="0"/>
    <n v="0"/>
  </r>
  <r>
    <x v="1"/>
    <s v="Februar"/>
    <n v="2"/>
    <s v="T1"/>
    <x v="0"/>
    <s v="Kommunal Boenhet"/>
    <n v="254"/>
    <s v="Helse og mestring"/>
    <x v="1"/>
    <x v="1"/>
    <n v="1120"/>
    <n v="112024"/>
    <s v="Tekstiler og gardiner"/>
    <n v="0"/>
    <n v="0"/>
    <n v="0"/>
    <n v="0"/>
  </r>
  <r>
    <x v="2"/>
    <s v="Mars"/>
    <n v="3"/>
    <s v="T1"/>
    <x v="0"/>
    <s v="Kommunal Boenhet"/>
    <n v="254"/>
    <s v="Helse og mestring"/>
    <x v="1"/>
    <x v="1"/>
    <n v="1120"/>
    <n v="112024"/>
    <s v="Tekstiler og gardiner"/>
    <n v="0"/>
    <n v="0"/>
    <n v="0"/>
    <n v="0"/>
  </r>
  <r>
    <x v="3"/>
    <s v="April"/>
    <n v="4"/>
    <s v="T1"/>
    <x v="0"/>
    <s v="Kommunal Boenhet"/>
    <n v="254"/>
    <s v="Helse og mestring"/>
    <x v="1"/>
    <x v="1"/>
    <n v="1120"/>
    <n v="112024"/>
    <s v="Tekstiler og gardiner"/>
    <n v="0"/>
    <n v="0"/>
    <n v="0"/>
    <n v="0"/>
  </r>
  <r>
    <x v="4"/>
    <s v="Mai"/>
    <n v="5"/>
    <s v="T2"/>
    <x v="0"/>
    <s v="Kommunal Boenhet"/>
    <n v="254"/>
    <s v="Helse og mestring"/>
    <x v="1"/>
    <x v="1"/>
    <n v="1120"/>
    <n v="112024"/>
    <s v="Tekstiler og gardiner"/>
    <n v="0"/>
    <n v="0"/>
    <n v="0"/>
    <n v="0"/>
  </r>
  <r>
    <x v="5"/>
    <s v="Juni"/>
    <n v="6"/>
    <s v="T2"/>
    <x v="0"/>
    <s v="Kommunal Boenhet"/>
    <n v="254"/>
    <s v="Helse og mestring"/>
    <x v="1"/>
    <x v="1"/>
    <n v="1120"/>
    <n v="112024"/>
    <s v="Tekstiler og gardiner"/>
    <n v="0"/>
    <n v="0"/>
    <n v="0"/>
    <n v="0"/>
  </r>
  <r>
    <x v="6"/>
    <s v="Juli"/>
    <n v="7"/>
    <s v="T2"/>
    <x v="0"/>
    <s v="Kommunal Boenhet"/>
    <n v="254"/>
    <s v="Helse og mestring"/>
    <x v="1"/>
    <x v="1"/>
    <n v="1120"/>
    <n v="112024"/>
    <s v="Tekstiler og gardiner"/>
    <n v="0"/>
    <n v="600"/>
    <n v="-600"/>
    <n v="600"/>
  </r>
  <r>
    <x v="7"/>
    <s v="August"/>
    <n v="8"/>
    <s v="T2"/>
    <x v="0"/>
    <s v="Kommunal Boenhet"/>
    <n v="254"/>
    <s v="Helse og mestring"/>
    <x v="1"/>
    <x v="1"/>
    <n v="1120"/>
    <n v="112024"/>
    <s v="Tekstiler og gardiner"/>
    <n v="0"/>
    <n v="0"/>
    <n v="0"/>
    <n v="0"/>
  </r>
  <r>
    <x v="8"/>
    <s v="September"/>
    <n v="9"/>
    <s v="T3"/>
    <x v="1"/>
    <s v="Kommunal Boenhet"/>
    <n v="254"/>
    <s v="Helse og mestring"/>
    <x v="1"/>
    <x v="1"/>
    <n v="1120"/>
    <n v="112024"/>
    <s v="Tekstiler og gardiner"/>
    <n v="0"/>
    <n v="0"/>
    <n v="0"/>
    <n v="0"/>
  </r>
  <r>
    <x v="9"/>
    <s v="Oktober"/>
    <n v="10"/>
    <s v="T3"/>
    <x v="1"/>
    <s v="Kommunal Boenhet"/>
    <n v="254"/>
    <s v="Helse og mestring"/>
    <x v="1"/>
    <x v="1"/>
    <n v="1120"/>
    <n v="112024"/>
    <s v="Tekstiler og gardiner"/>
    <n v="0"/>
    <n v="0"/>
    <n v="0"/>
    <n v="0"/>
  </r>
  <r>
    <x v="10"/>
    <s v="November"/>
    <n v="11"/>
    <s v="T3"/>
    <x v="1"/>
    <s v="Kommunal Boenhet"/>
    <n v="254"/>
    <s v="Helse og mestring"/>
    <x v="1"/>
    <x v="1"/>
    <n v="1120"/>
    <n v="112024"/>
    <s v="Tekstiler og gardiner"/>
    <n v="0"/>
    <n v="0"/>
    <n v="0"/>
    <n v="0"/>
  </r>
  <r>
    <x v="11"/>
    <s v="Desember"/>
    <n v="12"/>
    <s v="T3"/>
    <x v="1"/>
    <s v="Kommunal Boenhet"/>
    <n v="254"/>
    <s v="Helse og mestring"/>
    <x v="1"/>
    <x v="1"/>
    <n v="1120"/>
    <n v="112024"/>
    <s v="Tekstiler og gardiner"/>
    <n v="0"/>
    <n v="0"/>
    <n v="0"/>
    <n v="0"/>
  </r>
  <r>
    <x v="0"/>
    <s v="Januar"/>
    <n v="1"/>
    <s v="T1"/>
    <x v="0"/>
    <s v="Kommunal Boenhet"/>
    <n v="254"/>
    <s v="Helse og mestring"/>
    <x v="1"/>
    <x v="1"/>
    <n v="1120"/>
    <n v="112025"/>
    <s v="Planter"/>
    <n v="0"/>
    <n v="0"/>
    <n v="0"/>
    <n v="0"/>
  </r>
  <r>
    <x v="1"/>
    <s v="Februar"/>
    <n v="2"/>
    <s v="T1"/>
    <x v="0"/>
    <s v="Kommunal Boenhet"/>
    <n v="254"/>
    <s v="Helse og mestring"/>
    <x v="1"/>
    <x v="1"/>
    <n v="1120"/>
    <n v="112025"/>
    <s v="Planter"/>
    <n v="0"/>
    <n v="0"/>
    <n v="0"/>
    <n v="0"/>
  </r>
  <r>
    <x v="2"/>
    <s v="Mars"/>
    <n v="3"/>
    <s v="T1"/>
    <x v="0"/>
    <s v="Kommunal Boenhet"/>
    <n v="254"/>
    <s v="Helse og mestring"/>
    <x v="1"/>
    <x v="1"/>
    <n v="1120"/>
    <n v="112025"/>
    <s v="Planter"/>
    <n v="0"/>
    <n v="0"/>
    <n v="0"/>
    <n v="0"/>
  </r>
  <r>
    <x v="3"/>
    <s v="April"/>
    <n v="4"/>
    <s v="T1"/>
    <x v="0"/>
    <s v="Kommunal Boenhet"/>
    <n v="254"/>
    <s v="Helse og mestring"/>
    <x v="1"/>
    <x v="1"/>
    <n v="1120"/>
    <n v="112025"/>
    <s v="Planter"/>
    <n v="0"/>
    <n v="0"/>
    <n v="0"/>
    <n v="0"/>
  </r>
  <r>
    <x v="4"/>
    <s v="Mai"/>
    <n v="5"/>
    <s v="T2"/>
    <x v="0"/>
    <s v="Kommunal Boenhet"/>
    <n v="254"/>
    <s v="Helse og mestring"/>
    <x v="1"/>
    <x v="1"/>
    <n v="1120"/>
    <n v="112025"/>
    <s v="Planter"/>
    <n v="0"/>
    <n v="0"/>
    <n v="0"/>
    <n v="0"/>
  </r>
  <r>
    <x v="5"/>
    <s v="Juni"/>
    <n v="6"/>
    <s v="T2"/>
    <x v="0"/>
    <s v="Kommunal Boenhet"/>
    <n v="254"/>
    <s v="Helse og mestring"/>
    <x v="1"/>
    <x v="1"/>
    <n v="1120"/>
    <n v="112025"/>
    <s v="Planter"/>
    <n v="0"/>
    <n v="3486"/>
    <n v="-3486"/>
    <n v="3486"/>
  </r>
  <r>
    <x v="6"/>
    <s v="Juli"/>
    <n v="7"/>
    <s v="T2"/>
    <x v="0"/>
    <s v="Kommunal Boenhet"/>
    <n v="254"/>
    <s v="Helse og mestring"/>
    <x v="1"/>
    <x v="1"/>
    <n v="1120"/>
    <n v="112025"/>
    <s v="Planter"/>
    <n v="0"/>
    <n v="0"/>
    <n v="0"/>
    <n v="0"/>
  </r>
  <r>
    <x v="7"/>
    <s v="August"/>
    <n v="8"/>
    <s v="T2"/>
    <x v="0"/>
    <s v="Kommunal Boenhet"/>
    <n v="254"/>
    <s v="Helse og mestring"/>
    <x v="1"/>
    <x v="1"/>
    <n v="1120"/>
    <n v="112025"/>
    <s v="Planter"/>
    <n v="0"/>
    <n v="0"/>
    <n v="0"/>
    <n v="0"/>
  </r>
  <r>
    <x v="8"/>
    <s v="September"/>
    <n v="9"/>
    <s v="T3"/>
    <x v="1"/>
    <s v="Kommunal Boenhet"/>
    <n v="254"/>
    <s v="Helse og mestring"/>
    <x v="1"/>
    <x v="1"/>
    <n v="1120"/>
    <n v="112025"/>
    <s v="Planter"/>
    <n v="0"/>
    <n v="0"/>
    <n v="0"/>
    <n v="0"/>
  </r>
  <r>
    <x v="9"/>
    <s v="Oktober"/>
    <n v="10"/>
    <s v="T3"/>
    <x v="1"/>
    <s v="Kommunal Boenhet"/>
    <n v="254"/>
    <s v="Helse og mestring"/>
    <x v="1"/>
    <x v="1"/>
    <n v="1120"/>
    <n v="112025"/>
    <s v="Planter"/>
    <n v="0"/>
    <n v="0"/>
    <n v="0"/>
    <n v="0"/>
  </r>
  <r>
    <x v="10"/>
    <s v="November"/>
    <n v="11"/>
    <s v="T3"/>
    <x v="1"/>
    <s v="Kommunal Boenhet"/>
    <n v="254"/>
    <s v="Helse og mestring"/>
    <x v="1"/>
    <x v="1"/>
    <n v="1120"/>
    <n v="112025"/>
    <s v="Planter"/>
    <n v="0"/>
    <n v="0"/>
    <n v="0"/>
    <n v="0"/>
  </r>
  <r>
    <x v="11"/>
    <s v="Desember"/>
    <n v="12"/>
    <s v="T3"/>
    <x v="1"/>
    <s v="Kommunal Boenhet"/>
    <n v="254"/>
    <s v="Helse og mestring"/>
    <x v="1"/>
    <x v="1"/>
    <n v="1120"/>
    <n v="112025"/>
    <s v="Planter"/>
    <n v="0"/>
    <n v="0"/>
    <n v="0"/>
    <n v="0"/>
  </r>
  <r>
    <x v="0"/>
    <s v="Januar"/>
    <n v="1"/>
    <s v="T1"/>
    <x v="0"/>
    <s v="Kommunal Boenhet"/>
    <n v="254"/>
    <s v="Helse og mestring"/>
    <x v="1"/>
    <x v="1"/>
    <n v="1120"/>
    <n v="112060"/>
    <s v="Brukerbelønning"/>
    <n v="170"/>
    <n v="0"/>
    <n v="170"/>
    <n v="-170"/>
  </r>
  <r>
    <x v="1"/>
    <s v="Februar"/>
    <n v="2"/>
    <s v="T1"/>
    <x v="0"/>
    <s v="Kommunal Boenhet"/>
    <n v="254"/>
    <s v="Helse og mestring"/>
    <x v="1"/>
    <x v="1"/>
    <n v="1120"/>
    <n v="112060"/>
    <s v="Brukerbelønning"/>
    <n v="170"/>
    <n v="0"/>
    <n v="170"/>
    <n v="-170"/>
  </r>
  <r>
    <x v="2"/>
    <s v="Mars"/>
    <n v="3"/>
    <s v="T1"/>
    <x v="0"/>
    <s v="Kommunal Boenhet"/>
    <n v="254"/>
    <s v="Helse og mestring"/>
    <x v="1"/>
    <x v="1"/>
    <n v="1120"/>
    <n v="112060"/>
    <s v="Brukerbelønning"/>
    <n v="170"/>
    <n v="0"/>
    <n v="170"/>
    <n v="-170"/>
  </r>
  <r>
    <x v="3"/>
    <s v="April"/>
    <n v="4"/>
    <s v="T1"/>
    <x v="0"/>
    <s v="Kommunal Boenhet"/>
    <n v="254"/>
    <s v="Helse og mestring"/>
    <x v="1"/>
    <x v="1"/>
    <n v="1120"/>
    <n v="112060"/>
    <s v="Brukerbelønning"/>
    <n v="170"/>
    <n v="0"/>
    <n v="170"/>
    <n v="-170"/>
  </r>
  <r>
    <x v="4"/>
    <s v="Mai"/>
    <n v="5"/>
    <s v="T2"/>
    <x v="0"/>
    <s v="Kommunal Boenhet"/>
    <n v="254"/>
    <s v="Helse og mestring"/>
    <x v="1"/>
    <x v="1"/>
    <n v="1120"/>
    <n v="112060"/>
    <s v="Brukerbelønning"/>
    <n v="170"/>
    <n v="0"/>
    <n v="170"/>
    <n v="-170"/>
  </r>
  <r>
    <x v="5"/>
    <s v="Juni"/>
    <n v="6"/>
    <s v="T2"/>
    <x v="0"/>
    <s v="Kommunal Boenhet"/>
    <n v="254"/>
    <s v="Helse og mestring"/>
    <x v="1"/>
    <x v="1"/>
    <n v="1120"/>
    <n v="112060"/>
    <s v="Brukerbelønning"/>
    <n v="170"/>
    <n v="0"/>
    <n v="170"/>
    <n v="-170"/>
  </r>
  <r>
    <x v="6"/>
    <s v="Juli"/>
    <n v="7"/>
    <s v="T2"/>
    <x v="0"/>
    <s v="Kommunal Boenhet"/>
    <n v="254"/>
    <s v="Helse og mestring"/>
    <x v="1"/>
    <x v="1"/>
    <n v="1120"/>
    <n v="112060"/>
    <s v="Brukerbelønning"/>
    <n v="170"/>
    <n v="0"/>
    <n v="170"/>
    <n v="-170"/>
  </r>
  <r>
    <x v="7"/>
    <s v="August"/>
    <n v="8"/>
    <s v="T2"/>
    <x v="0"/>
    <s v="Kommunal Boenhet"/>
    <n v="254"/>
    <s v="Helse og mestring"/>
    <x v="1"/>
    <x v="1"/>
    <n v="1120"/>
    <n v="112060"/>
    <s v="Brukerbelønning"/>
    <n v="170"/>
    <n v="0"/>
    <n v="170"/>
    <n v="-170"/>
  </r>
  <r>
    <x v="8"/>
    <s v="September"/>
    <n v="9"/>
    <s v="T3"/>
    <x v="1"/>
    <s v="Kommunal Boenhet"/>
    <n v="254"/>
    <s v="Helse og mestring"/>
    <x v="1"/>
    <x v="1"/>
    <n v="1120"/>
    <n v="112060"/>
    <s v="Brukerbelønning"/>
    <n v="170"/>
    <n v="0"/>
    <n v="0"/>
    <n v="-170"/>
  </r>
  <r>
    <x v="9"/>
    <s v="Oktober"/>
    <n v="10"/>
    <s v="T3"/>
    <x v="1"/>
    <s v="Kommunal Boenhet"/>
    <n v="254"/>
    <s v="Helse og mestring"/>
    <x v="1"/>
    <x v="1"/>
    <n v="1120"/>
    <n v="112060"/>
    <s v="Brukerbelønning"/>
    <n v="170"/>
    <n v="0"/>
    <n v="0"/>
    <n v="-170"/>
  </r>
  <r>
    <x v="10"/>
    <s v="November"/>
    <n v="11"/>
    <s v="T3"/>
    <x v="1"/>
    <s v="Kommunal Boenhet"/>
    <n v="254"/>
    <s v="Helse og mestring"/>
    <x v="1"/>
    <x v="1"/>
    <n v="1120"/>
    <n v="112060"/>
    <s v="Brukerbelønning"/>
    <n v="170"/>
    <n v="0"/>
    <n v="0"/>
    <n v="-170"/>
  </r>
  <r>
    <x v="11"/>
    <s v="Desember"/>
    <n v="12"/>
    <s v="T3"/>
    <x v="1"/>
    <s v="Kommunal Boenhet"/>
    <n v="254"/>
    <s v="Helse og mestring"/>
    <x v="1"/>
    <x v="1"/>
    <n v="1120"/>
    <n v="112060"/>
    <s v="Brukerbelønning"/>
    <n v="130"/>
    <n v="0"/>
    <n v="0"/>
    <n v="-130"/>
  </r>
  <r>
    <x v="0"/>
    <s v="Januar"/>
    <n v="1"/>
    <s v="T1"/>
    <x v="0"/>
    <s v="Kommunal Boenhet"/>
    <n v="254"/>
    <s v="Helse og mestring"/>
    <x v="1"/>
    <x v="1"/>
    <n v="1120"/>
    <n v="112090"/>
    <s v="Annet forbruksmateriell, varer og tjenester"/>
    <n v="3536"/>
    <n v="4413.72"/>
    <n v="-877.72"/>
    <n v="877.72"/>
  </r>
  <r>
    <x v="1"/>
    <s v="Februar"/>
    <n v="2"/>
    <s v="T1"/>
    <x v="0"/>
    <s v="Kommunal Boenhet"/>
    <n v="254"/>
    <s v="Helse og mestring"/>
    <x v="1"/>
    <x v="1"/>
    <n v="1120"/>
    <n v="112090"/>
    <s v="Annet forbruksmateriell, varer og tjenester"/>
    <n v="3536"/>
    <n v="3804.96"/>
    <n v="-268.95999999999998"/>
    <n v="268.95999999999998"/>
  </r>
  <r>
    <x v="2"/>
    <s v="Mars"/>
    <n v="3"/>
    <s v="T1"/>
    <x v="0"/>
    <s v="Kommunal Boenhet"/>
    <n v="254"/>
    <s v="Helse og mestring"/>
    <x v="1"/>
    <x v="1"/>
    <n v="1120"/>
    <n v="112090"/>
    <s v="Annet forbruksmateriell, varer og tjenester"/>
    <n v="3536"/>
    <n v="2925.8"/>
    <n v="610.20000000000005"/>
    <n v="-610.20000000000005"/>
  </r>
  <r>
    <x v="3"/>
    <s v="April"/>
    <n v="4"/>
    <s v="T1"/>
    <x v="0"/>
    <s v="Kommunal Boenhet"/>
    <n v="254"/>
    <s v="Helse og mestring"/>
    <x v="1"/>
    <x v="1"/>
    <n v="1120"/>
    <n v="112090"/>
    <s v="Annet forbruksmateriell, varer og tjenester"/>
    <n v="3536"/>
    <n v="4818.5"/>
    <n v="-1282.5"/>
    <n v="1282.5"/>
  </r>
  <r>
    <x v="4"/>
    <s v="Mai"/>
    <n v="5"/>
    <s v="T2"/>
    <x v="0"/>
    <s v="Kommunal Boenhet"/>
    <n v="254"/>
    <s v="Helse og mestring"/>
    <x v="1"/>
    <x v="1"/>
    <n v="1120"/>
    <n v="112090"/>
    <s v="Annet forbruksmateriell, varer og tjenester"/>
    <n v="3536"/>
    <n v="4414.29"/>
    <n v="-878.29"/>
    <n v="878.29"/>
  </r>
  <r>
    <x v="5"/>
    <s v="Juni"/>
    <n v="6"/>
    <s v="T2"/>
    <x v="0"/>
    <s v="Kommunal Boenhet"/>
    <n v="254"/>
    <s v="Helse og mestring"/>
    <x v="1"/>
    <x v="1"/>
    <n v="1120"/>
    <n v="112090"/>
    <s v="Annet forbruksmateriell, varer og tjenester"/>
    <n v="3536"/>
    <n v="7675.68"/>
    <n v="-4139.68"/>
    <n v="4139.68"/>
  </r>
  <r>
    <x v="6"/>
    <s v="Juli"/>
    <n v="7"/>
    <s v="T2"/>
    <x v="0"/>
    <s v="Kommunal Boenhet"/>
    <n v="254"/>
    <s v="Helse og mestring"/>
    <x v="1"/>
    <x v="1"/>
    <n v="1120"/>
    <n v="112090"/>
    <s v="Annet forbruksmateriell, varer og tjenester"/>
    <n v="3536"/>
    <n v="1358.36"/>
    <n v="2177.64"/>
    <n v="-2177.64"/>
  </r>
  <r>
    <x v="7"/>
    <s v="August"/>
    <n v="8"/>
    <s v="T2"/>
    <x v="0"/>
    <s v="Kommunal Boenhet"/>
    <n v="254"/>
    <s v="Helse og mestring"/>
    <x v="1"/>
    <x v="1"/>
    <n v="1120"/>
    <n v="112090"/>
    <s v="Annet forbruksmateriell, varer og tjenester"/>
    <n v="3536"/>
    <n v="48.4"/>
    <n v="3487.6"/>
    <n v="-3487.6"/>
  </r>
  <r>
    <x v="8"/>
    <s v="September"/>
    <n v="9"/>
    <s v="T3"/>
    <x v="1"/>
    <s v="Kommunal Boenhet"/>
    <n v="254"/>
    <s v="Helse og mestring"/>
    <x v="1"/>
    <x v="1"/>
    <n v="1120"/>
    <n v="112090"/>
    <s v="Annet forbruksmateriell, varer og tjenester"/>
    <n v="3536"/>
    <n v="0"/>
    <n v="0"/>
    <n v="-3536"/>
  </r>
  <r>
    <x v="9"/>
    <s v="Oktober"/>
    <n v="10"/>
    <s v="T3"/>
    <x v="1"/>
    <s v="Kommunal Boenhet"/>
    <n v="254"/>
    <s v="Helse og mestring"/>
    <x v="1"/>
    <x v="1"/>
    <n v="1120"/>
    <n v="112090"/>
    <s v="Annet forbruksmateriell, varer og tjenester"/>
    <n v="3536"/>
    <n v="0"/>
    <n v="0"/>
    <n v="-3536"/>
  </r>
  <r>
    <x v="10"/>
    <s v="November"/>
    <n v="11"/>
    <s v="T3"/>
    <x v="1"/>
    <s v="Kommunal Boenhet"/>
    <n v="254"/>
    <s v="Helse og mestring"/>
    <x v="1"/>
    <x v="1"/>
    <n v="1120"/>
    <n v="112090"/>
    <s v="Annet forbruksmateriell, varer og tjenester"/>
    <n v="3536"/>
    <n v="0"/>
    <n v="0"/>
    <n v="-3536"/>
  </r>
  <r>
    <x v="11"/>
    <s v="Desember"/>
    <n v="12"/>
    <s v="T3"/>
    <x v="1"/>
    <s v="Kommunal Boenhet"/>
    <n v="254"/>
    <s v="Helse og mestring"/>
    <x v="1"/>
    <x v="1"/>
    <n v="1120"/>
    <n v="112090"/>
    <s v="Annet forbruksmateriell, varer og tjenester"/>
    <n v="4104"/>
    <n v="0"/>
    <n v="0"/>
    <n v="-4104"/>
  </r>
  <r>
    <x v="0"/>
    <s v="Januar"/>
    <n v="1"/>
    <s v="T1"/>
    <x v="0"/>
    <s v="Kommunal Boenhet"/>
    <n v="254"/>
    <s v="Helse og mestring"/>
    <x v="1"/>
    <x v="1"/>
    <n v="1120"/>
    <n v="112098"/>
    <s v="Tilskudd lærlinger (intern)"/>
    <n v="0"/>
    <n v="0"/>
    <n v="0"/>
    <n v="0"/>
  </r>
  <r>
    <x v="1"/>
    <s v="Februar"/>
    <n v="2"/>
    <s v="T1"/>
    <x v="0"/>
    <s v="Kommunal Boenhet"/>
    <n v="254"/>
    <s v="Helse og mestring"/>
    <x v="1"/>
    <x v="1"/>
    <n v="1120"/>
    <n v="112098"/>
    <s v="Tilskudd lærlinger (intern)"/>
    <n v="0"/>
    <n v="0"/>
    <n v="0"/>
    <n v="0"/>
  </r>
  <r>
    <x v="2"/>
    <s v="Mars"/>
    <n v="3"/>
    <s v="T1"/>
    <x v="0"/>
    <s v="Kommunal Boenhet"/>
    <n v="254"/>
    <s v="Helse og mestring"/>
    <x v="1"/>
    <x v="1"/>
    <n v="1120"/>
    <n v="112098"/>
    <s v="Tilskudd lærlinger (intern)"/>
    <n v="0"/>
    <n v="0"/>
    <n v="0"/>
    <n v="0"/>
  </r>
  <r>
    <x v="3"/>
    <s v="April"/>
    <n v="4"/>
    <s v="T1"/>
    <x v="0"/>
    <s v="Kommunal Boenhet"/>
    <n v="254"/>
    <s v="Helse og mestring"/>
    <x v="1"/>
    <x v="1"/>
    <n v="1120"/>
    <n v="112098"/>
    <s v="Tilskudd lærlinger (intern)"/>
    <n v="0"/>
    <n v="-61447"/>
    <n v="61447"/>
    <n v="-61447"/>
  </r>
  <r>
    <x v="4"/>
    <s v="Mai"/>
    <n v="5"/>
    <s v="T2"/>
    <x v="0"/>
    <s v="Kommunal Boenhet"/>
    <n v="254"/>
    <s v="Helse og mestring"/>
    <x v="1"/>
    <x v="1"/>
    <n v="1120"/>
    <n v="112098"/>
    <s v="Tilskudd lærlinger (intern)"/>
    <n v="0"/>
    <n v="0"/>
    <n v="0"/>
    <n v="0"/>
  </r>
  <r>
    <x v="5"/>
    <s v="Juni"/>
    <n v="6"/>
    <s v="T2"/>
    <x v="0"/>
    <s v="Kommunal Boenhet"/>
    <n v="254"/>
    <s v="Helse og mestring"/>
    <x v="1"/>
    <x v="1"/>
    <n v="1120"/>
    <n v="112098"/>
    <s v="Tilskudd lærlinger (intern)"/>
    <n v="0"/>
    <n v="0"/>
    <n v="0"/>
    <n v="0"/>
  </r>
  <r>
    <x v="6"/>
    <s v="Juli"/>
    <n v="7"/>
    <s v="T2"/>
    <x v="0"/>
    <s v="Kommunal Boenhet"/>
    <n v="254"/>
    <s v="Helse og mestring"/>
    <x v="1"/>
    <x v="1"/>
    <n v="1120"/>
    <n v="112098"/>
    <s v="Tilskudd lærlinger (intern)"/>
    <n v="0"/>
    <n v="0"/>
    <n v="0"/>
    <n v="0"/>
  </r>
  <r>
    <x v="7"/>
    <s v="August"/>
    <n v="8"/>
    <s v="T2"/>
    <x v="0"/>
    <s v="Kommunal Boenhet"/>
    <n v="254"/>
    <s v="Helse og mestring"/>
    <x v="1"/>
    <x v="1"/>
    <n v="1120"/>
    <n v="112098"/>
    <s v="Tilskudd lærlinger (intern)"/>
    <n v="0"/>
    <n v="-99000"/>
    <n v="99000"/>
    <n v="-99000"/>
  </r>
  <r>
    <x v="8"/>
    <s v="September"/>
    <n v="9"/>
    <s v="T3"/>
    <x v="1"/>
    <s v="Kommunal Boenhet"/>
    <n v="254"/>
    <s v="Helse og mestring"/>
    <x v="1"/>
    <x v="1"/>
    <n v="1120"/>
    <n v="112098"/>
    <s v="Tilskudd lærlinger (intern)"/>
    <n v="0"/>
    <n v="0"/>
    <n v="0"/>
    <n v="0"/>
  </r>
  <r>
    <x v="9"/>
    <s v="Oktober"/>
    <n v="10"/>
    <s v="T3"/>
    <x v="1"/>
    <s v="Kommunal Boenhet"/>
    <n v="254"/>
    <s v="Helse og mestring"/>
    <x v="1"/>
    <x v="1"/>
    <n v="1120"/>
    <n v="112098"/>
    <s v="Tilskudd lærlinger (intern)"/>
    <n v="0"/>
    <n v="0"/>
    <n v="0"/>
    <n v="0"/>
  </r>
  <r>
    <x v="10"/>
    <s v="November"/>
    <n v="11"/>
    <s v="T3"/>
    <x v="1"/>
    <s v="Kommunal Boenhet"/>
    <n v="254"/>
    <s v="Helse og mestring"/>
    <x v="1"/>
    <x v="1"/>
    <n v="1120"/>
    <n v="112098"/>
    <s v="Tilskudd lærlinger (intern)"/>
    <n v="0"/>
    <n v="0"/>
    <n v="0"/>
    <n v="0"/>
  </r>
  <r>
    <x v="11"/>
    <s v="Desember"/>
    <n v="12"/>
    <s v="T3"/>
    <x v="1"/>
    <s v="Kommunal Boenhet"/>
    <n v="254"/>
    <s v="Helse og mestring"/>
    <x v="1"/>
    <x v="1"/>
    <n v="1120"/>
    <n v="112098"/>
    <s v="Tilskudd lærlinger (intern)"/>
    <n v="0"/>
    <n v="0"/>
    <n v="0"/>
    <n v="0"/>
  </r>
  <r>
    <x v="0"/>
    <s v="Januar"/>
    <n v="1"/>
    <s v="T1"/>
    <x v="0"/>
    <s v="Kommunal Boenhet"/>
    <n v="254"/>
    <s v="Helse og mestring"/>
    <x v="1"/>
    <x v="1"/>
    <n v="1120"/>
    <n v="112099"/>
    <s v="Interne inntekter/utgifter"/>
    <n v="0"/>
    <n v="0"/>
    <n v="0"/>
    <n v="0"/>
  </r>
  <r>
    <x v="1"/>
    <s v="Februar"/>
    <n v="2"/>
    <s v="T1"/>
    <x v="0"/>
    <s v="Kommunal Boenhet"/>
    <n v="254"/>
    <s v="Helse og mestring"/>
    <x v="1"/>
    <x v="1"/>
    <n v="1120"/>
    <n v="112099"/>
    <s v="Interne inntekter/utgifter"/>
    <n v="0"/>
    <n v="0"/>
    <n v="0"/>
    <n v="0"/>
  </r>
  <r>
    <x v="2"/>
    <s v="Mars"/>
    <n v="3"/>
    <s v="T1"/>
    <x v="0"/>
    <s v="Kommunal Boenhet"/>
    <n v="254"/>
    <s v="Helse og mestring"/>
    <x v="1"/>
    <x v="1"/>
    <n v="1120"/>
    <n v="112099"/>
    <s v="Interne inntekter/utgifter"/>
    <n v="0"/>
    <n v="100"/>
    <n v="-100"/>
    <n v="100"/>
  </r>
  <r>
    <x v="3"/>
    <s v="April"/>
    <n v="4"/>
    <s v="T1"/>
    <x v="0"/>
    <s v="Kommunal Boenhet"/>
    <n v="254"/>
    <s v="Helse og mestring"/>
    <x v="1"/>
    <x v="1"/>
    <n v="1120"/>
    <n v="112099"/>
    <s v="Interne inntekter/utgifter"/>
    <n v="0"/>
    <n v="308"/>
    <n v="-308"/>
    <n v="308"/>
  </r>
  <r>
    <x v="4"/>
    <s v="Mai"/>
    <n v="5"/>
    <s v="T2"/>
    <x v="0"/>
    <s v="Kommunal Boenhet"/>
    <n v="254"/>
    <s v="Helse og mestring"/>
    <x v="1"/>
    <x v="1"/>
    <n v="1120"/>
    <n v="112099"/>
    <s v="Interne inntekter/utgifter"/>
    <n v="0"/>
    <n v="0"/>
    <n v="0"/>
    <n v="0"/>
  </r>
  <r>
    <x v="5"/>
    <s v="Juni"/>
    <n v="6"/>
    <s v="T2"/>
    <x v="0"/>
    <s v="Kommunal Boenhet"/>
    <n v="254"/>
    <s v="Helse og mestring"/>
    <x v="1"/>
    <x v="1"/>
    <n v="1120"/>
    <n v="112099"/>
    <s v="Interne inntekter/utgifter"/>
    <n v="0"/>
    <n v="205"/>
    <n v="-205"/>
    <n v="205"/>
  </r>
  <r>
    <x v="6"/>
    <s v="Juli"/>
    <n v="7"/>
    <s v="T2"/>
    <x v="0"/>
    <s v="Kommunal Boenhet"/>
    <n v="254"/>
    <s v="Helse og mestring"/>
    <x v="1"/>
    <x v="1"/>
    <n v="1120"/>
    <n v="112099"/>
    <s v="Interne inntekter/utgifter"/>
    <n v="0"/>
    <n v="0"/>
    <n v="0"/>
    <n v="0"/>
  </r>
  <r>
    <x v="7"/>
    <s v="August"/>
    <n v="8"/>
    <s v="T2"/>
    <x v="0"/>
    <s v="Kommunal Boenhet"/>
    <n v="254"/>
    <s v="Helse og mestring"/>
    <x v="1"/>
    <x v="1"/>
    <n v="1120"/>
    <n v="112099"/>
    <s v="Interne inntekter/utgifter"/>
    <n v="0"/>
    <n v="0"/>
    <n v="0"/>
    <n v="0"/>
  </r>
  <r>
    <x v="8"/>
    <s v="September"/>
    <n v="9"/>
    <s v="T3"/>
    <x v="1"/>
    <s v="Kommunal Boenhet"/>
    <n v="254"/>
    <s v="Helse og mestring"/>
    <x v="1"/>
    <x v="1"/>
    <n v="1120"/>
    <n v="112099"/>
    <s v="Interne inntekter/utgifter"/>
    <n v="0"/>
    <n v="0"/>
    <n v="0"/>
    <n v="0"/>
  </r>
  <r>
    <x v="9"/>
    <s v="Oktober"/>
    <n v="10"/>
    <s v="T3"/>
    <x v="1"/>
    <s v="Kommunal Boenhet"/>
    <n v="254"/>
    <s v="Helse og mestring"/>
    <x v="1"/>
    <x v="1"/>
    <n v="1120"/>
    <n v="112099"/>
    <s v="Interne inntekter/utgifter"/>
    <n v="0"/>
    <n v="0"/>
    <n v="0"/>
    <n v="0"/>
  </r>
  <r>
    <x v="10"/>
    <s v="November"/>
    <n v="11"/>
    <s v="T3"/>
    <x v="1"/>
    <s v="Kommunal Boenhet"/>
    <n v="254"/>
    <s v="Helse og mestring"/>
    <x v="1"/>
    <x v="1"/>
    <n v="1120"/>
    <n v="112099"/>
    <s v="Interne inntekter/utgifter"/>
    <n v="0"/>
    <n v="0"/>
    <n v="0"/>
    <n v="0"/>
  </r>
  <r>
    <x v="11"/>
    <s v="Desember"/>
    <n v="12"/>
    <s v="T3"/>
    <x v="1"/>
    <s v="Kommunal Boenhet"/>
    <n v="254"/>
    <s v="Helse og mestring"/>
    <x v="1"/>
    <x v="1"/>
    <n v="1120"/>
    <n v="112099"/>
    <s v="Interne inntekter/utgifter"/>
    <n v="0"/>
    <n v="0"/>
    <n v="0"/>
    <n v="0"/>
  </r>
  <r>
    <x v="0"/>
    <s v="Januar"/>
    <n v="1"/>
    <s v="T1"/>
    <x v="0"/>
    <s v="Kommunal Boenhet"/>
    <n v="254"/>
    <s v="Helse og mestring"/>
    <x v="1"/>
    <x v="1"/>
    <n v="1130"/>
    <n v="113000"/>
    <s v="Abonnement / samtale for mobil, telefon, nettbrett"/>
    <n v="850"/>
    <n v="0"/>
    <n v="850"/>
    <n v="-850"/>
  </r>
  <r>
    <x v="1"/>
    <s v="Februar"/>
    <n v="2"/>
    <s v="T1"/>
    <x v="0"/>
    <s v="Kommunal Boenhet"/>
    <n v="254"/>
    <s v="Helse og mestring"/>
    <x v="1"/>
    <x v="1"/>
    <n v="1130"/>
    <n v="113000"/>
    <s v="Abonnement / samtale for mobil, telefon, nettbrett"/>
    <n v="850"/>
    <n v="137.99"/>
    <n v="712.01"/>
    <n v="-712.01"/>
  </r>
  <r>
    <x v="2"/>
    <s v="Mars"/>
    <n v="3"/>
    <s v="T1"/>
    <x v="0"/>
    <s v="Kommunal Boenhet"/>
    <n v="254"/>
    <s v="Helse og mestring"/>
    <x v="1"/>
    <x v="1"/>
    <n v="1130"/>
    <n v="113000"/>
    <s v="Abonnement / samtale for mobil, telefon, nettbrett"/>
    <n v="850"/>
    <n v="273.20999999999998"/>
    <n v="576.79"/>
    <n v="-576.79"/>
  </r>
  <r>
    <x v="3"/>
    <s v="April"/>
    <n v="4"/>
    <s v="T1"/>
    <x v="0"/>
    <s v="Kommunal Boenhet"/>
    <n v="254"/>
    <s v="Helse og mestring"/>
    <x v="1"/>
    <x v="1"/>
    <n v="1130"/>
    <n v="113000"/>
    <s v="Abonnement / samtale for mobil, telefon, nettbrett"/>
    <n v="850"/>
    <n v="137"/>
    <n v="713"/>
    <n v="-713"/>
  </r>
  <r>
    <x v="4"/>
    <s v="Mai"/>
    <n v="5"/>
    <s v="T2"/>
    <x v="0"/>
    <s v="Kommunal Boenhet"/>
    <n v="254"/>
    <s v="Helse og mestring"/>
    <x v="1"/>
    <x v="1"/>
    <n v="1130"/>
    <n v="113000"/>
    <s v="Abonnement / samtale for mobil, telefon, nettbrett"/>
    <n v="850"/>
    <n v="138.97999999999999"/>
    <n v="711.02"/>
    <n v="-711.02"/>
  </r>
  <r>
    <x v="5"/>
    <s v="Juni"/>
    <n v="6"/>
    <s v="T2"/>
    <x v="0"/>
    <s v="Kommunal Boenhet"/>
    <n v="254"/>
    <s v="Helse og mestring"/>
    <x v="1"/>
    <x v="1"/>
    <n v="1130"/>
    <n v="113000"/>
    <s v="Abonnement / samtale for mobil, telefon, nettbrett"/>
    <n v="850"/>
    <n v="135.41999999999999"/>
    <n v="714.58"/>
    <n v="-714.58"/>
  </r>
  <r>
    <x v="6"/>
    <s v="Juli"/>
    <n v="7"/>
    <s v="T2"/>
    <x v="0"/>
    <s v="Kommunal Boenhet"/>
    <n v="254"/>
    <s v="Helse og mestring"/>
    <x v="1"/>
    <x v="1"/>
    <n v="1130"/>
    <n v="113000"/>
    <s v="Abonnement / samtale for mobil, telefon, nettbrett"/>
    <n v="850"/>
    <n v="545.08000000000004"/>
    <n v="304.92"/>
    <n v="-304.92"/>
  </r>
  <r>
    <x v="7"/>
    <s v="August"/>
    <n v="8"/>
    <s v="T2"/>
    <x v="0"/>
    <s v="Kommunal Boenhet"/>
    <n v="254"/>
    <s v="Helse og mestring"/>
    <x v="1"/>
    <x v="1"/>
    <n v="1130"/>
    <n v="113000"/>
    <s v="Abonnement / samtale for mobil, telefon, nettbrett"/>
    <n v="850"/>
    <n v="491.99"/>
    <n v="358.01"/>
    <n v="-358.01"/>
  </r>
  <r>
    <x v="8"/>
    <s v="September"/>
    <n v="9"/>
    <s v="T3"/>
    <x v="1"/>
    <s v="Kommunal Boenhet"/>
    <n v="254"/>
    <s v="Helse og mestring"/>
    <x v="1"/>
    <x v="1"/>
    <n v="1130"/>
    <n v="113000"/>
    <s v="Abonnement / samtale for mobil, telefon, nettbrett"/>
    <n v="850"/>
    <n v="0"/>
    <n v="0"/>
    <n v="-850"/>
  </r>
  <r>
    <x v="9"/>
    <s v="Oktober"/>
    <n v="10"/>
    <s v="T3"/>
    <x v="1"/>
    <s v="Kommunal Boenhet"/>
    <n v="254"/>
    <s v="Helse og mestring"/>
    <x v="1"/>
    <x v="1"/>
    <n v="1130"/>
    <n v="113000"/>
    <s v="Abonnement / samtale for mobil, telefon, nettbrett"/>
    <n v="850"/>
    <n v="0"/>
    <n v="0"/>
    <n v="-850"/>
  </r>
  <r>
    <x v="10"/>
    <s v="November"/>
    <n v="11"/>
    <s v="T3"/>
    <x v="1"/>
    <s v="Kommunal Boenhet"/>
    <n v="254"/>
    <s v="Helse og mestring"/>
    <x v="1"/>
    <x v="1"/>
    <n v="1130"/>
    <n v="113000"/>
    <s v="Abonnement / samtale for mobil, telefon, nettbrett"/>
    <n v="850"/>
    <n v="0"/>
    <n v="0"/>
    <n v="-850"/>
  </r>
  <r>
    <x v="11"/>
    <s v="Desember"/>
    <n v="12"/>
    <s v="T3"/>
    <x v="1"/>
    <s v="Kommunal Boenhet"/>
    <n v="254"/>
    <s v="Helse og mestring"/>
    <x v="1"/>
    <x v="1"/>
    <n v="1130"/>
    <n v="113000"/>
    <s v="Abonnement / samtale for mobil, telefon, nettbrett"/>
    <n v="650"/>
    <n v="0"/>
    <n v="0"/>
    <n v="-650"/>
  </r>
  <r>
    <x v="0"/>
    <s v="Januar"/>
    <n v="1"/>
    <s v="T1"/>
    <x v="0"/>
    <s v="Kommunal Boenhet"/>
    <n v="254"/>
    <s v="Helse og mestring"/>
    <x v="1"/>
    <x v="1"/>
    <n v="1130"/>
    <n v="113004"/>
    <s v="Bank og finansielle gebyrer"/>
    <n v="0"/>
    <n v="0"/>
    <n v="0"/>
    <n v="0"/>
  </r>
  <r>
    <x v="1"/>
    <s v="Februar"/>
    <n v="2"/>
    <s v="T1"/>
    <x v="0"/>
    <s v="Kommunal Boenhet"/>
    <n v="254"/>
    <s v="Helse og mestring"/>
    <x v="1"/>
    <x v="1"/>
    <n v="1130"/>
    <n v="113004"/>
    <s v="Bank og finansielle gebyrer"/>
    <n v="0"/>
    <n v="0"/>
    <n v="0"/>
    <n v="0"/>
  </r>
  <r>
    <x v="2"/>
    <s v="Mars"/>
    <n v="3"/>
    <s v="T1"/>
    <x v="0"/>
    <s v="Kommunal Boenhet"/>
    <n v="254"/>
    <s v="Helse og mestring"/>
    <x v="1"/>
    <x v="1"/>
    <n v="1130"/>
    <n v="113004"/>
    <s v="Bank og finansielle gebyrer"/>
    <n v="0"/>
    <n v="0"/>
    <n v="0"/>
    <n v="0"/>
  </r>
  <r>
    <x v="3"/>
    <s v="April"/>
    <n v="4"/>
    <s v="T1"/>
    <x v="0"/>
    <s v="Kommunal Boenhet"/>
    <n v="254"/>
    <s v="Helse og mestring"/>
    <x v="1"/>
    <x v="1"/>
    <n v="1130"/>
    <n v="113004"/>
    <s v="Bank og finansielle gebyrer"/>
    <n v="0"/>
    <n v="0"/>
    <n v="0"/>
    <n v="0"/>
  </r>
  <r>
    <x v="4"/>
    <s v="Mai"/>
    <n v="5"/>
    <s v="T2"/>
    <x v="0"/>
    <s v="Kommunal Boenhet"/>
    <n v="254"/>
    <s v="Helse og mestring"/>
    <x v="1"/>
    <x v="1"/>
    <n v="1130"/>
    <n v="113004"/>
    <s v="Bank og finansielle gebyrer"/>
    <n v="0"/>
    <n v="295"/>
    <n v="-295"/>
    <n v="295"/>
  </r>
  <r>
    <x v="5"/>
    <s v="Juni"/>
    <n v="6"/>
    <s v="T2"/>
    <x v="0"/>
    <s v="Kommunal Boenhet"/>
    <n v="254"/>
    <s v="Helse og mestring"/>
    <x v="1"/>
    <x v="1"/>
    <n v="1130"/>
    <n v="113004"/>
    <s v="Bank og finansielle gebyrer"/>
    <n v="0"/>
    <n v="0"/>
    <n v="0"/>
    <n v="0"/>
  </r>
  <r>
    <x v="6"/>
    <s v="Juli"/>
    <n v="7"/>
    <s v="T2"/>
    <x v="0"/>
    <s v="Kommunal Boenhet"/>
    <n v="254"/>
    <s v="Helse og mestring"/>
    <x v="1"/>
    <x v="1"/>
    <n v="1130"/>
    <n v="113004"/>
    <s v="Bank og finansielle gebyrer"/>
    <n v="0"/>
    <n v="0"/>
    <n v="0"/>
    <n v="0"/>
  </r>
  <r>
    <x v="7"/>
    <s v="August"/>
    <n v="8"/>
    <s v="T2"/>
    <x v="0"/>
    <s v="Kommunal Boenhet"/>
    <n v="254"/>
    <s v="Helse og mestring"/>
    <x v="1"/>
    <x v="1"/>
    <n v="1130"/>
    <n v="113004"/>
    <s v="Bank og finansielle gebyrer"/>
    <n v="0"/>
    <n v="0"/>
    <n v="0"/>
    <n v="0"/>
  </r>
  <r>
    <x v="8"/>
    <s v="September"/>
    <n v="9"/>
    <s v="T3"/>
    <x v="1"/>
    <s v="Kommunal Boenhet"/>
    <n v="254"/>
    <s v="Helse og mestring"/>
    <x v="1"/>
    <x v="1"/>
    <n v="1130"/>
    <n v="113004"/>
    <s v="Bank og finansielle gebyrer"/>
    <n v="0"/>
    <n v="0"/>
    <n v="0"/>
    <n v="0"/>
  </r>
  <r>
    <x v="9"/>
    <s v="Oktober"/>
    <n v="10"/>
    <s v="T3"/>
    <x v="1"/>
    <s v="Kommunal Boenhet"/>
    <n v="254"/>
    <s v="Helse og mestring"/>
    <x v="1"/>
    <x v="1"/>
    <n v="1130"/>
    <n v="113004"/>
    <s v="Bank og finansielle gebyrer"/>
    <n v="0"/>
    <n v="0"/>
    <n v="0"/>
    <n v="0"/>
  </r>
  <r>
    <x v="10"/>
    <s v="November"/>
    <n v="11"/>
    <s v="T3"/>
    <x v="1"/>
    <s v="Kommunal Boenhet"/>
    <n v="254"/>
    <s v="Helse og mestring"/>
    <x v="1"/>
    <x v="1"/>
    <n v="1130"/>
    <n v="113004"/>
    <s v="Bank og finansielle gebyrer"/>
    <n v="0"/>
    <n v="0"/>
    <n v="0"/>
    <n v="0"/>
  </r>
  <r>
    <x v="11"/>
    <s v="Desember"/>
    <n v="12"/>
    <s v="T3"/>
    <x v="1"/>
    <s v="Kommunal Boenhet"/>
    <n v="254"/>
    <s v="Helse og mestring"/>
    <x v="1"/>
    <x v="1"/>
    <n v="1130"/>
    <n v="113004"/>
    <s v="Bank og finansielle gebyrer"/>
    <n v="0"/>
    <n v="0"/>
    <n v="0"/>
    <n v="0"/>
  </r>
  <r>
    <x v="0"/>
    <s v="Januar"/>
    <n v="1"/>
    <s v="T1"/>
    <x v="0"/>
    <s v="Kommunal Boenhet"/>
    <n v="254"/>
    <s v="Helse og mestring"/>
    <x v="1"/>
    <x v="1"/>
    <n v="1140"/>
    <n v="114000"/>
    <s v="Stillingsannonser"/>
    <n v="2550"/>
    <n v="0"/>
    <n v="2550"/>
    <n v="-2550"/>
  </r>
  <r>
    <x v="1"/>
    <s v="Februar"/>
    <n v="2"/>
    <s v="T1"/>
    <x v="0"/>
    <s v="Kommunal Boenhet"/>
    <n v="254"/>
    <s v="Helse og mestring"/>
    <x v="1"/>
    <x v="1"/>
    <n v="1140"/>
    <n v="114000"/>
    <s v="Stillingsannonser"/>
    <n v="2550"/>
    <n v="6875"/>
    <n v="-4325"/>
    <n v="4325"/>
  </r>
  <r>
    <x v="2"/>
    <s v="Mars"/>
    <n v="3"/>
    <s v="T1"/>
    <x v="0"/>
    <s v="Kommunal Boenhet"/>
    <n v="254"/>
    <s v="Helse og mestring"/>
    <x v="1"/>
    <x v="1"/>
    <n v="1140"/>
    <n v="114000"/>
    <s v="Stillingsannonser"/>
    <n v="2550"/>
    <n v="137.5"/>
    <n v="2412.5"/>
    <n v="-2412.5"/>
  </r>
  <r>
    <x v="3"/>
    <s v="April"/>
    <n v="4"/>
    <s v="T1"/>
    <x v="0"/>
    <s v="Kommunal Boenhet"/>
    <n v="254"/>
    <s v="Helse og mestring"/>
    <x v="1"/>
    <x v="1"/>
    <n v="1140"/>
    <n v="114000"/>
    <s v="Stillingsannonser"/>
    <n v="2550"/>
    <n v="0"/>
    <n v="2550"/>
    <n v="-2550"/>
  </r>
  <r>
    <x v="4"/>
    <s v="Mai"/>
    <n v="5"/>
    <s v="T2"/>
    <x v="0"/>
    <s v="Kommunal Boenhet"/>
    <n v="254"/>
    <s v="Helse og mestring"/>
    <x v="1"/>
    <x v="1"/>
    <n v="1140"/>
    <n v="114000"/>
    <s v="Stillingsannonser"/>
    <n v="2550"/>
    <n v="0"/>
    <n v="2550"/>
    <n v="-2550"/>
  </r>
  <r>
    <x v="5"/>
    <s v="Juni"/>
    <n v="6"/>
    <s v="T2"/>
    <x v="0"/>
    <s v="Kommunal Boenhet"/>
    <n v="254"/>
    <s v="Helse og mestring"/>
    <x v="1"/>
    <x v="1"/>
    <n v="1140"/>
    <n v="114000"/>
    <s v="Stillingsannonser"/>
    <n v="2550"/>
    <n v="3300"/>
    <n v="-750"/>
    <n v="750"/>
  </r>
  <r>
    <x v="6"/>
    <s v="Juli"/>
    <n v="7"/>
    <s v="T2"/>
    <x v="0"/>
    <s v="Kommunal Boenhet"/>
    <n v="254"/>
    <s v="Helse og mestring"/>
    <x v="1"/>
    <x v="1"/>
    <n v="1140"/>
    <n v="114000"/>
    <s v="Stillingsannonser"/>
    <n v="2550"/>
    <n v="0"/>
    <n v="2550"/>
    <n v="-2550"/>
  </r>
  <r>
    <x v="7"/>
    <s v="August"/>
    <n v="8"/>
    <s v="T2"/>
    <x v="0"/>
    <s v="Kommunal Boenhet"/>
    <n v="254"/>
    <s v="Helse og mestring"/>
    <x v="1"/>
    <x v="1"/>
    <n v="1140"/>
    <n v="114000"/>
    <s v="Stillingsannonser"/>
    <n v="2550"/>
    <n v="0"/>
    <n v="2550"/>
    <n v="-2550"/>
  </r>
  <r>
    <x v="8"/>
    <s v="September"/>
    <n v="9"/>
    <s v="T3"/>
    <x v="1"/>
    <s v="Kommunal Boenhet"/>
    <n v="254"/>
    <s v="Helse og mestring"/>
    <x v="1"/>
    <x v="1"/>
    <n v="1140"/>
    <n v="114000"/>
    <s v="Stillingsannonser"/>
    <n v="2550"/>
    <n v="0"/>
    <n v="0"/>
    <n v="-2550"/>
  </r>
  <r>
    <x v="9"/>
    <s v="Oktober"/>
    <n v="10"/>
    <s v="T3"/>
    <x v="1"/>
    <s v="Kommunal Boenhet"/>
    <n v="254"/>
    <s v="Helse og mestring"/>
    <x v="1"/>
    <x v="1"/>
    <n v="1140"/>
    <n v="114000"/>
    <s v="Stillingsannonser"/>
    <n v="2550"/>
    <n v="0"/>
    <n v="0"/>
    <n v="-2550"/>
  </r>
  <r>
    <x v="10"/>
    <s v="November"/>
    <n v="11"/>
    <s v="T3"/>
    <x v="1"/>
    <s v="Kommunal Boenhet"/>
    <n v="254"/>
    <s v="Helse og mestring"/>
    <x v="1"/>
    <x v="1"/>
    <n v="1140"/>
    <n v="114000"/>
    <s v="Stillingsannonser"/>
    <n v="2550"/>
    <n v="0"/>
    <n v="0"/>
    <n v="-2550"/>
  </r>
  <r>
    <x v="11"/>
    <s v="Desember"/>
    <n v="12"/>
    <s v="T3"/>
    <x v="1"/>
    <s v="Kommunal Boenhet"/>
    <n v="254"/>
    <s v="Helse og mestring"/>
    <x v="1"/>
    <x v="1"/>
    <n v="1140"/>
    <n v="114000"/>
    <s v="Stillingsannonser"/>
    <n v="2950"/>
    <n v="0"/>
    <n v="0"/>
    <n v="-2950"/>
  </r>
  <r>
    <x v="0"/>
    <s v="Januar"/>
    <n v="1"/>
    <s v="T1"/>
    <x v="0"/>
    <s v="Kommunal Boenhet"/>
    <n v="254"/>
    <s v="Helse og mestring"/>
    <x v="1"/>
    <x v="1"/>
    <n v="1150"/>
    <n v="115000"/>
    <s v="Kurs / konferanser/opplæring - inkl. hotell"/>
    <n v="5268"/>
    <n v="0"/>
    <n v="5268"/>
    <n v="-5268"/>
  </r>
  <r>
    <x v="1"/>
    <s v="Februar"/>
    <n v="2"/>
    <s v="T1"/>
    <x v="0"/>
    <s v="Kommunal Boenhet"/>
    <n v="254"/>
    <s v="Helse og mestring"/>
    <x v="1"/>
    <x v="1"/>
    <n v="1150"/>
    <n v="115000"/>
    <s v="Kurs / konferanser/opplæring - inkl. hotell"/>
    <n v="5268"/>
    <n v="0"/>
    <n v="5268"/>
    <n v="-5268"/>
  </r>
  <r>
    <x v="2"/>
    <s v="Mars"/>
    <n v="3"/>
    <s v="T1"/>
    <x v="0"/>
    <s v="Kommunal Boenhet"/>
    <n v="254"/>
    <s v="Helse og mestring"/>
    <x v="1"/>
    <x v="1"/>
    <n v="1150"/>
    <n v="115000"/>
    <s v="Kurs / konferanser/opplæring - inkl. hotell"/>
    <n v="5268"/>
    <n v="282"/>
    <n v="4986"/>
    <n v="-4986"/>
  </r>
  <r>
    <x v="3"/>
    <s v="April"/>
    <n v="4"/>
    <s v="T1"/>
    <x v="0"/>
    <s v="Kommunal Boenhet"/>
    <n v="254"/>
    <s v="Helse og mestring"/>
    <x v="1"/>
    <x v="1"/>
    <n v="1150"/>
    <n v="115000"/>
    <s v="Kurs / konferanser/opplæring - inkl. hotell"/>
    <n v="5268"/>
    <n v="1125"/>
    <n v="4143"/>
    <n v="-4143"/>
  </r>
  <r>
    <x v="4"/>
    <s v="Mai"/>
    <n v="5"/>
    <s v="T2"/>
    <x v="0"/>
    <s v="Kommunal Boenhet"/>
    <n v="254"/>
    <s v="Helse og mestring"/>
    <x v="1"/>
    <x v="1"/>
    <n v="1150"/>
    <n v="115000"/>
    <s v="Kurs / konferanser/opplæring - inkl. hotell"/>
    <n v="5268"/>
    <n v="6640.18"/>
    <n v="-1372.18"/>
    <n v="1372.18"/>
  </r>
  <r>
    <x v="5"/>
    <s v="Juni"/>
    <n v="6"/>
    <s v="T2"/>
    <x v="0"/>
    <s v="Kommunal Boenhet"/>
    <n v="254"/>
    <s v="Helse og mestring"/>
    <x v="1"/>
    <x v="1"/>
    <n v="1150"/>
    <n v="115000"/>
    <s v="Kurs / konferanser/opplæring - inkl. hotell"/>
    <n v="5268"/>
    <n v="0"/>
    <n v="5268"/>
    <n v="-5268"/>
  </r>
  <r>
    <x v="6"/>
    <s v="Juli"/>
    <n v="7"/>
    <s v="T2"/>
    <x v="0"/>
    <s v="Kommunal Boenhet"/>
    <n v="254"/>
    <s v="Helse og mestring"/>
    <x v="1"/>
    <x v="1"/>
    <n v="1150"/>
    <n v="115000"/>
    <s v="Kurs / konferanser/opplæring - inkl. hotell"/>
    <n v="5268"/>
    <n v="0"/>
    <n v="5268"/>
    <n v="-5268"/>
  </r>
  <r>
    <x v="7"/>
    <s v="August"/>
    <n v="8"/>
    <s v="T2"/>
    <x v="0"/>
    <s v="Kommunal Boenhet"/>
    <n v="254"/>
    <s v="Helse og mestring"/>
    <x v="1"/>
    <x v="1"/>
    <n v="1150"/>
    <n v="115000"/>
    <s v="Kurs / konferanser/opplæring - inkl. hotell"/>
    <n v="5268"/>
    <n v="0"/>
    <n v="5268"/>
    <n v="-5268"/>
  </r>
  <r>
    <x v="8"/>
    <s v="September"/>
    <n v="9"/>
    <s v="T3"/>
    <x v="1"/>
    <s v="Kommunal Boenhet"/>
    <n v="254"/>
    <s v="Helse og mestring"/>
    <x v="1"/>
    <x v="1"/>
    <n v="1150"/>
    <n v="115000"/>
    <s v="Kurs / konferanser/opplæring - inkl. hotell"/>
    <n v="5268"/>
    <n v="0"/>
    <n v="0"/>
    <n v="-5268"/>
  </r>
  <r>
    <x v="9"/>
    <s v="Oktober"/>
    <n v="10"/>
    <s v="T3"/>
    <x v="1"/>
    <s v="Kommunal Boenhet"/>
    <n v="254"/>
    <s v="Helse og mestring"/>
    <x v="1"/>
    <x v="1"/>
    <n v="1150"/>
    <n v="115000"/>
    <s v="Kurs / konferanser/opplæring - inkl. hotell"/>
    <n v="5268"/>
    <n v="0"/>
    <n v="0"/>
    <n v="-5268"/>
  </r>
  <r>
    <x v="10"/>
    <s v="November"/>
    <n v="11"/>
    <s v="T3"/>
    <x v="1"/>
    <s v="Kommunal Boenhet"/>
    <n v="254"/>
    <s v="Helse og mestring"/>
    <x v="1"/>
    <x v="1"/>
    <n v="1150"/>
    <n v="115000"/>
    <s v="Kurs / konferanser/opplæring - inkl. hotell"/>
    <n v="5268"/>
    <n v="0"/>
    <n v="0"/>
    <n v="-5268"/>
  </r>
  <r>
    <x v="11"/>
    <s v="Desember"/>
    <n v="12"/>
    <s v="T3"/>
    <x v="1"/>
    <s v="Kommunal Boenhet"/>
    <n v="254"/>
    <s v="Helse og mestring"/>
    <x v="1"/>
    <x v="1"/>
    <n v="1150"/>
    <n v="115000"/>
    <s v="Kurs / konferanser/opplæring - inkl. hotell"/>
    <n v="5052"/>
    <n v="0"/>
    <n v="0"/>
    <n v="-5052"/>
  </r>
  <r>
    <x v="0"/>
    <s v="Januar"/>
    <n v="1"/>
    <s v="T1"/>
    <x v="0"/>
    <s v="Kommunal Boenhet"/>
    <n v="254"/>
    <s v="Helse og mestring"/>
    <x v="1"/>
    <x v="1"/>
    <n v="1160"/>
    <n v="116000"/>
    <s v="Km-godtgjørelse, inkl. passasjertillegg - oppl.pl"/>
    <n v="850"/>
    <n v="0"/>
    <n v="850"/>
    <n v="-850"/>
  </r>
  <r>
    <x v="1"/>
    <s v="Februar"/>
    <n v="2"/>
    <s v="T1"/>
    <x v="0"/>
    <s v="Kommunal Boenhet"/>
    <n v="254"/>
    <s v="Helse og mestring"/>
    <x v="1"/>
    <x v="1"/>
    <n v="1160"/>
    <n v="116000"/>
    <s v="Km-godtgjørelse, inkl. passasjertillegg - oppl.pl"/>
    <n v="850"/>
    <n v="0"/>
    <n v="850"/>
    <n v="-850"/>
  </r>
  <r>
    <x v="2"/>
    <s v="Mars"/>
    <n v="3"/>
    <s v="T1"/>
    <x v="0"/>
    <s v="Kommunal Boenhet"/>
    <n v="254"/>
    <s v="Helse og mestring"/>
    <x v="1"/>
    <x v="1"/>
    <n v="1160"/>
    <n v="116000"/>
    <s v="Km-godtgjørelse, inkl. passasjertillegg - oppl.pl"/>
    <n v="850"/>
    <n v="0"/>
    <n v="850"/>
    <n v="-850"/>
  </r>
  <r>
    <x v="3"/>
    <s v="April"/>
    <n v="4"/>
    <s v="T1"/>
    <x v="0"/>
    <s v="Kommunal Boenhet"/>
    <n v="254"/>
    <s v="Helse og mestring"/>
    <x v="1"/>
    <x v="1"/>
    <n v="1160"/>
    <n v="116000"/>
    <s v="Km-godtgjørelse, inkl. passasjertillegg - oppl.pl"/>
    <n v="850"/>
    <n v="0"/>
    <n v="850"/>
    <n v="-850"/>
  </r>
  <r>
    <x v="4"/>
    <s v="Mai"/>
    <n v="5"/>
    <s v="T2"/>
    <x v="0"/>
    <s v="Kommunal Boenhet"/>
    <n v="254"/>
    <s v="Helse og mestring"/>
    <x v="1"/>
    <x v="1"/>
    <n v="1160"/>
    <n v="116000"/>
    <s v="Km-godtgjørelse, inkl. passasjertillegg - oppl.pl"/>
    <n v="850"/>
    <n v="0"/>
    <n v="850"/>
    <n v="-850"/>
  </r>
  <r>
    <x v="5"/>
    <s v="Juni"/>
    <n v="6"/>
    <s v="T2"/>
    <x v="0"/>
    <s v="Kommunal Boenhet"/>
    <n v="254"/>
    <s v="Helse og mestring"/>
    <x v="1"/>
    <x v="1"/>
    <n v="1160"/>
    <n v="116000"/>
    <s v="Km-godtgjørelse, inkl. passasjertillegg - oppl.pl"/>
    <n v="850"/>
    <n v="538.20000000000005"/>
    <n v="311.8"/>
    <n v="-311.8"/>
  </r>
  <r>
    <x v="6"/>
    <s v="Juli"/>
    <n v="7"/>
    <s v="T2"/>
    <x v="0"/>
    <s v="Kommunal Boenhet"/>
    <n v="254"/>
    <s v="Helse og mestring"/>
    <x v="1"/>
    <x v="1"/>
    <n v="1160"/>
    <n v="116000"/>
    <s v="Km-godtgjørelse, inkl. passasjertillegg - oppl.pl"/>
    <n v="850"/>
    <n v="1471.05"/>
    <n v="-621.04999999999995"/>
    <n v="621.04999999999995"/>
  </r>
  <r>
    <x v="7"/>
    <s v="August"/>
    <n v="8"/>
    <s v="T2"/>
    <x v="0"/>
    <s v="Kommunal Boenhet"/>
    <n v="254"/>
    <s v="Helse og mestring"/>
    <x v="1"/>
    <x v="1"/>
    <n v="1160"/>
    <n v="116000"/>
    <s v="Km-godtgjørelse, inkl. passasjertillegg - oppl.pl"/>
    <n v="850"/>
    <n v="0"/>
    <n v="850"/>
    <n v="-850"/>
  </r>
  <r>
    <x v="8"/>
    <s v="September"/>
    <n v="9"/>
    <s v="T3"/>
    <x v="1"/>
    <s v="Kommunal Boenhet"/>
    <n v="254"/>
    <s v="Helse og mestring"/>
    <x v="1"/>
    <x v="1"/>
    <n v="1160"/>
    <n v="116000"/>
    <s v="Km-godtgjørelse, inkl. passasjertillegg - oppl.pl"/>
    <n v="850"/>
    <n v="0"/>
    <n v="0"/>
    <n v="-850"/>
  </r>
  <r>
    <x v="9"/>
    <s v="Oktober"/>
    <n v="10"/>
    <s v="T3"/>
    <x v="1"/>
    <s v="Kommunal Boenhet"/>
    <n v="254"/>
    <s v="Helse og mestring"/>
    <x v="1"/>
    <x v="1"/>
    <n v="1160"/>
    <n v="116000"/>
    <s v="Km-godtgjørelse, inkl. passasjertillegg - oppl.pl"/>
    <n v="850"/>
    <n v="0"/>
    <n v="0"/>
    <n v="-850"/>
  </r>
  <r>
    <x v="10"/>
    <s v="November"/>
    <n v="11"/>
    <s v="T3"/>
    <x v="1"/>
    <s v="Kommunal Boenhet"/>
    <n v="254"/>
    <s v="Helse og mestring"/>
    <x v="1"/>
    <x v="1"/>
    <n v="1160"/>
    <n v="116000"/>
    <s v="Km-godtgjørelse, inkl. passasjertillegg - oppl.pl"/>
    <n v="850"/>
    <n v="0"/>
    <n v="0"/>
    <n v="-850"/>
  </r>
  <r>
    <x v="11"/>
    <s v="Desember"/>
    <n v="12"/>
    <s v="T3"/>
    <x v="1"/>
    <s v="Kommunal Boenhet"/>
    <n v="254"/>
    <s v="Helse og mestring"/>
    <x v="1"/>
    <x v="1"/>
    <n v="1160"/>
    <n v="116000"/>
    <s v="Km-godtgjørelse, inkl. passasjertillegg - oppl.pl"/>
    <n v="650"/>
    <n v="0"/>
    <n v="0"/>
    <n v="-650"/>
  </r>
  <r>
    <x v="0"/>
    <s v="Januar"/>
    <n v="1"/>
    <s v="T1"/>
    <x v="0"/>
    <s v="Kommunal Boenhet"/>
    <n v="254"/>
    <s v="Helse og mestring"/>
    <x v="1"/>
    <x v="1"/>
    <n v="1170"/>
    <n v="117000"/>
    <s v="Drivstoff - inkludert strøm til el-biler, bio"/>
    <n v="4078"/>
    <n v="1287.68"/>
    <n v="2790.32"/>
    <n v="-2790.32"/>
  </r>
  <r>
    <x v="1"/>
    <s v="Februar"/>
    <n v="2"/>
    <s v="T1"/>
    <x v="0"/>
    <s v="Kommunal Boenhet"/>
    <n v="254"/>
    <s v="Helse og mestring"/>
    <x v="1"/>
    <x v="1"/>
    <n v="1170"/>
    <n v="117000"/>
    <s v="Drivstoff - inkludert strøm til el-biler, bio"/>
    <n v="4078"/>
    <n v="1206.1400000000001"/>
    <n v="2871.86"/>
    <n v="-2871.86"/>
  </r>
  <r>
    <x v="2"/>
    <s v="Mars"/>
    <n v="3"/>
    <s v="T1"/>
    <x v="0"/>
    <s v="Kommunal Boenhet"/>
    <n v="254"/>
    <s v="Helse og mestring"/>
    <x v="1"/>
    <x v="1"/>
    <n v="1170"/>
    <n v="117000"/>
    <s v="Drivstoff - inkludert strøm til el-biler, bio"/>
    <n v="4078"/>
    <n v="1272.76"/>
    <n v="2805.24"/>
    <n v="-2805.24"/>
  </r>
  <r>
    <x v="3"/>
    <s v="April"/>
    <n v="4"/>
    <s v="T1"/>
    <x v="0"/>
    <s v="Kommunal Boenhet"/>
    <n v="254"/>
    <s v="Helse og mestring"/>
    <x v="1"/>
    <x v="1"/>
    <n v="1170"/>
    <n v="117000"/>
    <s v="Drivstoff - inkludert strøm til el-biler, bio"/>
    <n v="4078"/>
    <n v="1002.81"/>
    <n v="3075.19"/>
    <n v="-3075.19"/>
  </r>
  <r>
    <x v="4"/>
    <s v="Mai"/>
    <n v="5"/>
    <s v="T2"/>
    <x v="0"/>
    <s v="Kommunal Boenhet"/>
    <n v="254"/>
    <s v="Helse og mestring"/>
    <x v="1"/>
    <x v="1"/>
    <n v="1170"/>
    <n v="117000"/>
    <s v="Drivstoff - inkludert strøm til el-biler, bio"/>
    <n v="4078"/>
    <n v="1113.6199999999999"/>
    <n v="2964.38"/>
    <n v="-2964.38"/>
  </r>
  <r>
    <x v="5"/>
    <s v="Juni"/>
    <n v="6"/>
    <s v="T2"/>
    <x v="0"/>
    <s v="Kommunal Boenhet"/>
    <n v="254"/>
    <s v="Helse og mestring"/>
    <x v="1"/>
    <x v="1"/>
    <n v="1170"/>
    <n v="117000"/>
    <s v="Drivstoff - inkludert strøm til el-biler, bio"/>
    <n v="4078"/>
    <n v="999.62"/>
    <n v="3078.38"/>
    <n v="-3078.38"/>
  </r>
  <r>
    <x v="6"/>
    <s v="Juli"/>
    <n v="7"/>
    <s v="T2"/>
    <x v="0"/>
    <s v="Kommunal Boenhet"/>
    <n v="254"/>
    <s v="Helse og mestring"/>
    <x v="1"/>
    <x v="1"/>
    <n v="1170"/>
    <n v="117000"/>
    <s v="Drivstoff - inkludert strøm til el-biler, bio"/>
    <n v="4078"/>
    <n v="3184.4"/>
    <n v="893.6"/>
    <n v="-893.6"/>
  </r>
  <r>
    <x v="7"/>
    <s v="August"/>
    <n v="8"/>
    <s v="T2"/>
    <x v="0"/>
    <s v="Kommunal Boenhet"/>
    <n v="254"/>
    <s v="Helse og mestring"/>
    <x v="1"/>
    <x v="1"/>
    <n v="1170"/>
    <n v="117000"/>
    <s v="Drivstoff - inkludert strøm til el-biler, bio"/>
    <n v="4078"/>
    <n v="1211.48"/>
    <n v="2866.52"/>
    <n v="-2866.52"/>
  </r>
  <r>
    <x v="8"/>
    <s v="September"/>
    <n v="9"/>
    <s v="T3"/>
    <x v="1"/>
    <s v="Kommunal Boenhet"/>
    <n v="254"/>
    <s v="Helse og mestring"/>
    <x v="1"/>
    <x v="1"/>
    <n v="1170"/>
    <n v="117000"/>
    <s v="Drivstoff - inkludert strøm til el-biler, bio"/>
    <n v="4078"/>
    <n v="0"/>
    <n v="0"/>
    <n v="-4078"/>
  </r>
  <r>
    <x v="9"/>
    <s v="Oktober"/>
    <n v="10"/>
    <s v="T3"/>
    <x v="1"/>
    <s v="Kommunal Boenhet"/>
    <n v="254"/>
    <s v="Helse og mestring"/>
    <x v="1"/>
    <x v="1"/>
    <n v="1170"/>
    <n v="117000"/>
    <s v="Drivstoff - inkludert strøm til el-biler, bio"/>
    <n v="4078"/>
    <n v="0"/>
    <n v="0"/>
    <n v="-4078"/>
  </r>
  <r>
    <x v="10"/>
    <s v="November"/>
    <n v="11"/>
    <s v="T3"/>
    <x v="1"/>
    <s v="Kommunal Boenhet"/>
    <n v="254"/>
    <s v="Helse og mestring"/>
    <x v="1"/>
    <x v="1"/>
    <n v="1170"/>
    <n v="117000"/>
    <s v="Drivstoff - inkludert strøm til el-biler, bio"/>
    <n v="4078"/>
    <n v="0"/>
    <n v="0"/>
    <n v="-4078"/>
  </r>
  <r>
    <x v="11"/>
    <s v="Desember"/>
    <n v="12"/>
    <s v="T3"/>
    <x v="1"/>
    <s v="Kommunal Boenhet"/>
    <n v="254"/>
    <s v="Helse og mestring"/>
    <x v="1"/>
    <x v="1"/>
    <n v="1170"/>
    <n v="117000"/>
    <s v="Drivstoff - inkludert strøm til el-biler, bio"/>
    <n v="4142"/>
    <n v="0"/>
    <n v="0"/>
    <n v="-4142"/>
  </r>
  <r>
    <x v="0"/>
    <s v="Januar"/>
    <n v="1"/>
    <s v="T1"/>
    <x v="0"/>
    <s v="Kommunal Boenhet"/>
    <n v="254"/>
    <s v="Helse og mestring"/>
    <x v="1"/>
    <x v="1"/>
    <n v="1170"/>
    <n v="117002"/>
    <s v="Vedlikehold / service transportmidler og anleggsm."/>
    <n v="0"/>
    <n v="0"/>
    <n v="0"/>
    <n v="0"/>
  </r>
  <r>
    <x v="1"/>
    <s v="Februar"/>
    <n v="2"/>
    <s v="T1"/>
    <x v="0"/>
    <s v="Kommunal Boenhet"/>
    <n v="254"/>
    <s v="Helse og mestring"/>
    <x v="1"/>
    <x v="1"/>
    <n v="1170"/>
    <n v="117002"/>
    <s v="Vedlikehold / service transportmidler og anleggsm."/>
    <n v="0"/>
    <n v="0"/>
    <n v="0"/>
    <n v="0"/>
  </r>
  <r>
    <x v="2"/>
    <s v="Mars"/>
    <n v="3"/>
    <s v="T1"/>
    <x v="0"/>
    <s v="Kommunal Boenhet"/>
    <n v="254"/>
    <s v="Helse og mestring"/>
    <x v="1"/>
    <x v="1"/>
    <n v="1170"/>
    <n v="117002"/>
    <s v="Vedlikehold / service transportmidler og anleggsm."/>
    <n v="0"/>
    <n v="400"/>
    <n v="-400"/>
    <n v="400"/>
  </r>
  <r>
    <x v="3"/>
    <s v="April"/>
    <n v="4"/>
    <s v="T1"/>
    <x v="0"/>
    <s v="Kommunal Boenhet"/>
    <n v="254"/>
    <s v="Helse og mestring"/>
    <x v="1"/>
    <x v="1"/>
    <n v="1170"/>
    <n v="117002"/>
    <s v="Vedlikehold / service transportmidler og anleggsm."/>
    <n v="0"/>
    <n v="0"/>
    <n v="0"/>
    <n v="0"/>
  </r>
  <r>
    <x v="4"/>
    <s v="Mai"/>
    <n v="5"/>
    <s v="T2"/>
    <x v="0"/>
    <s v="Kommunal Boenhet"/>
    <n v="254"/>
    <s v="Helse og mestring"/>
    <x v="1"/>
    <x v="1"/>
    <n v="1170"/>
    <n v="117002"/>
    <s v="Vedlikehold / service transportmidler og anleggsm."/>
    <n v="0"/>
    <n v="0"/>
    <n v="0"/>
    <n v="0"/>
  </r>
  <r>
    <x v="5"/>
    <s v="Juni"/>
    <n v="6"/>
    <s v="T2"/>
    <x v="0"/>
    <s v="Kommunal Boenhet"/>
    <n v="254"/>
    <s v="Helse og mestring"/>
    <x v="1"/>
    <x v="1"/>
    <n v="1170"/>
    <n v="117002"/>
    <s v="Vedlikehold / service transportmidler og anleggsm."/>
    <n v="0"/>
    <n v="0"/>
    <n v="0"/>
    <n v="0"/>
  </r>
  <r>
    <x v="6"/>
    <s v="Juli"/>
    <n v="7"/>
    <s v="T2"/>
    <x v="0"/>
    <s v="Kommunal Boenhet"/>
    <n v="254"/>
    <s v="Helse og mestring"/>
    <x v="1"/>
    <x v="1"/>
    <n v="1170"/>
    <n v="117002"/>
    <s v="Vedlikehold / service transportmidler og anleggsm."/>
    <n v="0"/>
    <n v="0"/>
    <n v="0"/>
    <n v="0"/>
  </r>
  <r>
    <x v="7"/>
    <s v="August"/>
    <n v="8"/>
    <s v="T2"/>
    <x v="0"/>
    <s v="Kommunal Boenhet"/>
    <n v="254"/>
    <s v="Helse og mestring"/>
    <x v="1"/>
    <x v="1"/>
    <n v="1170"/>
    <n v="117002"/>
    <s v="Vedlikehold / service transportmidler og anleggsm."/>
    <n v="0"/>
    <n v="0"/>
    <n v="0"/>
    <n v="0"/>
  </r>
  <r>
    <x v="8"/>
    <s v="September"/>
    <n v="9"/>
    <s v="T3"/>
    <x v="1"/>
    <s v="Kommunal Boenhet"/>
    <n v="254"/>
    <s v="Helse og mestring"/>
    <x v="1"/>
    <x v="1"/>
    <n v="1170"/>
    <n v="117002"/>
    <s v="Vedlikehold / service transportmidler og anleggsm."/>
    <n v="0"/>
    <n v="0"/>
    <n v="0"/>
    <n v="0"/>
  </r>
  <r>
    <x v="9"/>
    <s v="Oktober"/>
    <n v="10"/>
    <s v="T3"/>
    <x v="1"/>
    <s v="Kommunal Boenhet"/>
    <n v="254"/>
    <s v="Helse og mestring"/>
    <x v="1"/>
    <x v="1"/>
    <n v="1170"/>
    <n v="117002"/>
    <s v="Vedlikehold / service transportmidler og anleggsm."/>
    <n v="0"/>
    <n v="0"/>
    <n v="0"/>
    <n v="0"/>
  </r>
  <r>
    <x v="10"/>
    <s v="November"/>
    <n v="11"/>
    <s v="T3"/>
    <x v="1"/>
    <s v="Kommunal Boenhet"/>
    <n v="254"/>
    <s v="Helse og mestring"/>
    <x v="1"/>
    <x v="1"/>
    <n v="1170"/>
    <n v="117002"/>
    <s v="Vedlikehold / service transportmidler og anleggsm."/>
    <n v="0"/>
    <n v="0"/>
    <n v="0"/>
    <n v="0"/>
  </r>
  <r>
    <x v="11"/>
    <s v="Desember"/>
    <n v="12"/>
    <s v="T3"/>
    <x v="1"/>
    <s v="Kommunal Boenhet"/>
    <n v="254"/>
    <s v="Helse og mestring"/>
    <x v="1"/>
    <x v="1"/>
    <n v="1170"/>
    <n v="117002"/>
    <s v="Vedlikehold / service transportmidler og anleggsm."/>
    <n v="0"/>
    <n v="0"/>
    <n v="0"/>
    <n v="0"/>
  </r>
  <r>
    <x v="0"/>
    <s v="Januar"/>
    <n v="1"/>
    <s v="T1"/>
    <x v="0"/>
    <s v="Kommunal Boenhet"/>
    <n v="254"/>
    <s v="Helse og mestring"/>
    <x v="1"/>
    <x v="1"/>
    <n v="1170"/>
    <n v="117004"/>
    <s v="SKADER OG EGENANDELER TRANSPORTMIDLER OG ANLEGGSMASKINER"/>
    <n v="0"/>
    <n v="0"/>
    <n v="0"/>
    <n v="0"/>
  </r>
  <r>
    <x v="1"/>
    <s v="Februar"/>
    <n v="2"/>
    <s v="T1"/>
    <x v="0"/>
    <s v="Kommunal Boenhet"/>
    <n v="254"/>
    <s v="Helse og mestring"/>
    <x v="1"/>
    <x v="1"/>
    <n v="1170"/>
    <n v="117004"/>
    <s v="SKADER OG EGENANDELER TRANSPORTMIDLER OG ANLEGGSMASKINER"/>
    <n v="0"/>
    <n v="0"/>
    <n v="0"/>
    <n v="0"/>
  </r>
  <r>
    <x v="2"/>
    <s v="Mars"/>
    <n v="3"/>
    <s v="T1"/>
    <x v="0"/>
    <s v="Kommunal Boenhet"/>
    <n v="254"/>
    <s v="Helse og mestring"/>
    <x v="1"/>
    <x v="1"/>
    <n v="1170"/>
    <n v="117004"/>
    <s v="SKADER OG EGENANDELER TRANSPORTMIDLER OG ANLEGGSMASKINER"/>
    <n v="0"/>
    <n v="0"/>
    <n v="0"/>
    <n v="0"/>
  </r>
  <r>
    <x v="3"/>
    <s v="April"/>
    <n v="4"/>
    <s v="T1"/>
    <x v="0"/>
    <s v="Kommunal Boenhet"/>
    <n v="254"/>
    <s v="Helse og mestring"/>
    <x v="1"/>
    <x v="1"/>
    <n v="1170"/>
    <n v="117004"/>
    <s v="SKADER OG EGENANDELER TRANSPORTMIDLER OG ANLEGGSMASKINER"/>
    <n v="0"/>
    <n v="0"/>
    <n v="0"/>
    <n v="0"/>
  </r>
  <r>
    <x v="4"/>
    <s v="Mai"/>
    <n v="5"/>
    <s v="T2"/>
    <x v="0"/>
    <s v="Kommunal Boenhet"/>
    <n v="254"/>
    <s v="Helse og mestring"/>
    <x v="1"/>
    <x v="1"/>
    <n v="1170"/>
    <n v="117004"/>
    <s v="SKADER OG EGENANDELER TRANSPORTMIDLER OG ANLEGGSMASKINER"/>
    <n v="0"/>
    <n v="0"/>
    <n v="0"/>
    <n v="0"/>
  </r>
  <r>
    <x v="5"/>
    <s v="Juni"/>
    <n v="6"/>
    <s v="T2"/>
    <x v="0"/>
    <s v="Kommunal Boenhet"/>
    <n v="254"/>
    <s v="Helse og mestring"/>
    <x v="1"/>
    <x v="1"/>
    <n v="1170"/>
    <n v="117004"/>
    <s v="SKADER OG EGENANDELER TRANSPORTMIDLER OG ANLEGGSMASKINER"/>
    <n v="0"/>
    <n v="0"/>
    <n v="0"/>
    <n v="0"/>
  </r>
  <r>
    <x v="6"/>
    <s v="Juli"/>
    <n v="7"/>
    <s v="T2"/>
    <x v="0"/>
    <s v="Kommunal Boenhet"/>
    <n v="254"/>
    <s v="Helse og mestring"/>
    <x v="1"/>
    <x v="1"/>
    <n v="1170"/>
    <n v="117004"/>
    <s v="SKADER OG EGENANDELER TRANSPORTMIDLER OG ANLEGGSMASKINER"/>
    <n v="0"/>
    <n v="0"/>
    <n v="0"/>
    <n v="0"/>
  </r>
  <r>
    <x v="7"/>
    <s v="August"/>
    <n v="8"/>
    <s v="T2"/>
    <x v="0"/>
    <s v="Kommunal Boenhet"/>
    <n v="254"/>
    <s v="Helse og mestring"/>
    <x v="1"/>
    <x v="1"/>
    <n v="1170"/>
    <n v="117004"/>
    <s v="SKADER OG EGENANDELER TRANSPORTMIDLER OG ANLEGGSMASKINER"/>
    <n v="0"/>
    <n v="0"/>
    <n v="0"/>
    <n v="0"/>
  </r>
  <r>
    <x v="8"/>
    <s v="September"/>
    <n v="9"/>
    <s v="T3"/>
    <x v="1"/>
    <s v="Kommunal Boenhet"/>
    <n v="254"/>
    <s v="Helse og mestring"/>
    <x v="1"/>
    <x v="1"/>
    <n v="1170"/>
    <n v="117004"/>
    <s v="SKADER OG EGENANDELER TRANSPORTMIDLER OG ANLEGGSMASKINER"/>
    <n v="0"/>
    <n v="0"/>
    <n v="0"/>
    <n v="0"/>
  </r>
  <r>
    <x v="9"/>
    <s v="Oktober"/>
    <n v="10"/>
    <s v="T3"/>
    <x v="1"/>
    <s v="Kommunal Boenhet"/>
    <n v="254"/>
    <s v="Helse og mestring"/>
    <x v="1"/>
    <x v="1"/>
    <n v="1170"/>
    <n v="117004"/>
    <s v="SKADER OG EGENANDELER TRANSPORTMIDLER OG ANLEGGSMASKINER"/>
    <n v="0"/>
    <n v="0"/>
    <n v="0"/>
    <n v="0"/>
  </r>
  <r>
    <x v="10"/>
    <s v="November"/>
    <n v="11"/>
    <s v="T3"/>
    <x v="1"/>
    <s v="Kommunal Boenhet"/>
    <n v="254"/>
    <s v="Helse og mestring"/>
    <x v="1"/>
    <x v="1"/>
    <n v="1170"/>
    <n v="117004"/>
    <s v="SKADER OG EGENANDELER TRANSPORTMIDLER OG ANLEGGSMASKINER"/>
    <n v="0"/>
    <n v="0"/>
    <n v="0"/>
    <n v="0"/>
  </r>
  <r>
    <x v="11"/>
    <s v="Desember"/>
    <n v="12"/>
    <s v="T3"/>
    <x v="1"/>
    <s v="Kommunal Boenhet"/>
    <n v="254"/>
    <s v="Helse og mestring"/>
    <x v="1"/>
    <x v="1"/>
    <n v="1170"/>
    <n v="117004"/>
    <s v="SKADER OG EGENANDELER TRANSPORTMIDLER OG ANLEGGSMASKINER"/>
    <n v="0"/>
    <n v="0"/>
    <n v="0"/>
    <n v="0"/>
  </r>
  <r>
    <x v="0"/>
    <s v="Januar"/>
    <n v="1"/>
    <s v="T1"/>
    <x v="0"/>
    <s v="Kommunal Boenhet"/>
    <n v="254"/>
    <s v="Helse og mestring"/>
    <x v="1"/>
    <x v="1"/>
    <n v="1170"/>
    <n v="117030"/>
    <s v="Reiseutg. buss, tog,taxi, fly, leiebil, bom, park."/>
    <n v="858"/>
    <n v="2250"/>
    <n v="-1392"/>
    <n v="1392"/>
  </r>
  <r>
    <x v="1"/>
    <s v="Februar"/>
    <n v="2"/>
    <s v="T1"/>
    <x v="0"/>
    <s v="Kommunal Boenhet"/>
    <n v="254"/>
    <s v="Helse og mestring"/>
    <x v="1"/>
    <x v="1"/>
    <n v="1170"/>
    <n v="117030"/>
    <s v="Reiseutg. buss, tog,taxi, fly, leiebil, bom, park."/>
    <n v="858"/>
    <n v="1250"/>
    <n v="-392"/>
    <n v="392"/>
  </r>
  <r>
    <x v="2"/>
    <s v="Mars"/>
    <n v="3"/>
    <s v="T1"/>
    <x v="0"/>
    <s v="Kommunal Boenhet"/>
    <n v="254"/>
    <s v="Helse og mestring"/>
    <x v="1"/>
    <x v="1"/>
    <n v="1170"/>
    <n v="117030"/>
    <s v="Reiseutg. buss, tog,taxi, fly, leiebil, bom, park."/>
    <n v="858"/>
    <n v="1739.5"/>
    <n v="-881.5"/>
    <n v="881.5"/>
  </r>
  <r>
    <x v="3"/>
    <s v="April"/>
    <n v="4"/>
    <s v="T1"/>
    <x v="0"/>
    <s v="Kommunal Boenhet"/>
    <n v="254"/>
    <s v="Helse og mestring"/>
    <x v="1"/>
    <x v="1"/>
    <n v="1170"/>
    <n v="117030"/>
    <s v="Reiseutg. buss, tog,taxi, fly, leiebil, bom, park."/>
    <n v="858"/>
    <n v="1250"/>
    <n v="-392"/>
    <n v="392"/>
  </r>
  <r>
    <x v="4"/>
    <s v="Mai"/>
    <n v="5"/>
    <s v="T2"/>
    <x v="0"/>
    <s v="Kommunal Boenhet"/>
    <n v="254"/>
    <s v="Helse og mestring"/>
    <x v="1"/>
    <x v="1"/>
    <n v="1170"/>
    <n v="117030"/>
    <s v="Reiseutg. buss, tog,taxi, fly, leiebil, bom, park."/>
    <n v="858"/>
    <n v="1250"/>
    <n v="-392"/>
    <n v="392"/>
  </r>
  <r>
    <x v="5"/>
    <s v="Juni"/>
    <n v="6"/>
    <s v="T2"/>
    <x v="0"/>
    <s v="Kommunal Boenhet"/>
    <n v="254"/>
    <s v="Helse og mestring"/>
    <x v="1"/>
    <x v="1"/>
    <n v="1170"/>
    <n v="117030"/>
    <s v="Reiseutg. buss, tog,taxi, fly, leiebil, bom, park."/>
    <n v="858"/>
    <n v="26317.58"/>
    <n v="-25459.58"/>
    <n v="25459.58"/>
  </r>
  <r>
    <x v="6"/>
    <s v="Juli"/>
    <n v="7"/>
    <s v="T2"/>
    <x v="0"/>
    <s v="Kommunal Boenhet"/>
    <n v="254"/>
    <s v="Helse og mestring"/>
    <x v="1"/>
    <x v="1"/>
    <n v="1170"/>
    <n v="117030"/>
    <s v="Reiseutg. buss, tog,taxi, fly, leiebil, bom, park."/>
    <n v="858"/>
    <n v="2175.64"/>
    <n v="-1317.64"/>
    <n v="1317.64"/>
  </r>
  <r>
    <x v="7"/>
    <s v="August"/>
    <n v="8"/>
    <s v="T2"/>
    <x v="0"/>
    <s v="Kommunal Boenhet"/>
    <n v="254"/>
    <s v="Helse og mestring"/>
    <x v="1"/>
    <x v="1"/>
    <n v="1170"/>
    <n v="117030"/>
    <s v="Reiseutg. buss, tog,taxi, fly, leiebil, bom, park."/>
    <n v="858"/>
    <n v="3317"/>
    <n v="-2459"/>
    <n v="2459"/>
  </r>
  <r>
    <x v="8"/>
    <s v="September"/>
    <n v="9"/>
    <s v="T3"/>
    <x v="1"/>
    <s v="Kommunal Boenhet"/>
    <n v="254"/>
    <s v="Helse og mestring"/>
    <x v="1"/>
    <x v="1"/>
    <n v="1170"/>
    <n v="117030"/>
    <s v="Reiseutg. buss, tog,taxi, fly, leiebil, bom, park."/>
    <n v="858"/>
    <n v="0"/>
    <n v="0"/>
    <n v="-858"/>
  </r>
  <r>
    <x v="9"/>
    <s v="Oktober"/>
    <n v="10"/>
    <s v="T3"/>
    <x v="1"/>
    <s v="Kommunal Boenhet"/>
    <n v="254"/>
    <s v="Helse og mestring"/>
    <x v="1"/>
    <x v="1"/>
    <n v="1170"/>
    <n v="117030"/>
    <s v="Reiseutg. buss, tog,taxi, fly, leiebil, bom, park."/>
    <n v="858"/>
    <n v="0"/>
    <n v="0"/>
    <n v="-858"/>
  </r>
  <r>
    <x v="10"/>
    <s v="November"/>
    <n v="11"/>
    <s v="T3"/>
    <x v="1"/>
    <s v="Kommunal Boenhet"/>
    <n v="254"/>
    <s v="Helse og mestring"/>
    <x v="1"/>
    <x v="1"/>
    <n v="1170"/>
    <n v="117030"/>
    <s v="Reiseutg. buss, tog,taxi, fly, leiebil, bom, park."/>
    <n v="858"/>
    <n v="0"/>
    <n v="0"/>
    <n v="-858"/>
  </r>
  <r>
    <x v="11"/>
    <s v="Desember"/>
    <n v="12"/>
    <s v="T3"/>
    <x v="1"/>
    <s v="Kommunal Boenhet"/>
    <n v="254"/>
    <s v="Helse og mestring"/>
    <x v="1"/>
    <x v="1"/>
    <n v="1170"/>
    <n v="117030"/>
    <s v="Reiseutg. buss, tog,taxi, fly, leiebil, bom, park."/>
    <n v="562"/>
    <n v="0"/>
    <n v="0"/>
    <n v="-562"/>
  </r>
  <r>
    <x v="0"/>
    <s v="Januar"/>
    <n v="1"/>
    <s v="T1"/>
    <x v="0"/>
    <s v="Kommunal Boenhet"/>
    <n v="254"/>
    <s v="Helse og mestring"/>
    <x v="1"/>
    <x v="1"/>
    <n v="1170"/>
    <n v="117040"/>
    <s v="Flyttetjenester"/>
    <n v="0"/>
    <n v="0"/>
    <n v="0"/>
    <n v="0"/>
  </r>
  <r>
    <x v="1"/>
    <s v="Februar"/>
    <n v="2"/>
    <s v="T1"/>
    <x v="0"/>
    <s v="Kommunal Boenhet"/>
    <n v="254"/>
    <s v="Helse og mestring"/>
    <x v="1"/>
    <x v="1"/>
    <n v="1170"/>
    <n v="117040"/>
    <s v="Flyttetjenester"/>
    <n v="0"/>
    <n v="0"/>
    <n v="0"/>
    <n v="0"/>
  </r>
  <r>
    <x v="2"/>
    <s v="Mars"/>
    <n v="3"/>
    <s v="T1"/>
    <x v="0"/>
    <s v="Kommunal Boenhet"/>
    <n v="254"/>
    <s v="Helse og mestring"/>
    <x v="1"/>
    <x v="1"/>
    <n v="1170"/>
    <n v="117040"/>
    <s v="Flyttetjenester"/>
    <n v="0"/>
    <n v="0"/>
    <n v="0"/>
    <n v="0"/>
  </r>
  <r>
    <x v="3"/>
    <s v="April"/>
    <n v="4"/>
    <s v="T1"/>
    <x v="0"/>
    <s v="Kommunal Boenhet"/>
    <n v="254"/>
    <s v="Helse og mestring"/>
    <x v="1"/>
    <x v="1"/>
    <n v="1170"/>
    <n v="117040"/>
    <s v="Flyttetjenester"/>
    <n v="0"/>
    <n v="0"/>
    <n v="0"/>
    <n v="0"/>
  </r>
  <r>
    <x v="4"/>
    <s v="Mai"/>
    <n v="5"/>
    <s v="T2"/>
    <x v="0"/>
    <s v="Kommunal Boenhet"/>
    <n v="254"/>
    <s v="Helse og mestring"/>
    <x v="1"/>
    <x v="1"/>
    <n v="1170"/>
    <n v="117040"/>
    <s v="Flyttetjenester"/>
    <n v="0"/>
    <n v="0"/>
    <n v="0"/>
    <n v="0"/>
  </r>
  <r>
    <x v="5"/>
    <s v="Juni"/>
    <n v="6"/>
    <s v="T2"/>
    <x v="0"/>
    <s v="Kommunal Boenhet"/>
    <n v="254"/>
    <s v="Helse og mestring"/>
    <x v="1"/>
    <x v="1"/>
    <n v="1170"/>
    <n v="117040"/>
    <s v="Flyttetjenester"/>
    <n v="0"/>
    <n v="0"/>
    <n v="0"/>
    <n v="0"/>
  </r>
  <r>
    <x v="6"/>
    <s v="Juli"/>
    <n v="7"/>
    <s v="T2"/>
    <x v="0"/>
    <s v="Kommunal Boenhet"/>
    <n v="254"/>
    <s v="Helse og mestring"/>
    <x v="1"/>
    <x v="1"/>
    <n v="1170"/>
    <n v="117040"/>
    <s v="Flyttetjenester"/>
    <n v="0"/>
    <n v="0"/>
    <n v="0"/>
    <n v="0"/>
  </r>
  <r>
    <x v="7"/>
    <s v="August"/>
    <n v="8"/>
    <s v="T2"/>
    <x v="0"/>
    <s v="Kommunal Boenhet"/>
    <n v="254"/>
    <s v="Helse og mestring"/>
    <x v="1"/>
    <x v="1"/>
    <n v="1170"/>
    <n v="117040"/>
    <s v="Flyttetjenester"/>
    <n v="0"/>
    <n v="0"/>
    <n v="0"/>
    <n v="0"/>
  </r>
  <r>
    <x v="8"/>
    <s v="September"/>
    <n v="9"/>
    <s v="T3"/>
    <x v="1"/>
    <s v="Kommunal Boenhet"/>
    <n v="254"/>
    <s v="Helse og mestring"/>
    <x v="1"/>
    <x v="1"/>
    <n v="1170"/>
    <n v="117040"/>
    <s v="Flyttetjenester"/>
    <n v="0"/>
    <n v="0"/>
    <n v="0"/>
    <n v="0"/>
  </r>
  <r>
    <x v="9"/>
    <s v="Oktober"/>
    <n v="10"/>
    <s v="T3"/>
    <x v="1"/>
    <s v="Kommunal Boenhet"/>
    <n v="254"/>
    <s v="Helse og mestring"/>
    <x v="1"/>
    <x v="1"/>
    <n v="1170"/>
    <n v="117040"/>
    <s v="Flyttetjenester"/>
    <n v="0"/>
    <n v="0"/>
    <n v="0"/>
    <n v="0"/>
  </r>
  <r>
    <x v="10"/>
    <s v="November"/>
    <n v="11"/>
    <s v="T3"/>
    <x v="1"/>
    <s v="Kommunal Boenhet"/>
    <n v="254"/>
    <s v="Helse og mestring"/>
    <x v="1"/>
    <x v="1"/>
    <n v="1170"/>
    <n v="117040"/>
    <s v="Flyttetjenester"/>
    <n v="0"/>
    <n v="0"/>
    <n v="0"/>
    <n v="0"/>
  </r>
  <r>
    <x v="11"/>
    <s v="Desember"/>
    <n v="12"/>
    <s v="T3"/>
    <x v="1"/>
    <s v="Kommunal Boenhet"/>
    <n v="254"/>
    <s v="Helse og mestring"/>
    <x v="1"/>
    <x v="1"/>
    <n v="1170"/>
    <n v="117040"/>
    <s v="Flyttetjenester"/>
    <n v="0"/>
    <n v="0"/>
    <n v="0"/>
    <n v="0"/>
  </r>
  <r>
    <x v="0"/>
    <s v="Januar"/>
    <n v="1"/>
    <s v="T1"/>
    <x v="0"/>
    <s v="Kommunal Boenhet"/>
    <n v="254"/>
    <s v="Helse og mestring"/>
    <x v="1"/>
    <x v="1"/>
    <n v="1195"/>
    <n v="119520"/>
    <s v="Tv-lisens og kabel-tv"/>
    <n v="850"/>
    <n v="0"/>
    <n v="850"/>
    <n v="-850"/>
  </r>
  <r>
    <x v="1"/>
    <s v="Februar"/>
    <n v="2"/>
    <s v="T1"/>
    <x v="0"/>
    <s v="Kommunal Boenhet"/>
    <n v="254"/>
    <s v="Helse og mestring"/>
    <x v="1"/>
    <x v="1"/>
    <n v="1195"/>
    <n v="119520"/>
    <s v="Tv-lisens og kabel-tv"/>
    <n v="850"/>
    <n v="0"/>
    <n v="850"/>
    <n v="-850"/>
  </r>
  <r>
    <x v="2"/>
    <s v="Mars"/>
    <n v="3"/>
    <s v="T1"/>
    <x v="0"/>
    <s v="Kommunal Boenhet"/>
    <n v="254"/>
    <s v="Helse og mestring"/>
    <x v="1"/>
    <x v="1"/>
    <n v="1195"/>
    <n v="119520"/>
    <s v="Tv-lisens og kabel-tv"/>
    <n v="850"/>
    <n v="0"/>
    <n v="850"/>
    <n v="-850"/>
  </r>
  <r>
    <x v="3"/>
    <s v="April"/>
    <n v="4"/>
    <s v="T1"/>
    <x v="0"/>
    <s v="Kommunal Boenhet"/>
    <n v="254"/>
    <s v="Helse og mestring"/>
    <x v="1"/>
    <x v="1"/>
    <n v="1195"/>
    <n v="119520"/>
    <s v="Tv-lisens og kabel-tv"/>
    <n v="850"/>
    <n v="0"/>
    <n v="850"/>
    <n v="-850"/>
  </r>
  <r>
    <x v="4"/>
    <s v="Mai"/>
    <n v="5"/>
    <s v="T2"/>
    <x v="0"/>
    <s v="Kommunal Boenhet"/>
    <n v="254"/>
    <s v="Helse og mestring"/>
    <x v="1"/>
    <x v="1"/>
    <n v="1195"/>
    <n v="119520"/>
    <s v="Tv-lisens og kabel-tv"/>
    <n v="850"/>
    <n v="0"/>
    <n v="850"/>
    <n v="-850"/>
  </r>
  <r>
    <x v="5"/>
    <s v="Juni"/>
    <n v="6"/>
    <s v="T2"/>
    <x v="0"/>
    <s v="Kommunal Boenhet"/>
    <n v="254"/>
    <s v="Helse og mestring"/>
    <x v="1"/>
    <x v="1"/>
    <n v="1195"/>
    <n v="119520"/>
    <s v="Tv-lisens og kabel-tv"/>
    <n v="850"/>
    <n v="0"/>
    <n v="850"/>
    <n v="-850"/>
  </r>
  <r>
    <x v="6"/>
    <s v="Juli"/>
    <n v="7"/>
    <s v="T2"/>
    <x v="0"/>
    <s v="Kommunal Boenhet"/>
    <n v="254"/>
    <s v="Helse og mestring"/>
    <x v="1"/>
    <x v="1"/>
    <n v="1195"/>
    <n v="119520"/>
    <s v="Tv-lisens og kabel-tv"/>
    <n v="850"/>
    <n v="0"/>
    <n v="850"/>
    <n v="-850"/>
  </r>
  <r>
    <x v="7"/>
    <s v="August"/>
    <n v="8"/>
    <s v="T2"/>
    <x v="0"/>
    <s v="Kommunal Boenhet"/>
    <n v="254"/>
    <s v="Helse og mestring"/>
    <x v="1"/>
    <x v="1"/>
    <n v="1195"/>
    <n v="119520"/>
    <s v="Tv-lisens og kabel-tv"/>
    <n v="850"/>
    <n v="0"/>
    <n v="850"/>
    <n v="-850"/>
  </r>
  <r>
    <x v="8"/>
    <s v="September"/>
    <n v="9"/>
    <s v="T3"/>
    <x v="1"/>
    <s v="Kommunal Boenhet"/>
    <n v="254"/>
    <s v="Helse og mestring"/>
    <x v="1"/>
    <x v="1"/>
    <n v="1195"/>
    <n v="119520"/>
    <s v="Tv-lisens og kabel-tv"/>
    <n v="850"/>
    <n v="0"/>
    <n v="0"/>
    <n v="-850"/>
  </r>
  <r>
    <x v="9"/>
    <s v="Oktober"/>
    <n v="10"/>
    <s v="T3"/>
    <x v="1"/>
    <s v="Kommunal Boenhet"/>
    <n v="254"/>
    <s v="Helse og mestring"/>
    <x v="1"/>
    <x v="1"/>
    <n v="1195"/>
    <n v="119520"/>
    <s v="Tv-lisens og kabel-tv"/>
    <n v="850"/>
    <n v="0"/>
    <n v="0"/>
    <n v="-850"/>
  </r>
  <r>
    <x v="10"/>
    <s v="November"/>
    <n v="11"/>
    <s v="T3"/>
    <x v="1"/>
    <s v="Kommunal Boenhet"/>
    <n v="254"/>
    <s v="Helse og mestring"/>
    <x v="1"/>
    <x v="1"/>
    <n v="1195"/>
    <n v="119520"/>
    <s v="Tv-lisens og kabel-tv"/>
    <n v="850"/>
    <n v="0"/>
    <n v="0"/>
    <n v="-850"/>
  </r>
  <r>
    <x v="11"/>
    <s v="Desember"/>
    <n v="12"/>
    <s v="T3"/>
    <x v="1"/>
    <s v="Kommunal Boenhet"/>
    <n v="254"/>
    <s v="Helse og mestring"/>
    <x v="1"/>
    <x v="1"/>
    <n v="1195"/>
    <n v="119520"/>
    <s v="Tv-lisens og kabel-tv"/>
    <n v="650"/>
    <n v="0"/>
    <n v="0"/>
    <n v="-650"/>
  </r>
  <r>
    <x v="0"/>
    <s v="Januar"/>
    <n v="1"/>
    <s v="T1"/>
    <x v="0"/>
    <s v="Kommunal Boenhet"/>
    <n v="254"/>
    <s v="Helse og mestring"/>
    <x v="1"/>
    <x v="1"/>
    <n v="1195"/>
    <n v="119550"/>
    <s v="Kommunale gebyrer"/>
    <n v="0"/>
    <n v="0"/>
    <n v="0"/>
    <n v="0"/>
  </r>
  <r>
    <x v="1"/>
    <s v="Februar"/>
    <n v="2"/>
    <s v="T1"/>
    <x v="0"/>
    <s v="Kommunal Boenhet"/>
    <n v="254"/>
    <s v="Helse og mestring"/>
    <x v="1"/>
    <x v="1"/>
    <n v="1195"/>
    <n v="119550"/>
    <s v="Kommunale gebyrer"/>
    <n v="0"/>
    <n v="0"/>
    <n v="0"/>
    <n v="0"/>
  </r>
  <r>
    <x v="2"/>
    <s v="Mars"/>
    <n v="3"/>
    <s v="T1"/>
    <x v="0"/>
    <s v="Kommunal Boenhet"/>
    <n v="254"/>
    <s v="Helse og mestring"/>
    <x v="1"/>
    <x v="1"/>
    <n v="1195"/>
    <n v="119550"/>
    <s v="Kommunale gebyrer"/>
    <n v="0"/>
    <n v="150"/>
    <n v="-150"/>
    <n v="150"/>
  </r>
  <r>
    <x v="3"/>
    <s v="April"/>
    <n v="4"/>
    <s v="T1"/>
    <x v="0"/>
    <s v="Kommunal Boenhet"/>
    <n v="254"/>
    <s v="Helse og mestring"/>
    <x v="1"/>
    <x v="1"/>
    <n v="1195"/>
    <n v="119550"/>
    <s v="Kommunale gebyrer"/>
    <n v="0"/>
    <n v="0"/>
    <n v="0"/>
    <n v="0"/>
  </r>
  <r>
    <x v="4"/>
    <s v="Mai"/>
    <n v="5"/>
    <s v="T2"/>
    <x v="0"/>
    <s v="Kommunal Boenhet"/>
    <n v="254"/>
    <s v="Helse og mestring"/>
    <x v="1"/>
    <x v="1"/>
    <n v="1195"/>
    <n v="119550"/>
    <s v="Kommunale gebyrer"/>
    <n v="0"/>
    <n v="0"/>
    <n v="0"/>
    <n v="0"/>
  </r>
  <r>
    <x v="5"/>
    <s v="Juni"/>
    <n v="6"/>
    <s v="T2"/>
    <x v="0"/>
    <s v="Kommunal Boenhet"/>
    <n v="254"/>
    <s v="Helse og mestring"/>
    <x v="1"/>
    <x v="1"/>
    <n v="1195"/>
    <n v="119550"/>
    <s v="Kommunale gebyrer"/>
    <n v="0"/>
    <n v="0"/>
    <n v="0"/>
    <n v="0"/>
  </r>
  <r>
    <x v="6"/>
    <s v="Juli"/>
    <n v="7"/>
    <s v="T2"/>
    <x v="0"/>
    <s v="Kommunal Boenhet"/>
    <n v="254"/>
    <s v="Helse og mestring"/>
    <x v="1"/>
    <x v="1"/>
    <n v="1195"/>
    <n v="119550"/>
    <s v="Kommunale gebyrer"/>
    <n v="0"/>
    <n v="0"/>
    <n v="0"/>
    <n v="0"/>
  </r>
  <r>
    <x v="7"/>
    <s v="August"/>
    <n v="8"/>
    <s v="T2"/>
    <x v="0"/>
    <s v="Kommunal Boenhet"/>
    <n v="254"/>
    <s v="Helse og mestring"/>
    <x v="1"/>
    <x v="1"/>
    <n v="1195"/>
    <n v="119550"/>
    <s v="Kommunale gebyrer"/>
    <n v="0"/>
    <n v="11.95"/>
    <n v="-11.95"/>
    <n v="11.95"/>
  </r>
  <r>
    <x v="8"/>
    <s v="September"/>
    <n v="9"/>
    <s v="T3"/>
    <x v="1"/>
    <s v="Kommunal Boenhet"/>
    <n v="254"/>
    <s v="Helse og mestring"/>
    <x v="1"/>
    <x v="1"/>
    <n v="1195"/>
    <n v="119550"/>
    <s v="Kommunale gebyrer"/>
    <n v="0"/>
    <n v="0"/>
    <n v="0"/>
    <n v="0"/>
  </r>
  <r>
    <x v="9"/>
    <s v="Oktober"/>
    <n v="10"/>
    <s v="T3"/>
    <x v="1"/>
    <s v="Kommunal Boenhet"/>
    <n v="254"/>
    <s v="Helse og mestring"/>
    <x v="1"/>
    <x v="1"/>
    <n v="1195"/>
    <n v="119550"/>
    <s v="Kommunale gebyrer"/>
    <n v="0"/>
    <n v="0"/>
    <n v="0"/>
    <n v="0"/>
  </r>
  <r>
    <x v="10"/>
    <s v="November"/>
    <n v="11"/>
    <s v="T3"/>
    <x v="1"/>
    <s v="Kommunal Boenhet"/>
    <n v="254"/>
    <s v="Helse og mestring"/>
    <x v="1"/>
    <x v="1"/>
    <n v="1195"/>
    <n v="119550"/>
    <s v="Kommunale gebyrer"/>
    <n v="0"/>
    <n v="0"/>
    <n v="0"/>
    <n v="0"/>
  </r>
  <r>
    <x v="11"/>
    <s v="Desember"/>
    <n v="12"/>
    <s v="T3"/>
    <x v="1"/>
    <s v="Kommunal Boenhet"/>
    <n v="254"/>
    <s v="Helse og mestring"/>
    <x v="1"/>
    <x v="1"/>
    <n v="1195"/>
    <n v="119550"/>
    <s v="Kommunale gebyrer"/>
    <n v="0"/>
    <n v="0"/>
    <n v="0"/>
    <n v="0"/>
  </r>
  <r>
    <x v="0"/>
    <s v="Januar"/>
    <n v="1"/>
    <s v="T1"/>
    <x v="0"/>
    <s v="Kommunal Boenhet"/>
    <n v="254"/>
    <s v="Helse og mestring"/>
    <x v="1"/>
    <x v="1"/>
    <n v="1195"/>
    <n v="119590"/>
    <s v="Andre avgifter, gebyrer og lisenser"/>
    <n v="0"/>
    <n v="0"/>
    <n v="0"/>
    <n v="0"/>
  </r>
  <r>
    <x v="1"/>
    <s v="Februar"/>
    <n v="2"/>
    <s v="T1"/>
    <x v="0"/>
    <s v="Kommunal Boenhet"/>
    <n v="254"/>
    <s v="Helse og mestring"/>
    <x v="1"/>
    <x v="1"/>
    <n v="1195"/>
    <n v="119590"/>
    <s v="Andre avgifter, gebyrer og lisenser"/>
    <n v="0"/>
    <n v="0"/>
    <n v="0"/>
    <n v="0"/>
  </r>
  <r>
    <x v="2"/>
    <s v="Mars"/>
    <n v="3"/>
    <s v="T1"/>
    <x v="0"/>
    <s v="Kommunal Boenhet"/>
    <n v="254"/>
    <s v="Helse og mestring"/>
    <x v="1"/>
    <x v="1"/>
    <n v="1195"/>
    <n v="119590"/>
    <s v="Andre avgifter, gebyrer og lisenser"/>
    <n v="0"/>
    <n v="0"/>
    <n v="0"/>
    <n v="0"/>
  </r>
  <r>
    <x v="3"/>
    <s v="April"/>
    <n v="4"/>
    <s v="T1"/>
    <x v="0"/>
    <s v="Kommunal Boenhet"/>
    <n v="254"/>
    <s v="Helse og mestring"/>
    <x v="1"/>
    <x v="1"/>
    <n v="1195"/>
    <n v="119590"/>
    <s v="Andre avgifter, gebyrer og lisenser"/>
    <n v="0"/>
    <n v="0"/>
    <n v="0"/>
    <n v="0"/>
  </r>
  <r>
    <x v="4"/>
    <s v="Mai"/>
    <n v="5"/>
    <s v="T2"/>
    <x v="0"/>
    <s v="Kommunal Boenhet"/>
    <n v="254"/>
    <s v="Helse og mestring"/>
    <x v="1"/>
    <x v="1"/>
    <n v="1195"/>
    <n v="119590"/>
    <s v="Andre avgifter, gebyrer og lisenser"/>
    <n v="0"/>
    <n v="0"/>
    <n v="0"/>
    <n v="0"/>
  </r>
  <r>
    <x v="5"/>
    <s v="Juni"/>
    <n v="6"/>
    <s v="T2"/>
    <x v="0"/>
    <s v="Kommunal Boenhet"/>
    <n v="254"/>
    <s v="Helse og mestring"/>
    <x v="1"/>
    <x v="1"/>
    <n v="1195"/>
    <n v="119590"/>
    <s v="Andre avgifter, gebyrer og lisenser"/>
    <n v="0"/>
    <n v="0"/>
    <n v="0"/>
    <n v="0"/>
  </r>
  <r>
    <x v="6"/>
    <s v="Juli"/>
    <n v="7"/>
    <s v="T2"/>
    <x v="0"/>
    <s v="Kommunal Boenhet"/>
    <n v="254"/>
    <s v="Helse og mestring"/>
    <x v="1"/>
    <x v="1"/>
    <n v="1195"/>
    <n v="119590"/>
    <s v="Andre avgifter, gebyrer og lisenser"/>
    <n v="0"/>
    <n v="0"/>
    <n v="0"/>
    <n v="0"/>
  </r>
  <r>
    <x v="7"/>
    <s v="August"/>
    <n v="8"/>
    <s v="T2"/>
    <x v="0"/>
    <s v="Kommunal Boenhet"/>
    <n v="254"/>
    <s v="Helse og mestring"/>
    <x v="1"/>
    <x v="1"/>
    <n v="1195"/>
    <n v="119590"/>
    <s v="Andre avgifter, gebyrer og lisenser"/>
    <n v="0"/>
    <n v="0"/>
    <n v="0"/>
    <n v="0"/>
  </r>
  <r>
    <x v="8"/>
    <s v="September"/>
    <n v="9"/>
    <s v="T3"/>
    <x v="1"/>
    <s v="Kommunal Boenhet"/>
    <n v="254"/>
    <s v="Helse og mestring"/>
    <x v="1"/>
    <x v="1"/>
    <n v="1195"/>
    <n v="119590"/>
    <s v="Andre avgifter, gebyrer og lisenser"/>
    <n v="0"/>
    <n v="0"/>
    <n v="0"/>
    <n v="0"/>
  </r>
  <r>
    <x v="9"/>
    <s v="Oktober"/>
    <n v="10"/>
    <s v="T3"/>
    <x v="1"/>
    <s v="Kommunal Boenhet"/>
    <n v="254"/>
    <s v="Helse og mestring"/>
    <x v="1"/>
    <x v="1"/>
    <n v="1195"/>
    <n v="119590"/>
    <s v="Andre avgifter, gebyrer og lisenser"/>
    <n v="0"/>
    <n v="0"/>
    <n v="0"/>
    <n v="0"/>
  </r>
  <r>
    <x v="10"/>
    <s v="November"/>
    <n v="11"/>
    <s v="T3"/>
    <x v="1"/>
    <s v="Kommunal Boenhet"/>
    <n v="254"/>
    <s v="Helse og mestring"/>
    <x v="1"/>
    <x v="1"/>
    <n v="1195"/>
    <n v="119590"/>
    <s v="Andre avgifter, gebyrer og lisenser"/>
    <n v="0"/>
    <n v="0"/>
    <n v="0"/>
    <n v="0"/>
  </r>
  <r>
    <x v="11"/>
    <s v="Desember"/>
    <n v="12"/>
    <s v="T3"/>
    <x v="1"/>
    <s v="Kommunal Boenhet"/>
    <n v="254"/>
    <s v="Helse og mestring"/>
    <x v="1"/>
    <x v="1"/>
    <n v="1195"/>
    <n v="119590"/>
    <s v="Andre avgifter, gebyrer og lisenser"/>
    <n v="0"/>
    <n v="0"/>
    <n v="0"/>
    <n v="0"/>
  </r>
  <r>
    <x v="0"/>
    <s v="Januar"/>
    <n v="1"/>
    <s v="T1"/>
    <x v="0"/>
    <s v="Kommunal Boenhet"/>
    <n v="254"/>
    <s v="Helse og mestring"/>
    <x v="1"/>
    <x v="1"/>
    <n v="1200"/>
    <n v="120000"/>
    <s v="Inventar - møbler, madrasser"/>
    <n v="4078"/>
    <n v="0"/>
    <n v="4078"/>
    <n v="-4078"/>
  </r>
  <r>
    <x v="1"/>
    <s v="Februar"/>
    <n v="2"/>
    <s v="T1"/>
    <x v="0"/>
    <s v="Kommunal Boenhet"/>
    <n v="254"/>
    <s v="Helse og mestring"/>
    <x v="1"/>
    <x v="1"/>
    <n v="1200"/>
    <n v="120000"/>
    <s v="Inventar - møbler, madrasser"/>
    <n v="4078"/>
    <n v="0"/>
    <n v="4078"/>
    <n v="-4078"/>
  </r>
  <r>
    <x v="2"/>
    <s v="Mars"/>
    <n v="3"/>
    <s v="T1"/>
    <x v="0"/>
    <s v="Kommunal Boenhet"/>
    <n v="254"/>
    <s v="Helse og mestring"/>
    <x v="1"/>
    <x v="1"/>
    <n v="1200"/>
    <n v="120000"/>
    <s v="Inventar - møbler, madrasser"/>
    <n v="4078"/>
    <n v="0"/>
    <n v="4078"/>
    <n v="-4078"/>
  </r>
  <r>
    <x v="3"/>
    <s v="April"/>
    <n v="4"/>
    <s v="T1"/>
    <x v="0"/>
    <s v="Kommunal Boenhet"/>
    <n v="254"/>
    <s v="Helse og mestring"/>
    <x v="1"/>
    <x v="1"/>
    <n v="1200"/>
    <n v="120000"/>
    <s v="Inventar - møbler, madrasser"/>
    <n v="4078"/>
    <n v="0"/>
    <n v="4078"/>
    <n v="-4078"/>
  </r>
  <r>
    <x v="4"/>
    <s v="Mai"/>
    <n v="5"/>
    <s v="T2"/>
    <x v="0"/>
    <s v="Kommunal Boenhet"/>
    <n v="254"/>
    <s v="Helse og mestring"/>
    <x v="1"/>
    <x v="1"/>
    <n v="1200"/>
    <n v="120000"/>
    <s v="Inventar - møbler, madrasser"/>
    <n v="4078"/>
    <n v="0"/>
    <n v="4078"/>
    <n v="-4078"/>
  </r>
  <r>
    <x v="5"/>
    <s v="Juni"/>
    <n v="6"/>
    <s v="T2"/>
    <x v="0"/>
    <s v="Kommunal Boenhet"/>
    <n v="254"/>
    <s v="Helse og mestring"/>
    <x v="1"/>
    <x v="1"/>
    <n v="1200"/>
    <n v="120000"/>
    <s v="Inventar - møbler, madrasser"/>
    <n v="4078"/>
    <n v="0"/>
    <n v="4078"/>
    <n v="-4078"/>
  </r>
  <r>
    <x v="6"/>
    <s v="Juli"/>
    <n v="7"/>
    <s v="T2"/>
    <x v="0"/>
    <s v="Kommunal Boenhet"/>
    <n v="254"/>
    <s v="Helse og mestring"/>
    <x v="1"/>
    <x v="1"/>
    <n v="1200"/>
    <n v="120000"/>
    <s v="Inventar - møbler, madrasser"/>
    <n v="4078"/>
    <n v="0"/>
    <n v="4078"/>
    <n v="-4078"/>
  </r>
  <r>
    <x v="7"/>
    <s v="August"/>
    <n v="8"/>
    <s v="T2"/>
    <x v="0"/>
    <s v="Kommunal Boenhet"/>
    <n v="254"/>
    <s v="Helse og mestring"/>
    <x v="1"/>
    <x v="1"/>
    <n v="1200"/>
    <n v="120000"/>
    <s v="Inventar - møbler, madrasser"/>
    <n v="4078"/>
    <n v="0"/>
    <n v="4078"/>
    <n v="-4078"/>
  </r>
  <r>
    <x v="8"/>
    <s v="September"/>
    <n v="9"/>
    <s v="T3"/>
    <x v="1"/>
    <s v="Kommunal Boenhet"/>
    <n v="254"/>
    <s v="Helse og mestring"/>
    <x v="1"/>
    <x v="1"/>
    <n v="1200"/>
    <n v="120000"/>
    <s v="Inventar - møbler, madrasser"/>
    <n v="4078"/>
    <n v="0"/>
    <n v="0"/>
    <n v="-4078"/>
  </r>
  <r>
    <x v="9"/>
    <s v="Oktober"/>
    <n v="10"/>
    <s v="T3"/>
    <x v="1"/>
    <s v="Kommunal Boenhet"/>
    <n v="254"/>
    <s v="Helse og mestring"/>
    <x v="1"/>
    <x v="1"/>
    <n v="1200"/>
    <n v="120000"/>
    <s v="Inventar - møbler, madrasser"/>
    <n v="4078"/>
    <n v="0"/>
    <n v="0"/>
    <n v="-4078"/>
  </r>
  <r>
    <x v="10"/>
    <s v="November"/>
    <n v="11"/>
    <s v="T3"/>
    <x v="1"/>
    <s v="Kommunal Boenhet"/>
    <n v="254"/>
    <s v="Helse og mestring"/>
    <x v="1"/>
    <x v="1"/>
    <n v="1200"/>
    <n v="120000"/>
    <s v="Inventar - møbler, madrasser"/>
    <n v="4078"/>
    <n v="0"/>
    <n v="0"/>
    <n v="-4078"/>
  </r>
  <r>
    <x v="11"/>
    <s v="Desember"/>
    <n v="12"/>
    <s v="T3"/>
    <x v="1"/>
    <s v="Kommunal Boenhet"/>
    <n v="254"/>
    <s v="Helse og mestring"/>
    <x v="1"/>
    <x v="1"/>
    <n v="1200"/>
    <n v="120000"/>
    <s v="Inventar - møbler, madrasser"/>
    <n v="4142"/>
    <n v="0"/>
    <n v="0"/>
    <n v="-4142"/>
  </r>
  <r>
    <x v="0"/>
    <s v="Januar"/>
    <n v="1"/>
    <s v="T1"/>
    <x v="0"/>
    <s v="Kommunal Boenhet"/>
    <n v="254"/>
    <s v="Helse og mestring"/>
    <x v="1"/>
    <x v="1"/>
    <n v="1200"/>
    <n v="120010"/>
    <s v="Datautstyr, ikke elev-pcer"/>
    <n v="1164"/>
    <n v="0"/>
    <n v="1164"/>
    <n v="-1164"/>
  </r>
  <r>
    <x v="1"/>
    <s v="Februar"/>
    <n v="2"/>
    <s v="T1"/>
    <x v="0"/>
    <s v="Kommunal Boenhet"/>
    <n v="254"/>
    <s v="Helse og mestring"/>
    <x v="1"/>
    <x v="1"/>
    <n v="1200"/>
    <n v="120010"/>
    <s v="Datautstyr, ikke elev-pcer"/>
    <n v="1164"/>
    <n v="4026"/>
    <n v="-2862"/>
    <n v="2862"/>
  </r>
  <r>
    <x v="2"/>
    <s v="Mars"/>
    <n v="3"/>
    <s v="T1"/>
    <x v="0"/>
    <s v="Kommunal Boenhet"/>
    <n v="254"/>
    <s v="Helse og mestring"/>
    <x v="1"/>
    <x v="1"/>
    <n v="1200"/>
    <n v="120010"/>
    <s v="Datautstyr, ikke elev-pcer"/>
    <n v="1164"/>
    <n v="0"/>
    <n v="1164"/>
    <n v="-1164"/>
  </r>
  <r>
    <x v="3"/>
    <s v="April"/>
    <n v="4"/>
    <s v="T1"/>
    <x v="0"/>
    <s v="Kommunal Boenhet"/>
    <n v="254"/>
    <s v="Helse og mestring"/>
    <x v="1"/>
    <x v="1"/>
    <n v="1200"/>
    <n v="120010"/>
    <s v="Datautstyr, ikke elev-pcer"/>
    <n v="1164"/>
    <n v="0"/>
    <n v="1164"/>
    <n v="-1164"/>
  </r>
  <r>
    <x v="4"/>
    <s v="Mai"/>
    <n v="5"/>
    <s v="T2"/>
    <x v="0"/>
    <s v="Kommunal Boenhet"/>
    <n v="254"/>
    <s v="Helse og mestring"/>
    <x v="1"/>
    <x v="1"/>
    <n v="1200"/>
    <n v="120010"/>
    <s v="Datautstyr, ikke elev-pcer"/>
    <n v="1164"/>
    <n v="0"/>
    <n v="1164"/>
    <n v="-1164"/>
  </r>
  <r>
    <x v="5"/>
    <s v="Juni"/>
    <n v="6"/>
    <s v="T2"/>
    <x v="0"/>
    <s v="Kommunal Boenhet"/>
    <n v="254"/>
    <s v="Helse og mestring"/>
    <x v="1"/>
    <x v="1"/>
    <n v="1200"/>
    <n v="120010"/>
    <s v="Datautstyr, ikke elev-pcer"/>
    <n v="1164"/>
    <n v="0"/>
    <n v="1164"/>
    <n v="-1164"/>
  </r>
  <r>
    <x v="6"/>
    <s v="Juli"/>
    <n v="7"/>
    <s v="T2"/>
    <x v="0"/>
    <s v="Kommunal Boenhet"/>
    <n v="254"/>
    <s v="Helse og mestring"/>
    <x v="1"/>
    <x v="1"/>
    <n v="1200"/>
    <n v="120010"/>
    <s v="Datautstyr, ikke elev-pcer"/>
    <n v="1164"/>
    <n v="0"/>
    <n v="1164"/>
    <n v="-1164"/>
  </r>
  <r>
    <x v="7"/>
    <s v="August"/>
    <n v="8"/>
    <s v="T2"/>
    <x v="0"/>
    <s v="Kommunal Boenhet"/>
    <n v="254"/>
    <s v="Helse og mestring"/>
    <x v="1"/>
    <x v="1"/>
    <n v="1200"/>
    <n v="120010"/>
    <s v="Datautstyr, ikke elev-pcer"/>
    <n v="1164"/>
    <n v="11046.27"/>
    <n v="-9882.27"/>
    <n v="9882.27"/>
  </r>
  <r>
    <x v="8"/>
    <s v="September"/>
    <n v="9"/>
    <s v="T3"/>
    <x v="1"/>
    <s v="Kommunal Boenhet"/>
    <n v="254"/>
    <s v="Helse og mestring"/>
    <x v="1"/>
    <x v="1"/>
    <n v="1200"/>
    <n v="120010"/>
    <s v="Datautstyr, ikke elev-pcer"/>
    <n v="1164"/>
    <n v="0"/>
    <n v="0"/>
    <n v="-1164"/>
  </r>
  <r>
    <x v="9"/>
    <s v="Oktober"/>
    <n v="10"/>
    <s v="T3"/>
    <x v="1"/>
    <s v="Kommunal Boenhet"/>
    <n v="254"/>
    <s v="Helse og mestring"/>
    <x v="1"/>
    <x v="1"/>
    <n v="1200"/>
    <n v="120010"/>
    <s v="Datautstyr, ikke elev-pcer"/>
    <n v="1164"/>
    <n v="0"/>
    <n v="0"/>
    <n v="-1164"/>
  </r>
  <r>
    <x v="10"/>
    <s v="November"/>
    <n v="11"/>
    <s v="T3"/>
    <x v="1"/>
    <s v="Kommunal Boenhet"/>
    <n v="254"/>
    <s v="Helse og mestring"/>
    <x v="1"/>
    <x v="1"/>
    <n v="1200"/>
    <n v="120010"/>
    <s v="Datautstyr, ikke elev-pcer"/>
    <n v="1164"/>
    <n v="0"/>
    <n v="0"/>
    <n v="-1164"/>
  </r>
  <r>
    <x v="11"/>
    <s v="Desember"/>
    <n v="12"/>
    <s v="T3"/>
    <x v="1"/>
    <s v="Kommunal Boenhet"/>
    <n v="254"/>
    <s v="Helse og mestring"/>
    <x v="1"/>
    <x v="1"/>
    <n v="1200"/>
    <n v="120010"/>
    <s v="Datautstyr, ikke elev-pcer"/>
    <n v="1196"/>
    <n v="0"/>
    <n v="0"/>
    <n v="-1196"/>
  </r>
  <r>
    <x v="0"/>
    <s v="Januar"/>
    <n v="1"/>
    <s v="T1"/>
    <x v="0"/>
    <s v="Kommunal Boenhet"/>
    <n v="254"/>
    <s v="Helse og mestring"/>
    <x v="1"/>
    <x v="1"/>
    <n v="1200"/>
    <n v="120015"/>
    <s v="Kjøp av mobiltlf / telefon / nettbrett"/>
    <n v="1868"/>
    <n v="0"/>
    <n v="1868"/>
    <n v="-1868"/>
  </r>
  <r>
    <x v="1"/>
    <s v="Februar"/>
    <n v="2"/>
    <s v="T1"/>
    <x v="0"/>
    <s v="Kommunal Boenhet"/>
    <n v="254"/>
    <s v="Helse og mestring"/>
    <x v="1"/>
    <x v="1"/>
    <n v="1200"/>
    <n v="120015"/>
    <s v="Kjøp av mobiltlf / telefon / nettbrett"/>
    <n v="1868"/>
    <n v="0"/>
    <n v="1868"/>
    <n v="-1868"/>
  </r>
  <r>
    <x v="2"/>
    <s v="Mars"/>
    <n v="3"/>
    <s v="T1"/>
    <x v="0"/>
    <s v="Kommunal Boenhet"/>
    <n v="254"/>
    <s v="Helse og mestring"/>
    <x v="1"/>
    <x v="1"/>
    <n v="1200"/>
    <n v="120015"/>
    <s v="Kjøp av mobiltlf / telefon / nettbrett"/>
    <n v="1868"/>
    <n v="0"/>
    <n v="1868"/>
    <n v="-1868"/>
  </r>
  <r>
    <x v="3"/>
    <s v="April"/>
    <n v="4"/>
    <s v="T1"/>
    <x v="0"/>
    <s v="Kommunal Boenhet"/>
    <n v="254"/>
    <s v="Helse og mestring"/>
    <x v="1"/>
    <x v="1"/>
    <n v="1200"/>
    <n v="120015"/>
    <s v="Kjøp av mobiltlf / telefon / nettbrett"/>
    <n v="1868"/>
    <n v="5026.2"/>
    <n v="-3158.2"/>
    <n v="3158.2"/>
  </r>
  <r>
    <x v="4"/>
    <s v="Mai"/>
    <n v="5"/>
    <s v="T2"/>
    <x v="0"/>
    <s v="Kommunal Boenhet"/>
    <n v="254"/>
    <s v="Helse og mestring"/>
    <x v="1"/>
    <x v="1"/>
    <n v="1200"/>
    <n v="120015"/>
    <s v="Kjøp av mobiltlf / telefon / nettbrett"/>
    <n v="1868"/>
    <n v="0"/>
    <n v="1868"/>
    <n v="-1868"/>
  </r>
  <r>
    <x v="5"/>
    <s v="Juni"/>
    <n v="6"/>
    <s v="T2"/>
    <x v="0"/>
    <s v="Kommunal Boenhet"/>
    <n v="254"/>
    <s v="Helse og mestring"/>
    <x v="1"/>
    <x v="1"/>
    <n v="1200"/>
    <n v="120015"/>
    <s v="Kjøp av mobiltlf / telefon / nettbrett"/>
    <n v="1868"/>
    <n v="5760"/>
    <n v="-3892"/>
    <n v="3892"/>
  </r>
  <r>
    <x v="6"/>
    <s v="Juli"/>
    <n v="7"/>
    <s v="T2"/>
    <x v="0"/>
    <s v="Kommunal Boenhet"/>
    <n v="254"/>
    <s v="Helse og mestring"/>
    <x v="1"/>
    <x v="1"/>
    <n v="1200"/>
    <n v="120015"/>
    <s v="Kjøp av mobiltlf / telefon / nettbrett"/>
    <n v="1868"/>
    <n v="0"/>
    <n v="1868"/>
    <n v="-1868"/>
  </r>
  <r>
    <x v="7"/>
    <s v="August"/>
    <n v="8"/>
    <s v="T2"/>
    <x v="0"/>
    <s v="Kommunal Boenhet"/>
    <n v="254"/>
    <s v="Helse og mestring"/>
    <x v="1"/>
    <x v="1"/>
    <n v="1200"/>
    <n v="120015"/>
    <s v="Kjøp av mobiltlf / telefon / nettbrett"/>
    <n v="1868"/>
    <n v="0"/>
    <n v="1868"/>
    <n v="-1868"/>
  </r>
  <r>
    <x v="8"/>
    <s v="September"/>
    <n v="9"/>
    <s v="T3"/>
    <x v="1"/>
    <s v="Kommunal Boenhet"/>
    <n v="254"/>
    <s v="Helse og mestring"/>
    <x v="1"/>
    <x v="1"/>
    <n v="1200"/>
    <n v="120015"/>
    <s v="Kjøp av mobiltlf / telefon / nettbrett"/>
    <n v="1868"/>
    <n v="0"/>
    <n v="0"/>
    <n v="-1868"/>
  </r>
  <r>
    <x v="9"/>
    <s v="Oktober"/>
    <n v="10"/>
    <s v="T3"/>
    <x v="1"/>
    <s v="Kommunal Boenhet"/>
    <n v="254"/>
    <s v="Helse og mestring"/>
    <x v="1"/>
    <x v="1"/>
    <n v="1200"/>
    <n v="120015"/>
    <s v="Kjøp av mobiltlf / telefon / nettbrett"/>
    <n v="1868"/>
    <n v="0"/>
    <n v="0"/>
    <n v="-1868"/>
  </r>
  <r>
    <x v="10"/>
    <s v="November"/>
    <n v="11"/>
    <s v="T3"/>
    <x v="1"/>
    <s v="Kommunal Boenhet"/>
    <n v="254"/>
    <s v="Helse og mestring"/>
    <x v="1"/>
    <x v="1"/>
    <n v="1200"/>
    <n v="120015"/>
    <s v="Kjøp av mobiltlf / telefon / nettbrett"/>
    <n v="1868"/>
    <n v="0"/>
    <n v="0"/>
    <n v="-1868"/>
  </r>
  <r>
    <x v="11"/>
    <s v="Desember"/>
    <n v="12"/>
    <s v="T3"/>
    <x v="1"/>
    <s v="Kommunal Boenhet"/>
    <n v="254"/>
    <s v="Helse og mestring"/>
    <x v="1"/>
    <x v="1"/>
    <n v="1200"/>
    <n v="120015"/>
    <s v="Kjøp av mobiltlf / telefon / nettbrett"/>
    <n v="1452"/>
    <n v="0"/>
    <n v="0"/>
    <n v="-1452"/>
  </r>
  <r>
    <x v="0"/>
    <s v="Januar"/>
    <n v="1"/>
    <s v="T1"/>
    <x v="0"/>
    <s v="Kommunal Boenhet"/>
    <n v="254"/>
    <s v="Helse og mestring"/>
    <x v="1"/>
    <x v="1"/>
    <n v="1200"/>
    <n v="120030"/>
    <s v="Hvite / brune varer / elektriske produkter"/>
    <n v="0"/>
    <n v="0"/>
    <n v="0"/>
    <n v="0"/>
  </r>
  <r>
    <x v="1"/>
    <s v="Februar"/>
    <n v="2"/>
    <s v="T1"/>
    <x v="0"/>
    <s v="Kommunal Boenhet"/>
    <n v="254"/>
    <s v="Helse og mestring"/>
    <x v="1"/>
    <x v="1"/>
    <n v="1200"/>
    <n v="120030"/>
    <s v="Hvite / brune varer / elektriske produkter"/>
    <n v="0"/>
    <n v="0"/>
    <n v="0"/>
    <n v="0"/>
  </r>
  <r>
    <x v="2"/>
    <s v="Mars"/>
    <n v="3"/>
    <s v="T1"/>
    <x v="0"/>
    <s v="Kommunal Boenhet"/>
    <n v="254"/>
    <s v="Helse og mestring"/>
    <x v="1"/>
    <x v="1"/>
    <n v="1200"/>
    <n v="120030"/>
    <s v="Hvite / brune varer / elektriske produkter"/>
    <n v="0"/>
    <n v="0"/>
    <n v="0"/>
    <n v="0"/>
  </r>
  <r>
    <x v="3"/>
    <s v="April"/>
    <n v="4"/>
    <s v="T1"/>
    <x v="0"/>
    <s v="Kommunal Boenhet"/>
    <n v="254"/>
    <s v="Helse og mestring"/>
    <x v="1"/>
    <x v="1"/>
    <n v="1200"/>
    <n v="120030"/>
    <s v="Hvite / brune varer / elektriske produkter"/>
    <n v="0"/>
    <n v="0"/>
    <n v="0"/>
    <n v="0"/>
  </r>
  <r>
    <x v="4"/>
    <s v="Mai"/>
    <n v="5"/>
    <s v="T2"/>
    <x v="0"/>
    <s v="Kommunal Boenhet"/>
    <n v="254"/>
    <s v="Helse og mestring"/>
    <x v="1"/>
    <x v="1"/>
    <n v="1200"/>
    <n v="120030"/>
    <s v="Hvite / brune varer / elektriske produkter"/>
    <n v="0"/>
    <n v="0"/>
    <n v="0"/>
    <n v="0"/>
  </r>
  <r>
    <x v="5"/>
    <s v="Juni"/>
    <n v="6"/>
    <s v="T2"/>
    <x v="0"/>
    <s v="Kommunal Boenhet"/>
    <n v="254"/>
    <s v="Helse og mestring"/>
    <x v="1"/>
    <x v="1"/>
    <n v="1200"/>
    <n v="120030"/>
    <s v="Hvite / brune varer / elektriske produkter"/>
    <n v="0"/>
    <n v="0"/>
    <n v="0"/>
    <n v="0"/>
  </r>
  <r>
    <x v="6"/>
    <s v="Juli"/>
    <n v="7"/>
    <s v="T2"/>
    <x v="0"/>
    <s v="Kommunal Boenhet"/>
    <n v="254"/>
    <s v="Helse og mestring"/>
    <x v="1"/>
    <x v="1"/>
    <n v="1200"/>
    <n v="120030"/>
    <s v="Hvite / brune varer / elektriske produkter"/>
    <n v="0"/>
    <n v="0"/>
    <n v="0"/>
    <n v="0"/>
  </r>
  <r>
    <x v="7"/>
    <s v="August"/>
    <n v="8"/>
    <s v="T2"/>
    <x v="0"/>
    <s v="Kommunal Boenhet"/>
    <n v="254"/>
    <s v="Helse og mestring"/>
    <x v="1"/>
    <x v="1"/>
    <n v="1200"/>
    <n v="120030"/>
    <s v="Hvite / brune varer / elektriske produkter"/>
    <n v="0"/>
    <n v="0"/>
    <n v="0"/>
    <n v="0"/>
  </r>
  <r>
    <x v="8"/>
    <s v="September"/>
    <n v="9"/>
    <s v="T3"/>
    <x v="1"/>
    <s v="Kommunal Boenhet"/>
    <n v="254"/>
    <s v="Helse og mestring"/>
    <x v="1"/>
    <x v="1"/>
    <n v="1200"/>
    <n v="120030"/>
    <s v="Hvite / brune varer / elektriske produkter"/>
    <n v="0"/>
    <n v="0"/>
    <n v="0"/>
    <n v="0"/>
  </r>
  <r>
    <x v="9"/>
    <s v="Oktober"/>
    <n v="10"/>
    <s v="T3"/>
    <x v="1"/>
    <s v="Kommunal Boenhet"/>
    <n v="254"/>
    <s v="Helse og mestring"/>
    <x v="1"/>
    <x v="1"/>
    <n v="1200"/>
    <n v="120030"/>
    <s v="Hvite / brune varer / elektriske produkter"/>
    <n v="0"/>
    <n v="0"/>
    <n v="0"/>
    <n v="0"/>
  </r>
  <r>
    <x v="10"/>
    <s v="November"/>
    <n v="11"/>
    <s v="T3"/>
    <x v="1"/>
    <s v="Kommunal Boenhet"/>
    <n v="254"/>
    <s v="Helse og mestring"/>
    <x v="1"/>
    <x v="1"/>
    <n v="1200"/>
    <n v="120030"/>
    <s v="Hvite / brune varer / elektriske produkter"/>
    <n v="0"/>
    <n v="0"/>
    <n v="0"/>
    <n v="0"/>
  </r>
  <r>
    <x v="11"/>
    <s v="Desember"/>
    <n v="12"/>
    <s v="T3"/>
    <x v="1"/>
    <s v="Kommunal Boenhet"/>
    <n v="254"/>
    <s v="Helse og mestring"/>
    <x v="1"/>
    <x v="1"/>
    <n v="1200"/>
    <n v="120030"/>
    <s v="Hvite / brune varer / elektriske produkter"/>
    <n v="0"/>
    <n v="0"/>
    <n v="0"/>
    <n v="0"/>
  </r>
  <r>
    <x v="0"/>
    <s v="Januar"/>
    <n v="1"/>
    <s v="T1"/>
    <x v="0"/>
    <s v="Kommunal Boenhet"/>
    <n v="254"/>
    <s v="Helse og mestring"/>
    <x v="1"/>
    <x v="1"/>
    <n v="1200"/>
    <n v="120045"/>
    <s v="Kjøkkenutstyr"/>
    <n v="0"/>
    <n v="0"/>
    <n v="0"/>
    <n v="0"/>
  </r>
  <r>
    <x v="1"/>
    <s v="Februar"/>
    <n v="2"/>
    <s v="T1"/>
    <x v="0"/>
    <s v="Kommunal Boenhet"/>
    <n v="254"/>
    <s v="Helse og mestring"/>
    <x v="1"/>
    <x v="1"/>
    <n v="1200"/>
    <n v="120045"/>
    <s v="Kjøkkenutstyr"/>
    <n v="0"/>
    <n v="0"/>
    <n v="0"/>
    <n v="0"/>
  </r>
  <r>
    <x v="2"/>
    <s v="Mars"/>
    <n v="3"/>
    <s v="T1"/>
    <x v="0"/>
    <s v="Kommunal Boenhet"/>
    <n v="254"/>
    <s v="Helse og mestring"/>
    <x v="1"/>
    <x v="1"/>
    <n v="1200"/>
    <n v="120045"/>
    <s v="Kjøkkenutstyr"/>
    <n v="0"/>
    <n v="0"/>
    <n v="0"/>
    <n v="0"/>
  </r>
  <r>
    <x v="3"/>
    <s v="April"/>
    <n v="4"/>
    <s v="T1"/>
    <x v="0"/>
    <s v="Kommunal Boenhet"/>
    <n v="254"/>
    <s v="Helse og mestring"/>
    <x v="1"/>
    <x v="1"/>
    <n v="1200"/>
    <n v="120045"/>
    <s v="Kjøkkenutstyr"/>
    <n v="0"/>
    <n v="0"/>
    <n v="0"/>
    <n v="0"/>
  </r>
  <r>
    <x v="4"/>
    <s v="Mai"/>
    <n v="5"/>
    <s v="T2"/>
    <x v="0"/>
    <s v="Kommunal Boenhet"/>
    <n v="254"/>
    <s v="Helse og mestring"/>
    <x v="1"/>
    <x v="1"/>
    <n v="1200"/>
    <n v="120045"/>
    <s v="Kjøkkenutstyr"/>
    <n v="0"/>
    <n v="0"/>
    <n v="0"/>
    <n v="0"/>
  </r>
  <r>
    <x v="5"/>
    <s v="Juni"/>
    <n v="6"/>
    <s v="T2"/>
    <x v="0"/>
    <s v="Kommunal Boenhet"/>
    <n v="254"/>
    <s v="Helse og mestring"/>
    <x v="1"/>
    <x v="1"/>
    <n v="1200"/>
    <n v="120045"/>
    <s v="Kjøkkenutstyr"/>
    <n v="0"/>
    <n v="3314.4"/>
    <n v="-3314.4"/>
    <n v="3314.4"/>
  </r>
  <r>
    <x v="6"/>
    <s v="Juli"/>
    <n v="7"/>
    <s v="T2"/>
    <x v="0"/>
    <s v="Kommunal Boenhet"/>
    <n v="254"/>
    <s v="Helse og mestring"/>
    <x v="1"/>
    <x v="1"/>
    <n v="1200"/>
    <n v="120045"/>
    <s v="Kjøkkenutstyr"/>
    <n v="0"/>
    <n v="0"/>
    <n v="0"/>
    <n v="0"/>
  </r>
  <r>
    <x v="7"/>
    <s v="August"/>
    <n v="8"/>
    <s v="T2"/>
    <x v="0"/>
    <s v="Kommunal Boenhet"/>
    <n v="254"/>
    <s v="Helse og mestring"/>
    <x v="1"/>
    <x v="1"/>
    <n v="1200"/>
    <n v="120045"/>
    <s v="Kjøkkenutstyr"/>
    <n v="0"/>
    <n v="0"/>
    <n v="0"/>
    <n v="0"/>
  </r>
  <r>
    <x v="8"/>
    <s v="September"/>
    <n v="9"/>
    <s v="T3"/>
    <x v="1"/>
    <s v="Kommunal Boenhet"/>
    <n v="254"/>
    <s v="Helse og mestring"/>
    <x v="1"/>
    <x v="1"/>
    <n v="1200"/>
    <n v="120045"/>
    <s v="Kjøkkenutstyr"/>
    <n v="0"/>
    <n v="0"/>
    <n v="0"/>
    <n v="0"/>
  </r>
  <r>
    <x v="9"/>
    <s v="Oktober"/>
    <n v="10"/>
    <s v="T3"/>
    <x v="1"/>
    <s v="Kommunal Boenhet"/>
    <n v="254"/>
    <s v="Helse og mestring"/>
    <x v="1"/>
    <x v="1"/>
    <n v="1200"/>
    <n v="120045"/>
    <s v="Kjøkkenutstyr"/>
    <n v="0"/>
    <n v="0"/>
    <n v="0"/>
    <n v="0"/>
  </r>
  <r>
    <x v="10"/>
    <s v="November"/>
    <n v="11"/>
    <s v="T3"/>
    <x v="1"/>
    <s v="Kommunal Boenhet"/>
    <n v="254"/>
    <s v="Helse og mestring"/>
    <x v="1"/>
    <x v="1"/>
    <n v="1200"/>
    <n v="120045"/>
    <s v="Kjøkkenutstyr"/>
    <n v="0"/>
    <n v="0"/>
    <n v="0"/>
    <n v="0"/>
  </r>
  <r>
    <x v="11"/>
    <s v="Desember"/>
    <n v="12"/>
    <s v="T3"/>
    <x v="1"/>
    <s v="Kommunal Boenhet"/>
    <n v="254"/>
    <s v="Helse og mestring"/>
    <x v="1"/>
    <x v="1"/>
    <n v="1200"/>
    <n v="120045"/>
    <s v="Kjøkkenutstyr"/>
    <n v="0"/>
    <n v="0"/>
    <n v="0"/>
    <n v="0"/>
  </r>
  <r>
    <x v="0"/>
    <s v="Januar"/>
    <n v="1"/>
    <s v="T1"/>
    <x v="0"/>
    <s v="Kommunal Boenhet"/>
    <n v="254"/>
    <s v="Helse og mestring"/>
    <x v="1"/>
    <x v="1"/>
    <n v="1200"/>
    <n v="120090"/>
    <s v="Annet utstyr / andre maskiner"/>
    <n v="0"/>
    <n v="0"/>
    <n v="0"/>
    <n v="0"/>
  </r>
  <r>
    <x v="1"/>
    <s v="Februar"/>
    <n v="2"/>
    <s v="T1"/>
    <x v="0"/>
    <s v="Kommunal Boenhet"/>
    <n v="254"/>
    <s v="Helse og mestring"/>
    <x v="1"/>
    <x v="1"/>
    <n v="1200"/>
    <n v="120090"/>
    <s v="Annet utstyr / andre maskiner"/>
    <n v="0"/>
    <n v="0"/>
    <n v="0"/>
    <n v="0"/>
  </r>
  <r>
    <x v="2"/>
    <s v="Mars"/>
    <n v="3"/>
    <s v="T1"/>
    <x v="0"/>
    <s v="Kommunal Boenhet"/>
    <n v="254"/>
    <s v="Helse og mestring"/>
    <x v="1"/>
    <x v="1"/>
    <n v="1200"/>
    <n v="120090"/>
    <s v="Annet utstyr / andre maskiner"/>
    <n v="0"/>
    <n v="0"/>
    <n v="0"/>
    <n v="0"/>
  </r>
  <r>
    <x v="3"/>
    <s v="April"/>
    <n v="4"/>
    <s v="T1"/>
    <x v="0"/>
    <s v="Kommunal Boenhet"/>
    <n v="254"/>
    <s v="Helse og mestring"/>
    <x v="1"/>
    <x v="1"/>
    <n v="1200"/>
    <n v="120090"/>
    <s v="Annet utstyr / andre maskiner"/>
    <n v="0"/>
    <n v="0"/>
    <n v="0"/>
    <n v="0"/>
  </r>
  <r>
    <x v="4"/>
    <s v="Mai"/>
    <n v="5"/>
    <s v="T2"/>
    <x v="0"/>
    <s v="Kommunal Boenhet"/>
    <n v="254"/>
    <s v="Helse og mestring"/>
    <x v="1"/>
    <x v="1"/>
    <n v="1200"/>
    <n v="120090"/>
    <s v="Annet utstyr / andre maskiner"/>
    <n v="0"/>
    <n v="0"/>
    <n v="0"/>
    <n v="0"/>
  </r>
  <r>
    <x v="5"/>
    <s v="Juni"/>
    <n v="6"/>
    <s v="T2"/>
    <x v="0"/>
    <s v="Kommunal Boenhet"/>
    <n v="254"/>
    <s v="Helse og mestring"/>
    <x v="1"/>
    <x v="1"/>
    <n v="1200"/>
    <n v="120090"/>
    <s v="Annet utstyr / andre maskiner"/>
    <n v="0"/>
    <n v="0"/>
    <n v="0"/>
    <n v="0"/>
  </r>
  <r>
    <x v="6"/>
    <s v="Juli"/>
    <n v="7"/>
    <s v="T2"/>
    <x v="0"/>
    <s v="Kommunal Boenhet"/>
    <n v="254"/>
    <s v="Helse og mestring"/>
    <x v="1"/>
    <x v="1"/>
    <n v="1200"/>
    <n v="120090"/>
    <s v="Annet utstyr / andre maskiner"/>
    <n v="0"/>
    <n v="0"/>
    <n v="0"/>
    <n v="0"/>
  </r>
  <r>
    <x v="7"/>
    <s v="August"/>
    <n v="8"/>
    <s v="T2"/>
    <x v="0"/>
    <s v="Kommunal Boenhet"/>
    <n v="254"/>
    <s v="Helse og mestring"/>
    <x v="1"/>
    <x v="1"/>
    <n v="1200"/>
    <n v="120090"/>
    <s v="Annet utstyr / andre maskiner"/>
    <n v="0"/>
    <n v="0"/>
    <n v="0"/>
    <n v="0"/>
  </r>
  <r>
    <x v="8"/>
    <s v="September"/>
    <n v="9"/>
    <s v="T3"/>
    <x v="1"/>
    <s v="Kommunal Boenhet"/>
    <n v="254"/>
    <s v="Helse og mestring"/>
    <x v="1"/>
    <x v="1"/>
    <n v="1200"/>
    <n v="120090"/>
    <s v="Annet utstyr / andre maskiner"/>
    <n v="0"/>
    <n v="0"/>
    <n v="0"/>
    <n v="0"/>
  </r>
  <r>
    <x v="9"/>
    <s v="Oktober"/>
    <n v="10"/>
    <s v="T3"/>
    <x v="1"/>
    <s v="Kommunal Boenhet"/>
    <n v="254"/>
    <s v="Helse og mestring"/>
    <x v="1"/>
    <x v="1"/>
    <n v="1200"/>
    <n v="120090"/>
    <s v="Annet utstyr / andre maskiner"/>
    <n v="0"/>
    <n v="0"/>
    <n v="0"/>
    <n v="0"/>
  </r>
  <r>
    <x v="10"/>
    <s v="November"/>
    <n v="11"/>
    <s v="T3"/>
    <x v="1"/>
    <s v="Kommunal Boenhet"/>
    <n v="254"/>
    <s v="Helse og mestring"/>
    <x v="1"/>
    <x v="1"/>
    <n v="1200"/>
    <n v="120090"/>
    <s v="Annet utstyr / andre maskiner"/>
    <n v="0"/>
    <n v="0"/>
    <n v="0"/>
    <n v="0"/>
  </r>
  <r>
    <x v="11"/>
    <s v="Desember"/>
    <n v="12"/>
    <s v="T3"/>
    <x v="1"/>
    <s v="Kommunal Boenhet"/>
    <n v="254"/>
    <s v="Helse og mestring"/>
    <x v="1"/>
    <x v="1"/>
    <n v="1200"/>
    <n v="120090"/>
    <s v="Annet utstyr / andre maskiner"/>
    <n v="0"/>
    <n v="0"/>
    <n v="0"/>
    <n v="0"/>
  </r>
  <r>
    <x v="0"/>
    <s v="Januar"/>
    <n v="1"/>
    <s v="T1"/>
    <x v="0"/>
    <s v="Kommunal Boenhet"/>
    <n v="254"/>
    <s v="Helse og mestring"/>
    <x v="1"/>
    <x v="1"/>
    <n v="1210"/>
    <n v="121010"/>
    <s v="Leie / leasing av transportmidler"/>
    <n v="0"/>
    <n v="221.4"/>
    <n v="-221.4"/>
    <n v="221.4"/>
  </r>
  <r>
    <x v="1"/>
    <s v="Februar"/>
    <n v="2"/>
    <s v="T1"/>
    <x v="0"/>
    <s v="Kommunal Boenhet"/>
    <n v="254"/>
    <s v="Helse og mestring"/>
    <x v="1"/>
    <x v="1"/>
    <n v="1210"/>
    <n v="121010"/>
    <s v="Leie / leasing av transportmidler"/>
    <n v="0"/>
    <n v="3564.51"/>
    <n v="-3564.51"/>
    <n v="3564.51"/>
  </r>
  <r>
    <x v="2"/>
    <s v="Mars"/>
    <n v="3"/>
    <s v="T1"/>
    <x v="0"/>
    <s v="Kommunal Boenhet"/>
    <n v="254"/>
    <s v="Helse og mestring"/>
    <x v="1"/>
    <x v="1"/>
    <n v="1210"/>
    <n v="121010"/>
    <s v="Leie / leasing av transportmidler"/>
    <n v="0"/>
    <n v="3595.97"/>
    <n v="-3595.97"/>
    <n v="3595.97"/>
  </r>
  <r>
    <x v="3"/>
    <s v="April"/>
    <n v="4"/>
    <s v="T1"/>
    <x v="0"/>
    <s v="Kommunal Boenhet"/>
    <n v="254"/>
    <s v="Helse og mestring"/>
    <x v="1"/>
    <x v="1"/>
    <n v="1210"/>
    <n v="121010"/>
    <s v="Leie / leasing av transportmidler"/>
    <n v="0"/>
    <n v="3938.21"/>
    <n v="-3938.21"/>
    <n v="3938.21"/>
  </r>
  <r>
    <x v="4"/>
    <s v="Mai"/>
    <n v="5"/>
    <s v="T2"/>
    <x v="0"/>
    <s v="Kommunal Boenhet"/>
    <n v="254"/>
    <s v="Helse og mestring"/>
    <x v="1"/>
    <x v="1"/>
    <n v="1210"/>
    <n v="121010"/>
    <s v="Leie / leasing av transportmidler"/>
    <n v="0"/>
    <n v="4730.22"/>
    <n v="-4730.22"/>
    <n v="4730.22"/>
  </r>
  <r>
    <x v="5"/>
    <s v="Juni"/>
    <n v="6"/>
    <s v="T2"/>
    <x v="0"/>
    <s v="Kommunal Boenhet"/>
    <n v="254"/>
    <s v="Helse og mestring"/>
    <x v="1"/>
    <x v="1"/>
    <n v="1210"/>
    <n v="121010"/>
    <s v="Leie / leasing av transportmidler"/>
    <n v="0"/>
    <n v="1416.2"/>
    <n v="-1416.2"/>
    <n v="1416.2"/>
  </r>
  <r>
    <x v="6"/>
    <s v="Juli"/>
    <n v="7"/>
    <s v="T2"/>
    <x v="0"/>
    <s v="Kommunal Boenhet"/>
    <n v="254"/>
    <s v="Helse og mestring"/>
    <x v="1"/>
    <x v="1"/>
    <n v="1210"/>
    <n v="121010"/>
    <s v="Leie / leasing av transportmidler"/>
    <n v="0"/>
    <n v="3719.8"/>
    <n v="-3719.8"/>
    <n v="3719.8"/>
  </r>
  <r>
    <x v="7"/>
    <s v="August"/>
    <n v="8"/>
    <s v="T2"/>
    <x v="0"/>
    <s v="Kommunal Boenhet"/>
    <n v="254"/>
    <s v="Helse og mestring"/>
    <x v="1"/>
    <x v="1"/>
    <n v="1210"/>
    <n v="121010"/>
    <s v="Leie / leasing av transportmidler"/>
    <n v="0"/>
    <n v="468.81"/>
    <n v="-468.81"/>
    <n v="468.81"/>
  </r>
  <r>
    <x v="8"/>
    <s v="September"/>
    <n v="9"/>
    <s v="T3"/>
    <x v="1"/>
    <s v="Kommunal Boenhet"/>
    <n v="254"/>
    <s v="Helse og mestring"/>
    <x v="1"/>
    <x v="1"/>
    <n v="1210"/>
    <n v="121010"/>
    <s v="Leie / leasing av transportmidler"/>
    <n v="0"/>
    <n v="0"/>
    <n v="0"/>
    <n v="0"/>
  </r>
  <r>
    <x v="9"/>
    <s v="Oktober"/>
    <n v="10"/>
    <s v="T3"/>
    <x v="1"/>
    <s v="Kommunal Boenhet"/>
    <n v="254"/>
    <s v="Helse og mestring"/>
    <x v="1"/>
    <x v="1"/>
    <n v="1210"/>
    <n v="121010"/>
    <s v="Leie / leasing av transportmidler"/>
    <n v="0"/>
    <n v="0"/>
    <n v="0"/>
    <n v="0"/>
  </r>
  <r>
    <x v="10"/>
    <s v="November"/>
    <n v="11"/>
    <s v="T3"/>
    <x v="1"/>
    <s v="Kommunal Boenhet"/>
    <n v="254"/>
    <s v="Helse og mestring"/>
    <x v="1"/>
    <x v="1"/>
    <n v="1210"/>
    <n v="121010"/>
    <s v="Leie / leasing av transportmidler"/>
    <n v="0"/>
    <n v="0"/>
    <n v="0"/>
    <n v="0"/>
  </r>
  <r>
    <x v="11"/>
    <s v="Desember"/>
    <n v="12"/>
    <s v="T3"/>
    <x v="1"/>
    <s v="Kommunal Boenhet"/>
    <n v="254"/>
    <s v="Helse og mestring"/>
    <x v="1"/>
    <x v="1"/>
    <n v="1210"/>
    <n v="121010"/>
    <s v="Leie / leasing av transportmidler"/>
    <n v="0"/>
    <n v="0"/>
    <n v="0"/>
    <n v="0"/>
  </r>
  <r>
    <x v="0"/>
    <s v="Januar"/>
    <n v="1"/>
    <s v="T1"/>
    <x v="0"/>
    <s v="Kommunal Boenhet"/>
    <n v="254"/>
    <s v="Helse og mestring"/>
    <x v="1"/>
    <x v="1"/>
    <n v="1220"/>
    <n v="122000"/>
    <s v="Leie av kontorutstyr / maskiner"/>
    <n v="1700"/>
    <n v="2658"/>
    <n v="-958"/>
    <n v="958"/>
  </r>
  <r>
    <x v="1"/>
    <s v="Februar"/>
    <n v="2"/>
    <s v="T1"/>
    <x v="0"/>
    <s v="Kommunal Boenhet"/>
    <n v="254"/>
    <s v="Helse og mestring"/>
    <x v="1"/>
    <x v="1"/>
    <n v="1220"/>
    <n v="122000"/>
    <s v="Leie av kontorutstyr / maskiner"/>
    <n v="1700"/>
    <n v="0"/>
    <n v="1700"/>
    <n v="-1700"/>
  </r>
  <r>
    <x v="2"/>
    <s v="Mars"/>
    <n v="3"/>
    <s v="T1"/>
    <x v="0"/>
    <s v="Kommunal Boenhet"/>
    <n v="254"/>
    <s v="Helse og mestring"/>
    <x v="1"/>
    <x v="1"/>
    <n v="1220"/>
    <n v="122000"/>
    <s v="Leie av kontorutstyr / maskiner"/>
    <n v="1700"/>
    <n v="0"/>
    <n v="1700"/>
    <n v="-1700"/>
  </r>
  <r>
    <x v="3"/>
    <s v="April"/>
    <n v="4"/>
    <s v="T1"/>
    <x v="0"/>
    <s v="Kommunal Boenhet"/>
    <n v="254"/>
    <s v="Helse og mestring"/>
    <x v="1"/>
    <x v="1"/>
    <n v="1220"/>
    <n v="122000"/>
    <s v="Leie av kontorutstyr / maskiner"/>
    <n v="1700"/>
    <n v="2658"/>
    <n v="-958"/>
    <n v="958"/>
  </r>
  <r>
    <x v="4"/>
    <s v="Mai"/>
    <n v="5"/>
    <s v="T2"/>
    <x v="0"/>
    <s v="Kommunal Boenhet"/>
    <n v="254"/>
    <s v="Helse og mestring"/>
    <x v="1"/>
    <x v="1"/>
    <n v="1220"/>
    <n v="122000"/>
    <s v="Leie av kontorutstyr / maskiner"/>
    <n v="1700"/>
    <n v="0"/>
    <n v="1700"/>
    <n v="-1700"/>
  </r>
  <r>
    <x v="5"/>
    <s v="Juni"/>
    <n v="6"/>
    <s v="T2"/>
    <x v="0"/>
    <s v="Kommunal Boenhet"/>
    <n v="254"/>
    <s v="Helse og mestring"/>
    <x v="1"/>
    <x v="1"/>
    <n v="1220"/>
    <n v="122000"/>
    <s v="Leie av kontorutstyr / maskiner"/>
    <n v="1700"/>
    <n v="0"/>
    <n v="1700"/>
    <n v="-1700"/>
  </r>
  <r>
    <x v="6"/>
    <s v="Juli"/>
    <n v="7"/>
    <s v="T2"/>
    <x v="0"/>
    <s v="Kommunal Boenhet"/>
    <n v="254"/>
    <s v="Helse og mestring"/>
    <x v="1"/>
    <x v="1"/>
    <n v="1220"/>
    <n v="122000"/>
    <s v="Leie av kontorutstyr / maskiner"/>
    <n v="1700"/>
    <n v="2658"/>
    <n v="-958"/>
    <n v="958"/>
  </r>
  <r>
    <x v="7"/>
    <s v="August"/>
    <n v="8"/>
    <s v="T2"/>
    <x v="0"/>
    <s v="Kommunal Boenhet"/>
    <n v="254"/>
    <s v="Helse og mestring"/>
    <x v="1"/>
    <x v="1"/>
    <n v="1220"/>
    <n v="122000"/>
    <s v="Leie av kontorutstyr / maskiner"/>
    <n v="1700"/>
    <n v="0"/>
    <n v="1700"/>
    <n v="-1700"/>
  </r>
  <r>
    <x v="8"/>
    <s v="September"/>
    <n v="9"/>
    <s v="T3"/>
    <x v="1"/>
    <s v="Kommunal Boenhet"/>
    <n v="254"/>
    <s v="Helse og mestring"/>
    <x v="1"/>
    <x v="1"/>
    <n v="1220"/>
    <n v="122000"/>
    <s v="Leie av kontorutstyr / maskiner"/>
    <n v="1700"/>
    <n v="0"/>
    <n v="0"/>
    <n v="-1700"/>
  </r>
  <r>
    <x v="9"/>
    <s v="Oktober"/>
    <n v="10"/>
    <s v="T3"/>
    <x v="1"/>
    <s v="Kommunal Boenhet"/>
    <n v="254"/>
    <s v="Helse og mestring"/>
    <x v="1"/>
    <x v="1"/>
    <n v="1220"/>
    <n v="122000"/>
    <s v="Leie av kontorutstyr / maskiner"/>
    <n v="1700"/>
    <n v="0"/>
    <n v="0"/>
    <n v="-1700"/>
  </r>
  <r>
    <x v="10"/>
    <s v="November"/>
    <n v="11"/>
    <s v="T3"/>
    <x v="1"/>
    <s v="Kommunal Boenhet"/>
    <n v="254"/>
    <s v="Helse og mestring"/>
    <x v="1"/>
    <x v="1"/>
    <n v="1220"/>
    <n v="122000"/>
    <s v="Leie av kontorutstyr / maskiner"/>
    <n v="1700"/>
    <n v="0"/>
    <n v="0"/>
    <n v="-1700"/>
  </r>
  <r>
    <x v="11"/>
    <s v="Desember"/>
    <n v="12"/>
    <s v="T3"/>
    <x v="1"/>
    <s v="Kommunal Boenhet"/>
    <n v="254"/>
    <s v="Helse og mestring"/>
    <x v="1"/>
    <x v="1"/>
    <n v="1220"/>
    <n v="122000"/>
    <s v="Leie av kontorutstyr / maskiner"/>
    <n v="1300"/>
    <n v="0"/>
    <n v="0"/>
    <n v="-1300"/>
  </r>
  <r>
    <x v="0"/>
    <s v="Januar"/>
    <n v="1"/>
    <s v="T1"/>
    <x v="0"/>
    <s v="Kommunal Boenhet"/>
    <n v="254"/>
    <s v="Helse og mestring"/>
    <x v="1"/>
    <x v="1"/>
    <n v="1230"/>
    <n v="123020"/>
    <s v="Vedlikehold - bygning"/>
    <n v="0"/>
    <n v="0"/>
    <n v="0"/>
    <n v="0"/>
  </r>
  <r>
    <x v="1"/>
    <s v="Februar"/>
    <n v="2"/>
    <s v="T1"/>
    <x v="0"/>
    <s v="Kommunal Boenhet"/>
    <n v="254"/>
    <s v="Helse og mestring"/>
    <x v="1"/>
    <x v="1"/>
    <n v="1230"/>
    <n v="123020"/>
    <s v="Vedlikehold - bygning"/>
    <n v="0"/>
    <n v="0"/>
    <n v="0"/>
    <n v="0"/>
  </r>
  <r>
    <x v="2"/>
    <s v="Mars"/>
    <n v="3"/>
    <s v="T1"/>
    <x v="0"/>
    <s v="Kommunal Boenhet"/>
    <n v="254"/>
    <s v="Helse og mestring"/>
    <x v="1"/>
    <x v="1"/>
    <n v="1230"/>
    <n v="123020"/>
    <s v="Vedlikehold - bygning"/>
    <n v="0"/>
    <n v="0"/>
    <n v="0"/>
    <n v="0"/>
  </r>
  <r>
    <x v="3"/>
    <s v="April"/>
    <n v="4"/>
    <s v="T1"/>
    <x v="0"/>
    <s v="Kommunal Boenhet"/>
    <n v="254"/>
    <s v="Helse og mestring"/>
    <x v="1"/>
    <x v="1"/>
    <n v="1230"/>
    <n v="123020"/>
    <s v="Vedlikehold - bygning"/>
    <n v="0"/>
    <n v="0"/>
    <n v="0"/>
    <n v="0"/>
  </r>
  <r>
    <x v="4"/>
    <s v="Mai"/>
    <n v="5"/>
    <s v="T2"/>
    <x v="0"/>
    <s v="Kommunal Boenhet"/>
    <n v="254"/>
    <s v="Helse og mestring"/>
    <x v="1"/>
    <x v="1"/>
    <n v="1230"/>
    <n v="123020"/>
    <s v="Vedlikehold - bygning"/>
    <n v="0"/>
    <n v="0"/>
    <n v="0"/>
    <n v="0"/>
  </r>
  <r>
    <x v="5"/>
    <s v="Juni"/>
    <n v="6"/>
    <s v="T2"/>
    <x v="0"/>
    <s v="Kommunal Boenhet"/>
    <n v="254"/>
    <s v="Helse og mestring"/>
    <x v="1"/>
    <x v="1"/>
    <n v="1230"/>
    <n v="123020"/>
    <s v="Vedlikehold - bygning"/>
    <n v="0"/>
    <n v="0"/>
    <n v="0"/>
    <n v="0"/>
  </r>
  <r>
    <x v="6"/>
    <s v="Juli"/>
    <n v="7"/>
    <s v="T2"/>
    <x v="0"/>
    <s v="Kommunal Boenhet"/>
    <n v="254"/>
    <s v="Helse og mestring"/>
    <x v="1"/>
    <x v="1"/>
    <n v="1230"/>
    <n v="123020"/>
    <s v="Vedlikehold - bygning"/>
    <n v="0"/>
    <n v="0"/>
    <n v="0"/>
    <n v="0"/>
  </r>
  <r>
    <x v="7"/>
    <s v="August"/>
    <n v="8"/>
    <s v="T2"/>
    <x v="0"/>
    <s v="Kommunal Boenhet"/>
    <n v="254"/>
    <s v="Helse og mestring"/>
    <x v="1"/>
    <x v="1"/>
    <n v="1230"/>
    <n v="123020"/>
    <s v="Vedlikehold - bygning"/>
    <n v="0"/>
    <n v="0"/>
    <n v="0"/>
    <n v="0"/>
  </r>
  <r>
    <x v="8"/>
    <s v="September"/>
    <n v="9"/>
    <s v="T3"/>
    <x v="1"/>
    <s v="Kommunal Boenhet"/>
    <n v="254"/>
    <s v="Helse og mestring"/>
    <x v="1"/>
    <x v="1"/>
    <n v="1230"/>
    <n v="123020"/>
    <s v="Vedlikehold - bygning"/>
    <n v="0"/>
    <n v="0"/>
    <n v="0"/>
    <n v="0"/>
  </r>
  <r>
    <x v="9"/>
    <s v="Oktober"/>
    <n v="10"/>
    <s v="T3"/>
    <x v="1"/>
    <s v="Kommunal Boenhet"/>
    <n v="254"/>
    <s v="Helse og mestring"/>
    <x v="1"/>
    <x v="1"/>
    <n v="1230"/>
    <n v="123020"/>
    <s v="Vedlikehold - bygning"/>
    <n v="0"/>
    <n v="0"/>
    <n v="0"/>
    <n v="0"/>
  </r>
  <r>
    <x v="10"/>
    <s v="November"/>
    <n v="11"/>
    <s v="T3"/>
    <x v="1"/>
    <s v="Kommunal Boenhet"/>
    <n v="254"/>
    <s v="Helse og mestring"/>
    <x v="1"/>
    <x v="1"/>
    <n v="1230"/>
    <n v="123020"/>
    <s v="Vedlikehold - bygning"/>
    <n v="0"/>
    <n v="0"/>
    <n v="0"/>
    <n v="0"/>
  </r>
  <r>
    <x v="11"/>
    <s v="Desember"/>
    <n v="12"/>
    <s v="T3"/>
    <x v="1"/>
    <s v="Kommunal Boenhet"/>
    <n v="254"/>
    <s v="Helse og mestring"/>
    <x v="1"/>
    <x v="1"/>
    <n v="1230"/>
    <n v="123020"/>
    <s v="Vedlikehold - bygning"/>
    <n v="0"/>
    <n v="0"/>
    <n v="0"/>
    <n v="0"/>
  </r>
  <r>
    <x v="0"/>
    <s v="Januar"/>
    <n v="1"/>
    <s v="T1"/>
    <x v="0"/>
    <s v="Kommunal Boenhet"/>
    <n v="254"/>
    <s v="Helse og mestring"/>
    <x v="1"/>
    <x v="1"/>
    <n v="1230"/>
    <n v="123022"/>
    <s v="Vedlikehold - elektriske installasjoner"/>
    <n v="0"/>
    <n v="0"/>
    <n v="0"/>
    <n v="0"/>
  </r>
  <r>
    <x v="1"/>
    <s v="Februar"/>
    <n v="2"/>
    <s v="T1"/>
    <x v="0"/>
    <s v="Kommunal Boenhet"/>
    <n v="254"/>
    <s v="Helse og mestring"/>
    <x v="1"/>
    <x v="1"/>
    <n v="1230"/>
    <n v="123022"/>
    <s v="Vedlikehold - elektriske installasjoner"/>
    <n v="0"/>
    <n v="9432.57"/>
    <n v="-9432.57"/>
    <n v="9432.57"/>
  </r>
  <r>
    <x v="2"/>
    <s v="Mars"/>
    <n v="3"/>
    <s v="T1"/>
    <x v="0"/>
    <s v="Kommunal Boenhet"/>
    <n v="254"/>
    <s v="Helse og mestring"/>
    <x v="1"/>
    <x v="1"/>
    <n v="1230"/>
    <n v="123022"/>
    <s v="Vedlikehold - elektriske installasjoner"/>
    <n v="0"/>
    <n v="0"/>
    <n v="0"/>
    <n v="0"/>
  </r>
  <r>
    <x v="3"/>
    <s v="April"/>
    <n v="4"/>
    <s v="T1"/>
    <x v="0"/>
    <s v="Kommunal Boenhet"/>
    <n v="254"/>
    <s v="Helse og mestring"/>
    <x v="1"/>
    <x v="1"/>
    <n v="1230"/>
    <n v="123022"/>
    <s v="Vedlikehold - elektriske installasjoner"/>
    <n v="0"/>
    <n v="0"/>
    <n v="0"/>
    <n v="0"/>
  </r>
  <r>
    <x v="4"/>
    <s v="Mai"/>
    <n v="5"/>
    <s v="T2"/>
    <x v="0"/>
    <s v="Kommunal Boenhet"/>
    <n v="254"/>
    <s v="Helse og mestring"/>
    <x v="1"/>
    <x v="1"/>
    <n v="1230"/>
    <n v="123022"/>
    <s v="Vedlikehold - elektriske installasjoner"/>
    <n v="0"/>
    <n v="1470"/>
    <n v="-1470"/>
    <n v="1470"/>
  </r>
  <r>
    <x v="5"/>
    <s v="Juni"/>
    <n v="6"/>
    <s v="T2"/>
    <x v="0"/>
    <s v="Kommunal Boenhet"/>
    <n v="254"/>
    <s v="Helse og mestring"/>
    <x v="1"/>
    <x v="1"/>
    <n v="1230"/>
    <n v="123022"/>
    <s v="Vedlikehold - elektriske installasjoner"/>
    <n v="0"/>
    <n v="0"/>
    <n v="0"/>
    <n v="0"/>
  </r>
  <r>
    <x v="6"/>
    <s v="Juli"/>
    <n v="7"/>
    <s v="T2"/>
    <x v="0"/>
    <s v="Kommunal Boenhet"/>
    <n v="254"/>
    <s v="Helse og mestring"/>
    <x v="1"/>
    <x v="1"/>
    <n v="1230"/>
    <n v="123022"/>
    <s v="Vedlikehold - elektriske installasjoner"/>
    <n v="0"/>
    <n v="0"/>
    <n v="0"/>
    <n v="0"/>
  </r>
  <r>
    <x v="7"/>
    <s v="August"/>
    <n v="8"/>
    <s v="T2"/>
    <x v="0"/>
    <s v="Kommunal Boenhet"/>
    <n v="254"/>
    <s v="Helse og mestring"/>
    <x v="1"/>
    <x v="1"/>
    <n v="1230"/>
    <n v="123022"/>
    <s v="Vedlikehold - elektriske installasjoner"/>
    <n v="0"/>
    <n v="0"/>
    <n v="0"/>
    <n v="0"/>
  </r>
  <r>
    <x v="8"/>
    <s v="September"/>
    <n v="9"/>
    <s v="T3"/>
    <x v="1"/>
    <s v="Kommunal Boenhet"/>
    <n v="254"/>
    <s v="Helse og mestring"/>
    <x v="1"/>
    <x v="1"/>
    <n v="1230"/>
    <n v="123022"/>
    <s v="Vedlikehold - elektriske installasjoner"/>
    <n v="0"/>
    <n v="0"/>
    <n v="0"/>
    <n v="0"/>
  </r>
  <r>
    <x v="9"/>
    <s v="Oktober"/>
    <n v="10"/>
    <s v="T3"/>
    <x v="1"/>
    <s v="Kommunal Boenhet"/>
    <n v="254"/>
    <s v="Helse og mestring"/>
    <x v="1"/>
    <x v="1"/>
    <n v="1230"/>
    <n v="123022"/>
    <s v="Vedlikehold - elektriske installasjoner"/>
    <n v="0"/>
    <n v="0"/>
    <n v="0"/>
    <n v="0"/>
  </r>
  <r>
    <x v="10"/>
    <s v="November"/>
    <n v="11"/>
    <s v="T3"/>
    <x v="1"/>
    <s v="Kommunal Boenhet"/>
    <n v="254"/>
    <s v="Helse og mestring"/>
    <x v="1"/>
    <x v="1"/>
    <n v="1230"/>
    <n v="123022"/>
    <s v="Vedlikehold - elektriske installasjoner"/>
    <n v="0"/>
    <n v="0"/>
    <n v="0"/>
    <n v="0"/>
  </r>
  <r>
    <x v="11"/>
    <s v="Desember"/>
    <n v="12"/>
    <s v="T3"/>
    <x v="1"/>
    <s v="Kommunal Boenhet"/>
    <n v="254"/>
    <s v="Helse og mestring"/>
    <x v="1"/>
    <x v="1"/>
    <n v="1230"/>
    <n v="123022"/>
    <s v="Vedlikehold - elektriske installasjoner"/>
    <n v="0"/>
    <n v="0"/>
    <n v="0"/>
    <n v="0"/>
  </r>
  <r>
    <x v="0"/>
    <s v="Januar"/>
    <n v="1"/>
    <s v="T1"/>
    <x v="0"/>
    <s v="Kommunal Boenhet"/>
    <n v="254"/>
    <s v="Helse og mestring"/>
    <x v="1"/>
    <x v="1"/>
    <n v="1240"/>
    <n v="124010"/>
    <s v="Drifts- / serviceavtaler - kontormaskiner"/>
    <n v="0"/>
    <n v="557.4"/>
    <n v="-557.4"/>
    <n v="557.4"/>
  </r>
  <r>
    <x v="1"/>
    <s v="Februar"/>
    <n v="2"/>
    <s v="T1"/>
    <x v="0"/>
    <s v="Kommunal Boenhet"/>
    <n v="254"/>
    <s v="Helse og mestring"/>
    <x v="1"/>
    <x v="1"/>
    <n v="1240"/>
    <n v="124010"/>
    <s v="Drifts- / serviceavtaler - kontormaskiner"/>
    <n v="0"/>
    <n v="572.6"/>
    <n v="-572.6"/>
    <n v="572.6"/>
  </r>
  <r>
    <x v="2"/>
    <s v="Mars"/>
    <n v="3"/>
    <s v="T1"/>
    <x v="0"/>
    <s v="Kommunal Boenhet"/>
    <n v="254"/>
    <s v="Helse og mestring"/>
    <x v="1"/>
    <x v="1"/>
    <n v="1240"/>
    <n v="124010"/>
    <s v="Drifts- / serviceavtaler - kontormaskiner"/>
    <n v="0"/>
    <n v="0"/>
    <n v="0"/>
    <n v="0"/>
  </r>
  <r>
    <x v="3"/>
    <s v="April"/>
    <n v="4"/>
    <s v="T1"/>
    <x v="0"/>
    <s v="Kommunal Boenhet"/>
    <n v="254"/>
    <s v="Helse og mestring"/>
    <x v="1"/>
    <x v="1"/>
    <n v="1240"/>
    <n v="124010"/>
    <s v="Drifts- / serviceavtaler - kontormaskiner"/>
    <n v="0"/>
    <n v="1676.4"/>
    <n v="-1676.4"/>
    <n v="1676.4"/>
  </r>
  <r>
    <x v="4"/>
    <s v="Mai"/>
    <n v="5"/>
    <s v="T2"/>
    <x v="0"/>
    <s v="Kommunal Boenhet"/>
    <n v="254"/>
    <s v="Helse og mestring"/>
    <x v="1"/>
    <x v="1"/>
    <n v="1240"/>
    <n v="124010"/>
    <s v="Drifts- / serviceavtaler - kontormaskiner"/>
    <n v="0"/>
    <n v="692"/>
    <n v="-692"/>
    <n v="692"/>
  </r>
  <r>
    <x v="5"/>
    <s v="Juni"/>
    <n v="6"/>
    <s v="T2"/>
    <x v="0"/>
    <s v="Kommunal Boenhet"/>
    <n v="254"/>
    <s v="Helse og mestring"/>
    <x v="1"/>
    <x v="1"/>
    <n v="1240"/>
    <n v="124010"/>
    <s v="Drifts- / serviceavtaler - kontormaskiner"/>
    <n v="0"/>
    <n v="0"/>
    <n v="0"/>
    <n v="0"/>
  </r>
  <r>
    <x v="6"/>
    <s v="Juli"/>
    <n v="7"/>
    <s v="T2"/>
    <x v="0"/>
    <s v="Kommunal Boenhet"/>
    <n v="254"/>
    <s v="Helse og mestring"/>
    <x v="1"/>
    <x v="1"/>
    <n v="1240"/>
    <n v="124010"/>
    <s v="Drifts- / serviceavtaler - kontormaskiner"/>
    <n v="0"/>
    <n v="1515.9"/>
    <n v="-1515.9"/>
    <n v="1515.9"/>
  </r>
  <r>
    <x v="7"/>
    <s v="August"/>
    <n v="8"/>
    <s v="T2"/>
    <x v="0"/>
    <s v="Kommunal Boenhet"/>
    <n v="254"/>
    <s v="Helse og mestring"/>
    <x v="1"/>
    <x v="1"/>
    <n v="1240"/>
    <n v="124010"/>
    <s v="Drifts- / serviceavtaler - kontormaskiner"/>
    <n v="0"/>
    <n v="521.20000000000005"/>
    <n v="-521.20000000000005"/>
    <n v="521.20000000000005"/>
  </r>
  <r>
    <x v="8"/>
    <s v="September"/>
    <n v="9"/>
    <s v="T3"/>
    <x v="1"/>
    <s v="Kommunal Boenhet"/>
    <n v="254"/>
    <s v="Helse og mestring"/>
    <x v="1"/>
    <x v="1"/>
    <n v="1240"/>
    <n v="124010"/>
    <s v="Drifts- / serviceavtaler - kontormaskiner"/>
    <n v="0"/>
    <n v="0"/>
    <n v="0"/>
    <n v="0"/>
  </r>
  <r>
    <x v="9"/>
    <s v="Oktober"/>
    <n v="10"/>
    <s v="T3"/>
    <x v="1"/>
    <s v="Kommunal Boenhet"/>
    <n v="254"/>
    <s v="Helse og mestring"/>
    <x v="1"/>
    <x v="1"/>
    <n v="1240"/>
    <n v="124010"/>
    <s v="Drifts- / serviceavtaler - kontormaskiner"/>
    <n v="0"/>
    <n v="0"/>
    <n v="0"/>
    <n v="0"/>
  </r>
  <r>
    <x v="10"/>
    <s v="November"/>
    <n v="11"/>
    <s v="T3"/>
    <x v="1"/>
    <s v="Kommunal Boenhet"/>
    <n v="254"/>
    <s v="Helse og mestring"/>
    <x v="1"/>
    <x v="1"/>
    <n v="1240"/>
    <n v="124010"/>
    <s v="Drifts- / serviceavtaler - kontormaskiner"/>
    <n v="0"/>
    <n v="0"/>
    <n v="0"/>
    <n v="0"/>
  </r>
  <r>
    <x v="11"/>
    <s v="Desember"/>
    <n v="12"/>
    <s v="T3"/>
    <x v="1"/>
    <s v="Kommunal Boenhet"/>
    <n v="254"/>
    <s v="Helse og mestring"/>
    <x v="1"/>
    <x v="1"/>
    <n v="1240"/>
    <n v="124010"/>
    <s v="Drifts- / serviceavtaler - kontormaskiner"/>
    <n v="0"/>
    <n v="0"/>
    <n v="0"/>
    <n v="0"/>
  </r>
  <r>
    <x v="0"/>
    <s v="Januar"/>
    <n v="1"/>
    <s v="T1"/>
    <x v="0"/>
    <s v="Kommunal Boenhet"/>
    <n v="254"/>
    <s v="Helse og mestring"/>
    <x v="1"/>
    <x v="1"/>
    <n v="1240"/>
    <n v="124023"/>
    <s v="Driftsavtaler - medisinsk utstyr"/>
    <n v="0"/>
    <n v="0"/>
    <n v="0"/>
    <n v="0"/>
  </r>
  <r>
    <x v="1"/>
    <s v="Februar"/>
    <n v="2"/>
    <s v="T1"/>
    <x v="0"/>
    <s v="Kommunal Boenhet"/>
    <n v="254"/>
    <s v="Helse og mestring"/>
    <x v="1"/>
    <x v="1"/>
    <n v="1240"/>
    <n v="124023"/>
    <s v="Driftsavtaler - medisinsk utstyr"/>
    <n v="0"/>
    <n v="0"/>
    <n v="0"/>
    <n v="0"/>
  </r>
  <r>
    <x v="2"/>
    <s v="Mars"/>
    <n v="3"/>
    <s v="T1"/>
    <x v="0"/>
    <s v="Kommunal Boenhet"/>
    <n v="254"/>
    <s v="Helse og mestring"/>
    <x v="1"/>
    <x v="1"/>
    <n v="1240"/>
    <n v="124023"/>
    <s v="Driftsavtaler - medisinsk utstyr"/>
    <n v="0"/>
    <n v="0"/>
    <n v="0"/>
    <n v="0"/>
  </r>
  <r>
    <x v="3"/>
    <s v="April"/>
    <n v="4"/>
    <s v="T1"/>
    <x v="0"/>
    <s v="Kommunal Boenhet"/>
    <n v="254"/>
    <s v="Helse og mestring"/>
    <x v="1"/>
    <x v="1"/>
    <n v="1240"/>
    <n v="124023"/>
    <s v="Driftsavtaler - medisinsk utstyr"/>
    <n v="0"/>
    <n v="0"/>
    <n v="0"/>
    <n v="0"/>
  </r>
  <r>
    <x v="4"/>
    <s v="Mai"/>
    <n v="5"/>
    <s v="T2"/>
    <x v="0"/>
    <s v="Kommunal Boenhet"/>
    <n v="254"/>
    <s v="Helse og mestring"/>
    <x v="1"/>
    <x v="1"/>
    <n v="1240"/>
    <n v="124023"/>
    <s v="Driftsavtaler - medisinsk utstyr"/>
    <n v="0"/>
    <n v="0"/>
    <n v="0"/>
    <n v="0"/>
  </r>
  <r>
    <x v="5"/>
    <s v="Juni"/>
    <n v="6"/>
    <s v="T2"/>
    <x v="0"/>
    <s v="Kommunal Boenhet"/>
    <n v="254"/>
    <s v="Helse og mestring"/>
    <x v="1"/>
    <x v="1"/>
    <n v="1240"/>
    <n v="124023"/>
    <s v="Driftsavtaler - medisinsk utstyr"/>
    <n v="0"/>
    <n v="0"/>
    <n v="0"/>
    <n v="0"/>
  </r>
  <r>
    <x v="6"/>
    <s v="Juli"/>
    <n v="7"/>
    <s v="T2"/>
    <x v="0"/>
    <s v="Kommunal Boenhet"/>
    <n v="254"/>
    <s v="Helse og mestring"/>
    <x v="1"/>
    <x v="1"/>
    <n v="1240"/>
    <n v="124023"/>
    <s v="Driftsavtaler - medisinsk utstyr"/>
    <n v="0"/>
    <n v="0"/>
    <n v="0"/>
    <n v="0"/>
  </r>
  <r>
    <x v="7"/>
    <s v="August"/>
    <n v="8"/>
    <s v="T2"/>
    <x v="0"/>
    <s v="Kommunal Boenhet"/>
    <n v="254"/>
    <s v="Helse og mestring"/>
    <x v="1"/>
    <x v="1"/>
    <n v="1240"/>
    <n v="124023"/>
    <s v="Driftsavtaler - medisinsk utstyr"/>
    <n v="0"/>
    <n v="0"/>
    <n v="0"/>
    <n v="0"/>
  </r>
  <r>
    <x v="8"/>
    <s v="September"/>
    <n v="9"/>
    <s v="T3"/>
    <x v="1"/>
    <s v="Kommunal Boenhet"/>
    <n v="254"/>
    <s v="Helse og mestring"/>
    <x v="1"/>
    <x v="1"/>
    <n v="1240"/>
    <n v="124023"/>
    <s v="Driftsavtaler - medisinsk utstyr"/>
    <n v="0"/>
    <n v="0"/>
    <n v="0"/>
    <n v="0"/>
  </r>
  <r>
    <x v="9"/>
    <s v="Oktober"/>
    <n v="10"/>
    <s v="T3"/>
    <x v="1"/>
    <s v="Kommunal Boenhet"/>
    <n v="254"/>
    <s v="Helse og mestring"/>
    <x v="1"/>
    <x v="1"/>
    <n v="1240"/>
    <n v="124023"/>
    <s v="Driftsavtaler - medisinsk utstyr"/>
    <n v="0"/>
    <n v="0"/>
    <n v="0"/>
    <n v="0"/>
  </r>
  <r>
    <x v="10"/>
    <s v="November"/>
    <n v="11"/>
    <s v="T3"/>
    <x v="1"/>
    <s v="Kommunal Boenhet"/>
    <n v="254"/>
    <s v="Helse og mestring"/>
    <x v="1"/>
    <x v="1"/>
    <n v="1240"/>
    <n v="124023"/>
    <s v="Driftsavtaler - medisinsk utstyr"/>
    <n v="0"/>
    <n v="0"/>
    <n v="0"/>
    <n v="0"/>
  </r>
  <r>
    <x v="11"/>
    <s v="Desember"/>
    <n v="12"/>
    <s v="T3"/>
    <x v="1"/>
    <s v="Kommunal Boenhet"/>
    <n v="254"/>
    <s v="Helse og mestring"/>
    <x v="1"/>
    <x v="1"/>
    <n v="1240"/>
    <n v="124023"/>
    <s v="Driftsavtaler - medisinsk utstyr"/>
    <n v="0"/>
    <n v="0"/>
    <n v="0"/>
    <n v="0"/>
  </r>
  <r>
    <x v="0"/>
    <s v="Januar"/>
    <n v="1"/>
    <s v="T1"/>
    <x v="0"/>
    <s v="Kommunal Boenhet"/>
    <n v="254"/>
    <s v="Helse og mestring"/>
    <x v="1"/>
    <x v="1"/>
    <n v="1250"/>
    <n v="125000"/>
    <s v="Materialer til vedl. - bygg"/>
    <n v="0"/>
    <n v="0"/>
    <n v="0"/>
    <n v="0"/>
  </r>
  <r>
    <x v="1"/>
    <s v="Februar"/>
    <n v="2"/>
    <s v="T1"/>
    <x v="0"/>
    <s v="Kommunal Boenhet"/>
    <n v="254"/>
    <s v="Helse og mestring"/>
    <x v="1"/>
    <x v="1"/>
    <n v="1250"/>
    <n v="125000"/>
    <s v="Materialer til vedl. - bygg"/>
    <n v="0"/>
    <n v="0"/>
    <n v="0"/>
    <n v="0"/>
  </r>
  <r>
    <x v="2"/>
    <s v="Mars"/>
    <n v="3"/>
    <s v="T1"/>
    <x v="0"/>
    <s v="Kommunal Boenhet"/>
    <n v="254"/>
    <s v="Helse og mestring"/>
    <x v="1"/>
    <x v="1"/>
    <n v="1250"/>
    <n v="125000"/>
    <s v="Materialer til vedl. - bygg"/>
    <n v="0"/>
    <n v="0"/>
    <n v="0"/>
    <n v="0"/>
  </r>
  <r>
    <x v="3"/>
    <s v="April"/>
    <n v="4"/>
    <s v="T1"/>
    <x v="0"/>
    <s v="Kommunal Boenhet"/>
    <n v="254"/>
    <s v="Helse og mestring"/>
    <x v="1"/>
    <x v="1"/>
    <n v="1250"/>
    <n v="125000"/>
    <s v="Materialer til vedl. - bygg"/>
    <n v="0"/>
    <n v="0"/>
    <n v="0"/>
    <n v="0"/>
  </r>
  <r>
    <x v="4"/>
    <s v="Mai"/>
    <n v="5"/>
    <s v="T2"/>
    <x v="0"/>
    <s v="Kommunal Boenhet"/>
    <n v="254"/>
    <s v="Helse og mestring"/>
    <x v="1"/>
    <x v="1"/>
    <n v="1250"/>
    <n v="125000"/>
    <s v="Materialer til vedl. - bygg"/>
    <n v="0"/>
    <n v="0"/>
    <n v="0"/>
    <n v="0"/>
  </r>
  <r>
    <x v="5"/>
    <s v="Juni"/>
    <n v="6"/>
    <s v="T2"/>
    <x v="0"/>
    <s v="Kommunal Boenhet"/>
    <n v="254"/>
    <s v="Helse og mestring"/>
    <x v="1"/>
    <x v="1"/>
    <n v="1250"/>
    <n v="125000"/>
    <s v="Materialer til vedl. - bygg"/>
    <n v="0"/>
    <n v="0"/>
    <n v="0"/>
    <n v="0"/>
  </r>
  <r>
    <x v="6"/>
    <s v="Juli"/>
    <n v="7"/>
    <s v="T2"/>
    <x v="0"/>
    <s v="Kommunal Boenhet"/>
    <n v="254"/>
    <s v="Helse og mestring"/>
    <x v="1"/>
    <x v="1"/>
    <n v="1250"/>
    <n v="125000"/>
    <s v="Materialer til vedl. - bygg"/>
    <n v="0"/>
    <n v="0"/>
    <n v="0"/>
    <n v="0"/>
  </r>
  <r>
    <x v="7"/>
    <s v="August"/>
    <n v="8"/>
    <s v="T2"/>
    <x v="0"/>
    <s v="Kommunal Boenhet"/>
    <n v="254"/>
    <s v="Helse og mestring"/>
    <x v="1"/>
    <x v="1"/>
    <n v="1250"/>
    <n v="125000"/>
    <s v="Materialer til vedl. - bygg"/>
    <n v="0"/>
    <n v="0"/>
    <n v="0"/>
    <n v="0"/>
  </r>
  <r>
    <x v="8"/>
    <s v="September"/>
    <n v="9"/>
    <s v="T3"/>
    <x v="1"/>
    <s v="Kommunal Boenhet"/>
    <n v="254"/>
    <s v="Helse og mestring"/>
    <x v="1"/>
    <x v="1"/>
    <n v="1250"/>
    <n v="125000"/>
    <s v="Materialer til vedl. - bygg"/>
    <n v="0"/>
    <n v="0"/>
    <n v="0"/>
    <n v="0"/>
  </r>
  <r>
    <x v="9"/>
    <s v="Oktober"/>
    <n v="10"/>
    <s v="T3"/>
    <x v="1"/>
    <s v="Kommunal Boenhet"/>
    <n v="254"/>
    <s v="Helse og mestring"/>
    <x v="1"/>
    <x v="1"/>
    <n v="1250"/>
    <n v="125000"/>
    <s v="Materialer til vedl. - bygg"/>
    <n v="0"/>
    <n v="0"/>
    <n v="0"/>
    <n v="0"/>
  </r>
  <r>
    <x v="10"/>
    <s v="November"/>
    <n v="11"/>
    <s v="T3"/>
    <x v="1"/>
    <s v="Kommunal Boenhet"/>
    <n v="254"/>
    <s v="Helse og mestring"/>
    <x v="1"/>
    <x v="1"/>
    <n v="1250"/>
    <n v="125000"/>
    <s v="Materialer til vedl. - bygg"/>
    <n v="0"/>
    <n v="0"/>
    <n v="0"/>
    <n v="0"/>
  </r>
  <r>
    <x v="11"/>
    <s v="Desember"/>
    <n v="12"/>
    <s v="T3"/>
    <x v="1"/>
    <s v="Kommunal Boenhet"/>
    <n v="254"/>
    <s v="Helse og mestring"/>
    <x v="1"/>
    <x v="1"/>
    <n v="1250"/>
    <n v="125000"/>
    <s v="Materialer til vedl. - bygg"/>
    <n v="0"/>
    <n v="0"/>
    <n v="0"/>
    <n v="0"/>
  </r>
  <r>
    <x v="0"/>
    <s v="Januar"/>
    <n v="1"/>
    <s v="T1"/>
    <x v="0"/>
    <s v="Kommunal Boenhet"/>
    <n v="254"/>
    <s v="Helse og mestring"/>
    <x v="1"/>
    <x v="1"/>
    <n v="1270"/>
    <n v="127040"/>
    <s v="Kjøp av vikarbyråtjenester"/>
    <n v="0"/>
    <n v="0"/>
    <n v="0"/>
    <n v="0"/>
  </r>
  <r>
    <x v="1"/>
    <s v="Februar"/>
    <n v="2"/>
    <s v="T1"/>
    <x v="0"/>
    <s v="Kommunal Boenhet"/>
    <n v="254"/>
    <s v="Helse og mestring"/>
    <x v="1"/>
    <x v="1"/>
    <n v="1270"/>
    <n v="127040"/>
    <s v="Kjøp av vikarbyråtjenester"/>
    <n v="0"/>
    <n v="0"/>
    <n v="0"/>
    <n v="0"/>
  </r>
  <r>
    <x v="2"/>
    <s v="Mars"/>
    <n v="3"/>
    <s v="T1"/>
    <x v="0"/>
    <s v="Kommunal Boenhet"/>
    <n v="254"/>
    <s v="Helse og mestring"/>
    <x v="1"/>
    <x v="1"/>
    <n v="1270"/>
    <n v="127040"/>
    <s v="Kjøp av vikarbyråtjenester"/>
    <n v="0"/>
    <n v="0"/>
    <n v="0"/>
    <n v="0"/>
  </r>
  <r>
    <x v="3"/>
    <s v="April"/>
    <n v="4"/>
    <s v="T1"/>
    <x v="0"/>
    <s v="Kommunal Boenhet"/>
    <n v="254"/>
    <s v="Helse og mestring"/>
    <x v="1"/>
    <x v="1"/>
    <n v="1270"/>
    <n v="127040"/>
    <s v="Kjøp av vikarbyråtjenester"/>
    <n v="0"/>
    <n v="0"/>
    <n v="0"/>
    <n v="0"/>
  </r>
  <r>
    <x v="4"/>
    <s v="Mai"/>
    <n v="5"/>
    <s v="T2"/>
    <x v="0"/>
    <s v="Kommunal Boenhet"/>
    <n v="254"/>
    <s v="Helse og mestring"/>
    <x v="1"/>
    <x v="1"/>
    <n v="1270"/>
    <n v="127040"/>
    <s v="Kjøp av vikarbyråtjenester"/>
    <n v="0"/>
    <n v="0"/>
    <n v="0"/>
    <n v="0"/>
  </r>
  <r>
    <x v="5"/>
    <s v="Juni"/>
    <n v="6"/>
    <s v="T2"/>
    <x v="0"/>
    <s v="Kommunal Boenhet"/>
    <n v="254"/>
    <s v="Helse og mestring"/>
    <x v="1"/>
    <x v="1"/>
    <n v="1270"/>
    <n v="127040"/>
    <s v="Kjøp av vikarbyråtjenester"/>
    <n v="0"/>
    <n v="0"/>
    <n v="0"/>
    <n v="0"/>
  </r>
  <r>
    <x v="6"/>
    <s v="Juli"/>
    <n v="7"/>
    <s v="T2"/>
    <x v="0"/>
    <s v="Kommunal Boenhet"/>
    <n v="254"/>
    <s v="Helse og mestring"/>
    <x v="1"/>
    <x v="1"/>
    <n v="1270"/>
    <n v="127040"/>
    <s v="Kjøp av vikarbyråtjenester"/>
    <n v="0"/>
    <n v="129480"/>
    <n v="-129480"/>
    <n v="129480"/>
  </r>
  <r>
    <x v="7"/>
    <s v="August"/>
    <n v="8"/>
    <s v="T2"/>
    <x v="0"/>
    <s v="Kommunal Boenhet"/>
    <n v="254"/>
    <s v="Helse og mestring"/>
    <x v="1"/>
    <x v="1"/>
    <n v="1270"/>
    <n v="127040"/>
    <s v="Kjøp av vikarbyråtjenester"/>
    <n v="0"/>
    <n v="253176"/>
    <n v="253176"/>
    <n v="253176"/>
  </r>
  <r>
    <x v="8"/>
    <s v="September"/>
    <n v="9"/>
    <s v="T3"/>
    <x v="1"/>
    <s v="Kommunal Boenhet"/>
    <n v="254"/>
    <s v="Helse og mestring"/>
    <x v="1"/>
    <x v="1"/>
    <n v="1270"/>
    <n v="127040"/>
    <s v="Kjøp av vikarbyråtjenester"/>
    <n v="0"/>
    <n v="0"/>
    <n v="0"/>
    <n v="0"/>
  </r>
  <r>
    <x v="9"/>
    <s v="Oktober"/>
    <n v="10"/>
    <s v="T3"/>
    <x v="1"/>
    <s v="Kommunal Boenhet"/>
    <n v="254"/>
    <s v="Helse og mestring"/>
    <x v="1"/>
    <x v="1"/>
    <n v="1270"/>
    <n v="127040"/>
    <s v="Kjøp av vikarbyråtjenester"/>
    <n v="0"/>
    <n v="0"/>
    <n v="0"/>
    <n v="0"/>
  </r>
  <r>
    <x v="10"/>
    <s v="November"/>
    <n v="11"/>
    <s v="T3"/>
    <x v="1"/>
    <s v="Kommunal Boenhet"/>
    <n v="254"/>
    <s v="Helse og mestring"/>
    <x v="1"/>
    <x v="1"/>
    <n v="1270"/>
    <n v="127040"/>
    <s v="Kjøp av vikarbyråtjenester"/>
    <n v="0"/>
    <n v="0"/>
    <n v="0"/>
    <n v="0"/>
  </r>
  <r>
    <x v="11"/>
    <s v="Desember"/>
    <n v="12"/>
    <s v="T3"/>
    <x v="1"/>
    <s v="Kommunal Boenhet"/>
    <n v="254"/>
    <s v="Helse og mestring"/>
    <x v="1"/>
    <x v="1"/>
    <n v="1270"/>
    <n v="127040"/>
    <s v="Kjøp av vikarbyråtjenester"/>
    <n v="0"/>
    <n v="0"/>
    <n v="0"/>
    <n v="0"/>
  </r>
  <r>
    <x v="0"/>
    <s v="Januar"/>
    <n v="1"/>
    <s v="T1"/>
    <x v="0"/>
    <s v="Kommunal Boenhet"/>
    <n v="254"/>
    <s v="Helse og mestring"/>
    <x v="1"/>
    <x v="1"/>
    <n v="1260"/>
    <n v="126000"/>
    <s v="Renholdstjenester"/>
    <n v="0"/>
    <n v="0"/>
    <n v="0"/>
    <n v="0"/>
  </r>
  <r>
    <x v="1"/>
    <s v="Februar"/>
    <n v="2"/>
    <s v="T1"/>
    <x v="0"/>
    <s v="Kommunal Boenhet"/>
    <n v="254"/>
    <s v="Helse og mestring"/>
    <x v="1"/>
    <x v="1"/>
    <n v="1260"/>
    <n v="126000"/>
    <s v="Renholdstjenester"/>
    <n v="0"/>
    <n v="0"/>
    <n v="0"/>
    <n v="0"/>
  </r>
  <r>
    <x v="2"/>
    <s v="Mars"/>
    <n v="3"/>
    <s v="T1"/>
    <x v="0"/>
    <s v="Kommunal Boenhet"/>
    <n v="254"/>
    <s v="Helse og mestring"/>
    <x v="1"/>
    <x v="1"/>
    <n v="1260"/>
    <n v="126000"/>
    <s v="Renholdstjenester"/>
    <n v="0"/>
    <n v="0"/>
    <n v="0"/>
    <n v="0"/>
  </r>
  <r>
    <x v="3"/>
    <s v="April"/>
    <n v="4"/>
    <s v="T1"/>
    <x v="0"/>
    <s v="Kommunal Boenhet"/>
    <n v="254"/>
    <s v="Helse og mestring"/>
    <x v="1"/>
    <x v="1"/>
    <n v="1260"/>
    <n v="126000"/>
    <s v="Renholdstjenester"/>
    <n v="0"/>
    <n v="400"/>
    <n v="-400"/>
    <n v="400"/>
  </r>
  <r>
    <x v="4"/>
    <s v="Mai"/>
    <n v="5"/>
    <s v="T2"/>
    <x v="0"/>
    <s v="Kommunal Boenhet"/>
    <n v="254"/>
    <s v="Helse og mestring"/>
    <x v="1"/>
    <x v="1"/>
    <n v="1260"/>
    <n v="126000"/>
    <s v="Renholdstjenester"/>
    <n v="0"/>
    <n v="0"/>
    <n v="0"/>
    <n v="0"/>
  </r>
  <r>
    <x v="5"/>
    <s v="Juni"/>
    <n v="6"/>
    <s v="T2"/>
    <x v="0"/>
    <s v="Kommunal Boenhet"/>
    <n v="254"/>
    <s v="Helse og mestring"/>
    <x v="1"/>
    <x v="1"/>
    <n v="1260"/>
    <n v="126000"/>
    <s v="Renholdstjenester"/>
    <n v="0"/>
    <n v="0"/>
    <n v="0"/>
    <n v="0"/>
  </r>
  <r>
    <x v="6"/>
    <s v="Juli"/>
    <n v="7"/>
    <s v="T2"/>
    <x v="0"/>
    <s v="Kommunal Boenhet"/>
    <n v="254"/>
    <s v="Helse og mestring"/>
    <x v="1"/>
    <x v="1"/>
    <n v="1260"/>
    <n v="126000"/>
    <s v="Renholdstjenester"/>
    <n v="0"/>
    <n v="0"/>
    <n v="0"/>
    <n v="0"/>
  </r>
  <r>
    <x v="7"/>
    <s v="August"/>
    <n v="8"/>
    <s v="T2"/>
    <x v="0"/>
    <s v="Kommunal Boenhet"/>
    <n v="254"/>
    <s v="Helse og mestring"/>
    <x v="1"/>
    <x v="1"/>
    <n v="1260"/>
    <n v="126000"/>
    <s v="Renholdstjenester"/>
    <n v="0"/>
    <n v="0"/>
    <n v="0"/>
    <n v="0"/>
  </r>
  <r>
    <x v="8"/>
    <s v="September"/>
    <n v="9"/>
    <s v="T3"/>
    <x v="1"/>
    <s v="Kommunal Boenhet"/>
    <n v="254"/>
    <s v="Helse og mestring"/>
    <x v="1"/>
    <x v="1"/>
    <n v="1260"/>
    <n v="126000"/>
    <s v="Renholdstjenester"/>
    <n v="0"/>
    <n v="0"/>
    <n v="0"/>
    <n v="0"/>
  </r>
  <r>
    <x v="9"/>
    <s v="Oktober"/>
    <n v="10"/>
    <s v="T3"/>
    <x v="1"/>
    <s v="Kommunal Boenhet"/>
    <n v="254"/>
    <s v="Helse og mestring"/>
    <x v="1"/>
    <x v="1"/>
    <n v="1260"/>
    <n v="126000"/>
    <s v="Renholdstjenester"/>
    <n v="0"/>
    <n v="0"/>
    <n v="0"/>
    <n v="0"/>
  </r>
  <r>
    <x v="10"/>
    <s v="November"/>
    <n v="11"/>
    <s v="T3"/>
    <x v="1"/>
    <s v="Kommunal Boenhet"/>
    <n v="254"/>
    <s v="Helse og mestring"/>
    <x v="1"/>
    <x v="1"/>
    <n v="1260"/>
    <n v="126000"/>
    <s v="Renholdstjenester"/>
    <n v="0"/>
    <n v="0"/>
    <n v="0"/>
    <n v="0"/>
  </r>
  <r>
    <x v="11"/>
    <s v="Desember"/>
    <n v="12"/>
    <s v="T3"/>
    <x v="1"/>
    <s v="Kommunal Boenhet"/>
    <n v="254"/>
    <s v="Helse og mestring"/>
    <x v="1"/>
    <x v="1"/>
    <n v="1260"/>
    <n v="126000"/>
    <s v="Renholdstjenester"/>
    <n v="0"/>
    <n v="0"/>
    <n v="0"/>
    <n v="0"/>
  </r>
  <r>
    <x v="0"/>
    <s v="Januar"/>
    <n v="1"/>
    <s v="T1"/>
    <x v="0"/>
    <s v="Kommunal Boenhet"/>
    <n v="254"/>
    <s v="Helse og mestring"/>
    <x v="1"/>
    <x v="1"/>
    <n v="1270"/>
    <n v="127050"/>
    <s v="Bedriftshelsetjenester"/>
    <n v="0"/>
    <n v="0"/>
    <n v="0"/>
    <n v="0"/>
  </r>
  <r>
    <x v="1"/>
    <s v="Februar"/>
    <n v="2"/>
    <s v="T1"/>
    <x v="0"/>
    <s v="Kommunal Boenhet"/>
    <n v="254"/>
    <s v="Helse og mestring"/>
    <x v="1"/>
    <x v="1"/>
    <n v="1270"/>
    <n v="127050"/>
    <s v="Bedriftshelsetjenester"/>
    <n v="0"/>
    <n v="0"/>
    <n v="0"/>
    <n v="0"/>
  </r>
  <r>
    <x v="2"/>
    <s v="Mars"/>
    <n v="3"/>
    <s v="T1"/>
    <x v="0"/>
    <s v="Kommunal Boenhet"/>
    <n v="254"/>
    <s v="Helse og mestring"/>
    <x v="1"/>
    <x v="1"/>
    <n v="1270"/>
    <n v="127050"/>
    <s v="Bedriftshelsetjenester"/>
    <n v="0"/>
    <n v="0"/>
    <n v="0"/>
    <n v="0"/>
  </r>
  <r>
    <x v="3"/>
    <s v="April"/>
    <n v="4"/>
    <s v="T1"/>
    <x v="0"/>
    <s v="Kommunal Boenhet"/>
    <n v="254"/>
    <s v="Helse og mestring"/>
    <x v="1"/>
    <x v="1"/>
    <n v="1270"/>
    <n v="127050"/>
    <s v="Bedriftshelsetjenester"/>
    <n v="0"/>
    <n v="0"/>
    <n v="0"/>
    <n v="0"/>
  </r>
  <r>
    <x v="4"/>
    <s v="Mai"/>
    <n v="5"/>
    <s v="T2"/>
    <x v="0"/>
    <s v="Kommunal Boenhet"/>
    <n v="254"/>
    <s v="Helse og mestring"/>
    <x v="1"/>
    <x v="1"/>
    <n v="1270"/>
    <n v="127050"/>
    <s v="Bedriftshelsetjenester"/>
    <n v="0"/>
    <n v="0"/>
    <n v="0"/>
    <n v="0"/>
  </r>
  <r>
    <x v="5"/>
    <s v="Juni"/>
    <n v="6"/>
    <s v="T2"/>
    <x v="0"/>
    <s v="Kommunal Boenhet"/>
    <n v="254"/>
    <s v="Helse og mestring"/>
    <x v="1"/>
    <x v="1"/>
    <n v="1270"/>
    <n v="127050"/>
    <s v="Bedriftshelsetjenester"/>
    <n v="0"/>
    <n v="0"/>
    <n v="0"/>
    <n v="0"/>
  </r>
  <r>
    <x v="6"/>
    <s v="Juli"/>
    <n v="7"/>
    <s v="T2"/>
    <x v="0"/>
    <s v="Kommunal Boenhet"/>
    <n v="254"/>
    <s v="Helse og mestring"/>
    <x v="1"/>
    <x v="1"/>
    <n v="1270"/>
    <n v="127050"/>
    <s v="Bedriftshelsetjenester"/>
    <n v="0"/>
    <n v="0"/>
    <n v="0"/>
    <n v="0"/>
  </r>
  <r>
    <x v="7"/>
    <s v="August"/>
    <n v="8"/>
    <s v="T2"/>
    <x v="0"/>
    <s v="Kommunal Boenhet"/>
    <n v="254"/>
    <s v="Helse og mestring"/>
    <x v="1"/>
    <x v="1"/>
    <n v="1270"/>
    <n v="127050"/>
    <s v="Bedriftshelsetjenester"/>
    <n v="0"/>
    <n v="0"/>
    <n v="0"/>
    <n v="0"/>
  </r>
  <r>
    <x v="8"/>
    <s v="September"/>
    <n v="9"/>
    <s v="T3"/>
    <x v="1"/>
    <s v="Kommunal Boenhet"/>
    <n v="254"/>
    <s v="Helse og mestring"/>
    <x v="1"/>
    <x v="1"/>
    <n v="1270"/>
    <n v="127050"/>
    <s v="Bedriftshelsetjenester"/>
    <n v="0"/>
    <n v="0"/>
    <n v="0"/>
    <n v="0"/>
  </r>
  <r>
    <x v="9"/>
    <s v="Oktober"/>
    <n v="10"/>
    <s v="T3"/>
    <x v="1"/>
    <s v="Kommunal Boenhet"/>
    <n v="254"/>
    <s v="Helse og mestring"/>
    <x v="1"/>
    <x v="1"/>
    <n v="1270"/>
    <n v="127050"/>
    <s v="Bedriftshelsetjenester"/>
    <n v="0"/>
    <n v="0"/>
    <n v="0"/>
    <n v="0"/>
  </r>
  <r>
    <x v="10"/>
    <s v="November"/>
    <n v="11"/>
    <s v="T3"/>
    <x v="1"/>
    <s v="Kommunal Boenhet"/>
    <n v="254"/>
    <s v="Helse og mestring"/>
    <x v="1"/>
    <x v="1"/>
    <n v="1270"/>
    <n v="127050"/>
    <s v="Bedriftshelsetjenester"/>
    <n v="0"/>
    <n v="0"/>
    <n v="0"/>
    <n v="0"/>
  </r>
  <r>
    <x v="11"/>
    <s v="Desember"/>
    <n v="12"/>
    <s v="T3"/>
    <x v="1"/>
    <s v="Kommunal Boenhet"/>
    <n v="254"/>
    <s v="Helse og mestring"/>
    <x v="1"/>
    <x v="1"/>
    <n v="1270"/>
    <n v="127050"/>
    <s v="Bedriftshelsetjenester"/>
    <n v="0"/>
    <n v="0"/>
    <n v="0"/>
    <n v="0"/>
  </r>
  <r>
    <x v="0"/>
    <s v="Januar"/>
    <n v="1"/>
    <s v="T1"/>
    <x v="0"/>
    <s v="Kommunal Boenhet"/>
    <n v="254"/>
    <s v="Helse og mestring"/>
    <x v="1"/>
    <x v="2"/>
    <n v="1429"/>
    <n v="142900"/>
    <s v="Merverdiavgift som gir rett til momskompensasjon"/>
    <n v="11662"/>
    <n v="5070.82"/>
    <n v="6591.18"/>
    <n v="-6591.18"/>
  </r>
  <r>
    <x v="1"/>
    <s v="Februar"/>
    <n v="2"/>
    <s v="T1"/>
    <x v="0"/>
    <s v="Kommunal Boenhet"/>
    <n v="254"/>
    <s v="Helse og mestring"/>
    <x v="1"/>
    <x v="2"/>
    <n v="1429"/>
    <n v="142900"/>
    <s v="Merverdiavgift som gir rett til momskompensasjon"/>
    <n v="11662"/>
    <n v="7325.59"/>
    <n v="4336.41"/>
    <n v="-4336.41"/>
  </r>
  <r>
    <x v="2"/>
    <s v="Mars"/>
    <n v="3"/>
    <s v="T1"/>
    <x v="0"/>
    <s v="Kommunal Boenhet"/>
    <n v="254"/>
    <s v="Helse og mestring"/>
    <x v="1"/>
    <x v="2"/>
    <n v="1429"/>
    <n v="142900"/>
    <s v="Merverdiavgift som gir rett til momskompensasjon"/>
    <n v="11662"/>
    <n v="854.99"/>
    <n v="10807.01"/>
    <n v="-10807.01"/>
  </r>
  <r>
    <x v="3"/>
    <s v="April"/>
    <n v="4"/>
    <s v="T1"/>
    <x v="0"/>
    <s v="Kommunal Boenhet"/>
    <n v="254"/>
    <s v="Helse og mestring"/>
    <x v="1"/>
    <x v="2"/>
    <n v="1429"/>
    <n v="142900"/>
    <s v="Merverdiavgift som gir rett til momskompensasjon"/>
    <n v="11662"/>
    <n v="6710.36"/>
    <n v="4951.6400000000003"/>
    <n v="-4951.6400000000003"/>
  </r>
  <r>
    <x v="4"/>
    <s v="Mai"/>
    <n v="5"/>
    <s v="T2"/>
    <x v="0"/>
    <s v="Kommunal Boenhet"/>
    <n v="254"/>
    <s v="Helse og mestring"/>
    <x v="1"/>
    <x v="2"/>
    <n v="1429"/>
    <n v="142900"/>
    <s v="Merverdiavgift som gir rett til momskompensasjon"/>
    <n v="11662"/>
    <n v="3213.92"/>
    <n v="8448.08"/>
    <n v="-8448.08"/>
  </r>
  <r>
    <x v="5"/>
    <s v="Juni"/>
    <n v="6"/>
    <s v="T2"/>
    <x v="0"/>
    <s v="Kommunal Boenhet"/>
    <n v="254"/>
    <s v="Helse og mestring"/>
    <x v="1"/>
    <x v="2"/>
    <n v="1429"/>
    <n v="142900"/>
    <s v="Merverdiavgift som gir rett til momskompensasjon"/>
    <n v="11662"/>
    <n v="7138.93"/>
    <n v="4523.07"/>
    <n v="-4523.07"/>
  </r>
  <r>
    <x v="6"/>
    <s v="Juli"/>
    <n v="7"/>
    <s v="T2"/>
    <x v="0"/>
    <s v="Kommunal Boenhet"/>
    <n v="254"/>
    <s v="Helse og mestring"/>
    <x v="1"/>
    <x v="2"/>
    <n v="1429"/>
    <n v="142900"/>
    <s v="Merverdiavgift som gir rett til momskompensasjon"/>
    <n v="11662"/>
    <n v="1353.12"/>
    <n v="10308.879999999999"/>
    <n v="-10308.879999999999"/>
  </r>
  <r>
    <x v="7"/>
    <s v="August"/>
    <n v="8"/>
    <s v="T2"/>
    <x v="0"/>
    <s v="Kommunal Boenhet"/>
    <n v="254"/>
    <s v="Helse og mestring"/>
    <x v="1"/>
    <x v="2"/>
    <n v="1429"/>
    <n v="142900"/>
    <s v="Merverdiavgift som gir rett til momskompensasjon"/>
    <n v="11662"/>
    <n v="3549.55"/>
    <n v="8112.45"/>
    <n v="-8112.45"/>
  </r>
  <r>
    <x v="8"/>
    <s v="September"/>
    <n v="9"/>
    <s v="T3"/>
    <x v="1"/>
    <s v="Kommunal Boenhet"/>
    <n v="254"/>
    <s v="Helse og mestring"/>
    <x v="1"/>
    <x v="2"/>
    <n v="1429"/>
    <n v="142900"/>
    <s v="Merverdiavgift som gir rett til momskompensasjon"/>
    <n v="11662"/>
    <n v="0"/>
    <n v="0"/>
    <n v="-11662"/>
  </r>
  <r>
    <x v="9"/>
    <s v="Oktober"/>
    <n v="10"/>
    <s v="T3"/>
    <x v="1"/>
    <s v="Kommunal Boenhet"/>
    <n v="254"/>
    <s v="Helse og mestring"/>
    <x v="1"/>
    <x v="2"/>
    <n v="1429"/>
    <n v="142900"/>
    <s v="Merverdiavgift som gir rett til momskompensasjon"/>
    <n v="11662"/>
    <n v="0"/>
    <n v="0"/>
    <n v="-11662"/>
  </r>
  <r>
    <x v="10"/>
    <s v="November"/>
    <n v="11"/>
    <s v="T3"/>
    <x v="1"/>
    <s v="Kommunal Boenhet"/>
    <n v="254"/>
    <s v="Helse og mestring"/>
    <x v="1"/>
    <x v="2"/>
    <n v="1429"/>
    <n v="142900"/>
    <s v="Merverdiavgift som gir rett til momskompensasjon"/>
    <n v="11662"/>
    <n v="0"/>
    <n v="0"/>
    <n v="-11662"/>
  </r>
  <r>
    <x v="11"/>
    <s v="Desember"/>
    <n v="12"/>
    <s v="T3"/>
    <x v="1"/>
    <s v="Kommunal Boenhet"/>
    <n v="254"/>
    <s v="Helse og mestring"/>
    <x v="1"/>
    <x v="2"/>
    <n v="1429"/>
    <n v="142900"/>
    <s v="Merverdiavgift som gir rett til momskompensasjon"/>
    <n v="11718"/>
    <n v="0"/>
    <n v="0"/>
    <n v="-11718"/>
  </r>
  <r>
    <x v="0"/>
    <s v="Januar"/>
    <n v="1"/>
    <s v="T1"/>
    <x v="0"/>
    <s v="Kommunal Boenhet"/>
    <n v="254"/>
    <s v="Helse og mestring"/>
    <x v="1"/>
    <x v="2"/>
    <n v="1729"/>
    <n v="172900"/>
    <s v="Kompensasjon for merverdiavgift"/>
    <n v="-11662"/>
    <n v="-5070.82"/>
    <n v="-6591.18"/>
    <n v="6591.18"/>
  </r>
  <r>
    <x v="1"/>
    <s v="Februar"/>
    <n v="2"/>
    <s v="T1"/>
    <x v="0"/>
    <s v="Kommunal Boenhet"/>
    <n v="254"/>
    <s v="Helse og mestring"/>
    <x v="1"/>
    <x v="2"/>
    <n v="1729"/>
    <n v="172900"/>
    <s v="Kompensasjon for merverdiavgift"/>
    <n v="-11662"/>
    <n v="-7325.59"/>
    <n v="-4336.41"/>
    <n v="4336.41"/>
  </r>
  <r>
    <x v="2"/>
    <s v="Mars"/>
    <n v="3"/>
    <s v="T1"/>
    <x v="0"/>
    <s v="Kommunal Boenhet"/>
    <n v="254"/>
    <s v="Helse og mestring"/>
    <x v="1"/>
    <x v="2"/>
    <n v="1729"/>
    <n v="172900"/>
    <s v="Kompensasjon for merverdiavgift"/>
    <n v="-11662"/>
    <n v="-854.99"/>
    <n v="-10807.01"/>
    <n v="10807.01"/>
  </r>
  <r>
    <x v="3"/>
    <s v="April"/>
    <n v="4"/>
    <s v="T1"/>
    <x v="0"/>
    <s v="Kommunal Boenhet"/>
    <n v="254"/>
    <s v="Helse og mestring"/>
    <x v="1"/>
    <x v="2"/>
    <n v="1729"/>
    <n v="172900"/>
    <s v="Kompensasjon for merverdiavgift"/>
    <n v="-11662"/>
    <n v="-6710.36"/>
    <n v="-4951.6400000000003"/>
    <n v="4951.6400000000003"/>
  </r>
  <r>
    <x v="4"/>
    <s v="Mai"/>
    <n v="5"/>
    <s v="T2"/>
    <x v="0"/>
    <s v="Kommunal Boenhet"/>
    <n v="254"/>
    <s v="Helse og mestring"/>
    <x v="1"/>
    <x v="2"/>
    <n v="1729"/>
    <n v="172900"/>
    <s v="Kompensasjon for merverdiavgift"/>
    <n v="-11662"/>
    <n v="-3213.92"/>
    <n v="-8448.08"/>
    <n v="8448.08"/>
  </r>
  <r>
    <x v="5"/>
    <s v="Juni"/>
    <n v="6"/>
    <s v="T2"/>
    <x v="0"/>
    <s v="Kommunal Boenhet"/>
    <n v="254"/>
    <s v="Helse og mestring"/>
    <x v="1"/>
    <x v="2"/>
    <n v="1729"/>
    <n v="172900"/>
    <s v="Kompensasjon for merverdiavgift"/>
    <n v="-11662"/>
    <n v="-7138.93"/>
    <n v="-4523.07"/>
    <n v="4523.07"/>
  </r>
  <r>
    <x v="6"/>
    <s v="Juli"/>
    <n v="7"/>
    <s v="T2"/>
    <x v="0"/>
    <s v="Kommunal Boenhet"/>
    <n v="254"/>
    <s v="Helse og mestring"/>
    <x v="1"/>
    <x v="2"/>
    <n v="1729"/>
    <n v="172900"/>
    <s v="Kompensasjon for merverdiavgift"/>
    <n v="-11662"/>
    <n v="-1353.12"/>
    <n v="-10308.879999999999"/>
    <n v="10308.879999999999"/>
  </r>
  <r>
    <x v="7"/>
    <s v="August"/>
    <n v="8"/>
    <s v="T2"/>
    <x v="0"/>
    <s v="Kommunal Boenhet"/>
    <n v="254"/>
    <s v="Helse og mestring"/>
    <x v="1"/>
    <x v="2"/>
    <n v="1729"/>
    <n v="172900"/>
    <s v="Kompensasjon for merverdiavgift"/>
    <n v="-11662"/>
    <n v="-3549.55"/>
    <n v="-8112.45"/>
    <n v="8112.45"/>
  </r>
  <r>
    <x v="8"/>
    <s v="September"/>
    <n v="9"/>
    <s v="T3"/>
    <x v="1"/>
    <s v="Kommunal Boenhet"/>
    <n v="254"/>
    <s v="Helse og mestring"/>
    <x v="1"/>
    <x v="2"/>
    <n v="1729"/>
    <n v="172900"/>
    <s v="Kompensasjon for merverdiavgift"/>
    <n v="-11662"/>
    <n v="0"/>
    <n v="0"/>
    <n v="11662"/>
  </r>
  <r>
    <x v="9"/>
    <s v="Oktober"/>
    <n v="10"/>
    <s v="T3"/>
    <x v="1"/>
    <s v="Kommunal Boenhet"/>
    <n v="254"/>
    <s v="Helse og mestring"/>
    <x v="1"/>
    <x v="2"/>
    <n v="1729"/>
    <n v="172900"/>
    <s v="Kompensasjon for merverdiavgift"/>
    <n v="-11662"/>
    <n v="0"/>
    <n v="0"/>
    <n v="11662"/>
  </r>
  <r>
    <x v="10"/>
    <s v="November"/>
    <n v="11"/>
    <s v="T3"/>
    <x v="1"/>
    <s v="Kommunal Boenhet"/>
    <n v="254"/>
    <s v="Helse og mestring"/>
    <x v="1"/>
    <x v="2"/>
    <n v="1729"/>
    <n v="172900"/>
    <s v="Kompensasjon for merverdiavgift"/>
    <n v="-11662"/>
    <n v="0"/>
    <n v="0"/>
    <n v="11662"/>
  </r>
  <r>
    <x v="11"/>
    <s v="Desember"/>
    <n v="12"/>
    <s v="T3"/>
    <x v="1"/>
    <s v="Kommunal Boenhet"/>
    <n v="254"/>
    <s v="Helse og mestring"/>
    <x v="1"/>
    <x v="2"/>
    <n v="1729"/>
    <n v="172900"/>
    <s v="Kompensasjon for merverdiavgift"/>
    <n v="-11718"/>
    <n v="0"/>
    <n v="0"/>
    <n v="11718"/>
  </r>
  <r>
    <x v="0"/>
    <s v="Januar"/>
    <n v="1"/>
    <s v="T1"/>
    <x v="0"/>
    <s v="Kommunal Boenhet"/>
    <n v="254"/>
    <s v="Helse og mestring"/>
    <x v="1"/>
    <x v="3"/>
    <n v="1500"/>
    <n v="150010"/>
    <s v="Forsinkelsesrenter (mora)"/>
    <n v="0"/>
    <n v="0"/>
    <n v="0"/>
    <n v="0"/>
  </r>
  <r>
    <x v="1"/>
    <s v="Februar"/>
    <n v="2"/>
    <s v="T1"/>
    <x v="0"/>
    <s v="Kommunal Boenhet"/>
    <n v="254"/>
    <s v="Helse og mestring"/>
    <x v="1"/>
    <x v="3"/>
    <n v="1500"/>
    <n v="150010"/>
    <s v="Forsinkelsesrenter (mora)"/>
    <n v="0"/>
    <n v="0"/>
    <n v="0"/>
    <n v="0"/>
  </r>
  <r>
    <x v="2"/>
    <s v="Mars"/>
    <n v="3"/>
    <s v="T1"/>
    <x v="0"/>
    <s v="Kommunal Boenhet"/>
    <n v="254"/>
    <s v="Helse og mestring"/>
    <x v="1"/>
    <x v="3"/>
    <n v="1500"/>
    <n v="150010"/>
    <s v="Forsinkelsesrenter (mora)"/>
    <n v="0"/>
    <n v="9.27"/>
    <n v="-9.27"/>
    <n v="9.27"/>
  </r>
  <r>
    <x v="3"/>
    <s v="April"/>
    <n v="4"/>
    <s v="T1"/>
    <x v="0"/>
    <s v="Kommunal Boenhet"/>
    <n v="254"/>
    <s v="Helse og mestring"/>
    <x v="1"/>
    <x v="3"/>
    <n v="1500"/>
    <n v="150010"/>
    <s v="Forsinkelsesrenter (mora)"/>
    <n v="0"/>
    <n v="0"/>
    <n v="0"/>
    <n v="0"/>
  </r>
  <r>
    <x v="4"/>
    <s v="Mai"/>
    <n v="5"/>
    <s v="T2"/>
    <x v="0"/>
    <s v="Kommunal Boenhet"/>
    <n v="254"/>
    <s v="Helse og mestring"/>
    <x v="1"/>
    <x v="3"/>
    <n v="1500"/>
    <n v="150010"/>
    <s v="Forsinkelsesrenter (mora)"/>
    <n v="0"/>
    <n v="0"/>
    <n v="0"/>
    <n v="0"/>
  </r>
  <r>
    <x v="5"/>
    <s v="Juni"/>
    <n v="6"/>
    <s v="T2"/>
    <x v="0"/>
    <s v="Kommunal Boenhet"/>
    <n v="254"/>
    <s v="Helse og mestring"/>
    <x v="1"/>
    <x v="3"/>
    <n v="1500"/>
    <n v="150010"/>
    <s v="Forsinkelsesrenter (mora)"/>
    <n v="0"/>
    <n v="0"/>
    <n v="0"/>
    <n v="0"/>
  </r>
  <r>
    <x v="6"/>
    <s v="Juli"/>
    <n v="7"/>
    <s v="T2"/>
    <x v="0"/>
    <s v="Kommunal Boenhet"/>
    <n v="254"/>
    <s v="Helse og mestring"/>
    <x v="1"/>
    <x v="3"/>
    <n v="1500"/>
    <n v="150010"/>
    <s v="Forsinkelsesrenter (mora)"/>
    <n v="0"/>
    <n v="0"/>
    <n v="0"/>
    <n v="0"/>
  </r>
  <r>
    <x v="7"/>
    <s v="August"/>
    <n v="8"/>
    <s v="T2"/>
    <x v="0"/>
    <s v="Kommunal Boenhet"/>
    <n v="254"/>
    <s v="Helse og mestring"/>
    <x v="1"/>
    <x v="3"/>
    <n v="1500"/>
    <n v="150010"/>
    <s v="Forsinkelsesrenter (mora)"/>
    <n v="0"/>
    <n v="0"/>
    <n v="0"/>
    <n v="0"/>
  </r>
  <r>
    <x v="8"/>
    <s v="September"/>
    <n v="9"/>
    <s v="T3"/>
    <x v="1"/>
    <s v="Kommunal Boenhet"/>
    <n v="254"/>
    <s v="Helse og mestring"/>
    <x v="1"/>
    <x v="3"/>
    <n v="1500"/>
    <n v="150010"/>
    <s v="Forsinkelsesrenter (mora)"/>
    <n v="0"/>
    <n v="0"/>
    <n v="0"/>
    <n v="0"/>
  </r>
  <r>
    <x v="9"/>
    <s v="Oktober"/>
    <n v="10"/>
    <s v="T3"/>
    <x v="1"/>
    <s v="Kommunal Boenhet"/>
    <n v="254"/>
    <s v="Helse og mestring"/>
    <x v="1"/>
    <x v="3"/>
    <n v="1500"/>
    <n v="150010"/>
    <s v="Forsinkelsesrenter (mora)"/>
    <n v="0"/>
    <n v="0"/>
    <n v="0"/>
    <n v="0"/>
  </r>
  <r>
    <x v="10"/>
    <s v="November"/>
    <n v="11"/>
    <s v="T3"/>
    <x v="1"/>
    <s v="Kommunal Boenhet"/>
    <n v="254"/>
    <s v="Helse og mestring"/>
    <x v="1"/>
    <x v="3"/>
    <n v="1500"/>
    <n v="150010"/>
    <s v="Forsinkelsesrenter (mora)"/>
    <n v="0"/>
    <n v="0"/>
    <n v="0"/>
    <n v="0"/>
  </r>
  <r>
    <x v="11"/>
    <s v="Desember"/>
    <n v="12"/>
    <s v="T3"/>
    <x v="1"/>
    <s v="Kommunal Boenhet"/>
    <n v="254"/>
    <s v="Helse og mestring"/>
    <x v="1"/>
    <x v="3"/>
    <n v="1500"/>
    <n v="150010"/>
    <s v="Forsinkelsesrenter (mora)"/>
    <n v="0"/>
    <n v="0"/>
    <n v="0"/>
    <n v="0"/>
  </r>
  <r>
    <x v="0"/>
    <s v="Januar"/>
    <n v="1"/>
    <s v="T1"/>
    <x v="0"/>
    <s v="Kommunal Boenhet"/>
    <n v="254"/>
    <s v="Helse og mestring"/>
    <x v="2"/>
    <x v="4"/>
    <n v="1600"/>
    <n v="160000"/>
    <s v="Brukerbetaling for kommunale tjenester -"/>
    <n v="14"/>
    <n v="0"/>
    <n v="14"/>
    <n v="-14"/>
  </r>
  <r>
    <x v="1"/>
    <s v="Februar"/>
    <n v="2"/>
    <s v="T1"/>
    <x v="0"/>
    <s v="Kommunal Boenhet"/>
    <n v="254"/>
    <s v="Helse og mestring"/>
    <x v="2"/>
    <x v="4"/>
    <n v="1600"/>
    <n v="160000"/>
    <s v="Brukerbetaling for kommunale tjenester -"/>
    <n v="14"/>
    <n v="0"/>
    <n v="14"/>
    <n v="-14"/>
  </r>
  <r>
    <x v="2"/>
    <s v="Mars"/>
    <n v="3"/>
    <s v="T1"/>
    <x v="0"/>
    <s v="Kommunal Boenhet"/>
    <n v="254"/>
    <s v="Helse og mestring"/>
    <x v="2"/>
    <x v="4"/>
    <n v="1600"/>
    <n v="160000"/>
    <s v="Brukerbetaling for kommunale tjenester -"/>
    <n v="14"/>
    <n v="0"/>
    <n v="14"/>
    <n v="-14"/>
  </r>
  <r>
    <x v="3"/>
    <s v="April"/>
    <n v="4"/>
    <s v="T1"/>
    <x v="0"/>
    <s v="Kommunal Boenhet"/>
    <n v="254"/>
    <s v="Helse og mestring"/>
    <x v="2"/>
    <x v="4"/>
    <n v="1600"/>
    <n v="160000"/>
    <s v="Brukerbetaling for kommunale tjenester -"/>
    <n v="14"/>
    <n v="0"/>
    <n v="14"/>
    <n v="-14"/>
  </r>
  <r>
    <x v="4"/>
    <s v="Mai"/>
    <n v="5"/>
    <s v="T2"/>
    <x v="0"/>
    <s v="Kommunal Boenhet"/>
    <n v="254"/>
    <s v="Helse og mestring"/>
    <x v="2"/>
    <x v="4"/>
    <n v="1600"/>
    <n v="160000"/>
    <s v="Brukerbetaling for kommunale tjenester -"/>
    <n v="14"/>
    <n v="0"/>
    <n v="14"/>
    <n v="-14"/>
  </r>
  <r>
    <x v="5"/>
    <s v="Juni"/>
    <n v="6"/>
    <s v="T2"/>
    <x v="0"/>
    <s v="Kommunal Boenhet"/>
    <n v="254"/>
    <s v="Helse og mestring"/>
    <x v="2"/>
    <x v="4"/>
    <n v="1600"/>
    <n v="160000"/>
    <s v="Brukerbetaling for kommunale tjenester -"/>
    <n v="14"/>
    <n v="0"/>
    <n v="14"/>
    <n v="-14"/>
  </r>
  <r>
    <x v="6"/>
    <s v="Juli"/>
    <n v="7"/>
    <s v="T2"/>
    <x v="0"/>
    <s v="Kommunal Boenhet"/>
    <n v="254"/>
    <s v="Helse og mestring"/>
    <x v="2"/>
    <x v="4"/>
    <n v="1600"/>
    <n v="160000"/>
    <s v="Brukerbetaling for kommunale tjenester -"/>
    <n v="14"/>
    <n v="0"/>
    <n v="14"/>
    <n v="-14"/>
  </r>
  <r>
    <x v="7"/>
    <s v="August"/>
    <n v="8"/>
    <s v="T2"/>
    <x v="0"/>
    <s v="Kommunal Boenhet"/>
    <n v="254"/>
    <s v="Helse og mestring"/>
    <x v="2"/>
    <x v="4"/>
    <n v="1600"/>
    <n v="160000"/>
    <s v="Brukerbetaling for kommunale tjenester -"/>
    <n v="14"/>
    <n v="0"/>
    <n v="14"/>
    <n v="-14"/>
  </r>
  <r>
    <x v="8"/>
    <s v="September"/>
    <n v="9"/>
    <s v="T3"/>
    <x v="1"/>
    <s v="Kommunal Boenhet"/>
    <n v="254"/>
    <s v="Helse og mestring"/>
    <x v="2"/>
    <x v="4"/>
    <n v="1600"/>
    <n v="160000"/>
    <s v="Brukerbetaling for kommunale tjenester -"/>
    <n v="14"/>
    <n v="0"/>
    <n v="0"/>
    <n v="-14"/>
  </r>
  <r>
    <x v="9"/>
    <s v="Oktober"/>
    <n v="10"/>
    <s v="T3"/>
    <x v="1"/>
    <s v="Kommunal Boenhet"/>
    <n v="254"/>
    <s v="Helse og mestring"/>
    <x v="2"/>
    <x v="4"/>
    <n v="1600"/>
    <n v="160000"/>
    <s v="Brukerbetaling for kommunale tjenester -"/>
    <n v="14"/>
    <n v="0"/>
    <n v="0"/>
    <n v="-14"/>
  </r>
  <r>
    <x v="10"/>
    <s v="November"/>
    <n v="11"/>
    <s v="T3"/>
    <x v="1"/>
    <s v="Kommunal Boenhet"/>
    <n v="254"/>
    <s v="Helse og mestring"/>
    <x v="2"/>
    <x v="4"/>
    <n v="1600"/>
    <n v="160000"/>
    <s v="Brukerbetaling for kommunale tjenester -"/>
    <n v="14"/>
    <n v="0"/>
    <n v="0"/>
    <n v="-14"/>
  </r>
  <r>
    <x v="11"/>
    <s v="Desember"/>
    <n v="12"/>
    <s v="T3"/>
    <x v="1"/>
    <s v="Kommunal Boenhet"/>
    <n v="254"/>
    <s v="Helse og mestring"/>
    <x v="2"/>
    <x v="4"/>
    <n v="1600"/>
    <n v="160000"/>
    <s v="Brukerbetaling for kommunale tjenester -"/>
    <n v="-154"/>
    <n v="0"/>
    <n v="0"/>
    <n v="154"/>
  </r>
  <r>
    <x v="0"/>
    <s v="Januar"/>
    <n v="1"/>
    <s v="T1"/>
    <x v="0"/>
    <s v="Kommunal Boenhet"/>
    <n v="254"/>
    <s v="Helse og mestring"/>
    <x v="2"/>
    <x v="5"/>
    <n v="1700"/>
    <n v="170080"/>
    <s v="Øremerkede statstilskudd"/>
    <n v="0"/>
    <n v="0"/>
    <n v="0"/>
    <n v="0"/>
  </r>
  <r>
    <x v="1"/>
    <s v="Februar"/>
    <n v="2"/>
    <s v="T1"/>
    <x v="0"/>
    <s v="Kommunal Boenhet"/>
    <n v="254"/>
    <s v="Helse og mestring"/>
    <x v="2"/>
    <x v="5"/>
    <n v="1700"/>
    <n v="170080"/>
    <s v="Øremerkede statstilskudd"/>
    <n v="0"/>
    <n v="0"/>
    <n v="0"/>
    <n v="0"/>
  </r>
  <r>
    <x v="2"/>
    <s v="Mars"/>
    <n v="3"/>
    <s v="T1"/>
    <x v="0"/>
    <s v="Kommunal Boenhet"/>
    <n v="254"/>
    <s v="Helse og mestring"/>
    <x v="2"/>
    <x v="5"/>
    <n v="1700"/>
    <n v="170080"/>
    <s v="Øremerkede statstilskudd"/>
    <n v="0"/>
    <n v="0"/>
    <n v="0"/>
    <n v="0"/>
  </r>
  <r>
    <x v="3"/>
    <s v="April"/>
    <n v="4"/>
    <s v="T1"/>
    <x v="0"/>
    <s v="Kommunal Boenhet"/>
    <n v="254"/>
    <s v="Helse og mestring"/>
    <x v="2"/>
    <x v="5"/>
    <n v="1700"/>
    <n v="170080"/>
    <s v="Øremerkede statstilskudd"/>
    <n v="0"/>
    <n v="0"/>
    <n v="0"/>
    <n v="0"/>
  </r>
  <r>
    <x v="4"/>
    <s v="Mai"/>
    <n v="5"/>
    <s v="T2"/>
    <x v="0"/>
    <s v="Kommunal Boenhet"/>
    <n v="254"/>
    <s v="Helse og mestring"/>
    <x v="2"/>
    <x v="5"/>
    <n v="1700"/>
    <n v="170080"/>
    <s v="Øremerkede statstilskudd"/>
    <n v="0"/>
    <n v="0"/>
    <n v="0"/>
    <n v="0"/>
  </r>
  <r>
    <x v="5"/>
    <s v="Juni"/>
    <n v="6"/>
    <s v="T2"/>
    <x v="0"/>
    <s v="Kommunal Boenhet"/>
    <n v="254"/>
    <s v="Helse og mestring"/>
    <x v="2"/>
    <x v="5"/>
    <n v="1700"/>
    <n v="170080"/>
    <s v="Øremerkede statstilskudd"/>
    <n v="0"/>
    <n v="0"/>
    <n v="0"/>
    <n v="0"/>
  </r>
  <r>
    <x v="6"/>
    <s v="Juli"/>
    <n v="7"/>
    <s v="T2"/>
    <x v="0"/>
    <s v="Kommunal Boenhet"/>
    <n v="254"/>
    <s v="Helse og mestring"/>
    <x v="2"/>
    <x v="5"/>
    <n v="1700"/>
    <n v="170080"/>
    <s v="Øremerkede statstilskudd"/>
    <n v="0"/>
    <n v="0"/>
    <n v="0"/>
    <n v="0"/>
  </r>
  <r>
    <x v="7"/>
    <s v="August"/>
    <n v="8"/>
    <s v="T2"/>
    <x v="0"/>
    <s v="Kommunal Boenhet"/>
    <n v="254"/>
    <s v="Helse og mestring"/>
    <x v="2"/>
    <x v="5"/>
    <n v="1700"/>
    <n v="170080"/>
    <s v="Øremerkede statstilskudd"/>
    <n v="0"/>
    <n v="-7100"/>
    <n v="7100"/>
    <n v="-7100"/>
  </r>
  <r>
    <x v="8"/>
    <s v="September"/>
    <n v="9"/>
    <s v="T3"/>
    <x v="1"/>
    <s v="Kommunal Boenhet"/>
    <n v="254"/>
    <s v="Helse og mestring"/>
    <x v="2"/>
    <x v="5"/>
    <n v="1700"/>
    <n v="170080"/>
    <s v="Øremerkede statstilskudd"/>
    <n v="0"/>
    <n v="0"/>
    <n v="0"/>
    <n v="0"/>
  </r>
  <r>
    <x v="9"/>
    <s v="Oktober"/>
    <n v="10"/>
    <s v="T3"/>
    <x v="1"/>
    <s v="Kommunal Boenhet"/>
    <n v="254"/>
    <s v="Helse og mestring"/>
    <x v="2"/>
    <x v="5"/>
    <n v="1700"/>
    <n v="170080"/>
    <s v="Øremerkede statstilskudd"/>
    <n v="0"/>
    <n v="0"/>
    <n v="0"/>
    <n v="0"/>
  </r>
  <r>
    <x v="10"/>
    <s v="November"/>
    <n v="11"/>
    <s v="T3"/>
    <x v="1"/>
    <s v="Kommunal Boenhet"/>
    <n v="254"/>
    <s v="Helse og mestring"/>
    <x v="2"/>
    <x v="5"/>
    <n v="1700"/>
    <n v="170080"/>
    <s v="Øremerkede statstilskudd"/>
    <n v="0"/>
    <n v="0"/>
    <n v="0"/>
    <n v="0"/>
  </r>
  <r>
    <x v="11"/>
    <s v="Desember"/>
    <n v="12"/>
    <s v="T3"/>
    <x v="1"/>
    <s v="Kommunal Boenhet"/>
    <n v="254"/>
    <s v="Helse og mestring"/>
    <x v="2"/>
    <x v="5"/>
    <n v="1700"/>
    <n v="170080"/>
    <s v="Øremerkede statstilskudd"/>
    <n v="0"/>
    <n v="0"/>
    <n v="0"/>
    <n v="0"/>
  </r>
  <r>
    <x v="0"/>
    <s v="Januar"/>
    <n v="1"/>
    <s v="T1"/>
    <x v="0"/>
    <s v="Kommunal Boenhet"/>
    <n v="254"/>
    <s v="Helse og mestring"/>
    <x v="2"/>
    <x v="5"/>
    <n v="1770"/>
    <n v="177000"/>
    <s v="Refusjon fra private"/>
    <n v="0"/>
    <n v="0"/>
    <n v="0"/>
    <n v="0"/>
  </r>
  <r>
    <x v="1"/>
    <s v="Februar"/>
    <n v="2"/>
    <s v="T1"/>
    <x v="0"/>
    <s v="Kommunal Boenhet"/>
    <n v="254"/>
    <s v="Helse og mestring"/>
    <x v="2"/>
    <x v="5"/>
    <n v="1770"/>
    <n v="177000"/>
    <s v="Refusjon fra private"/>
    <n v="0"/>
    <n v="0"/>
    <n v="0"/>
    <n v="0"/>
  </r>
  <r>
    <x v="2"/>
    <s v="Mars"/>
    <n v="3"/>
    <s v="T1"/>
    <x v="0"/>
    <s v="Kommunal Boenhet"/>
    <n v="254"/>
    <s v="Helse og mestring"/>
    <x v="2"/>
    <x v="5"/>
    <n v="1770"/>
    <n v="177000"/>
    <s v="Refusjon fra private"/>
    <n v="0"/>
    <n v="0"/>
    <n v="0"/>
    <n v="0"/>
  </r>
  <r>
    <x v="3"/>
    <s v="April"/>
    <n v="4"/>
    <s v="T1"/>
    <x v="0"/>
    <s v="Kommunal Boenhet"/>
    <n v="254"/>
    <s v="Helse og mestring"/>
    <x v="2"/>
    <x v="5"/>
    <n v="1770"/>
    <n v="177000"/>
    <s v="Refusjon fra private"/>
    <n v="0"/>
    <n v="0"/>
    <n v="0"/>
    <n v="0"/>
  </r>
  <r>
    <x v="4"/>
    <s v="Mai"/>
    <n v="5"/>
    <s v="T2"/>
    <x v="0"/>
    <s v="Kommunal Boenhet"/>
    <n v="254"/>
    <s v="Helse og mestring"/>
    <x v="2"/>
    <x v="5"/>
    <n v="1770"/>
    <n v="177000"/>
    <s v="Refusjon fra private"/>
    <n v="0"/>
    <n v="0"/>
    <n v="0"/>
    <n v="0"/>
  </r>
  <r>
    <x v="5"/>
    <s v="Juni"/>
    <n v="6"/>
    <s v="T2"/>
    <x v="0"/>
    <s v="Kommunal Boenhet"/>
    <n v="254"/>
    <s v="Helse og mestring"/>
    <x v="2"/>
    <x v="5"/>
    <n v="1770"/>
    <n v="177000"/>
    <s v="Refusjon fra private"/>
    <n v="0"/>
    <n v="0"/>
    <n v="0"/>
    <n v="0"/>
  </r>
  <r>
    <x v="6"/>
    <s v="Juli"/>
    <n v="7"/>
    <s v="T2"/>
    <x v="0"/>
    <s v="Kommunal Boenhet"/>
    <n v="254"/>
    <s v="Helse og mestring"/>
    <x v="2"/>
    <x v="5"/>
    <n v="1770"/>
    <n v="177000"/>
    <s v="Refusjon fra private"/>
    <n v="0"/>
    <n v="0"/>
    <n v="0"/>
    <n v="0"/>
  </r>
  <r>
    <x v="7"/>
    <s v="August"/>
    <n v="8"/>
    <s v="T2"/>
    <x v="0"/>
    <s v="Kommunal Boenhet"/>
    <n v="254"/>
    <s v="Helse og mestring"/>
    <x v="2"/>
    <x v="5"/>
    <n v="1770"/>
    <n v="177000"/>
    <s v="Refusjon fra private"/>
    <n v="0"/>
    <n v="-960"/>
    <n v="960"/>
    <n v="-960"/>
  </r>
  <r>
    <x v="8"/>
    <s v="September"/>
    <n v="9"/>
    <s v="T3"/>
    <x v="1"/>
    <s v="Kommunal Boenhet"/>
    <n v="254"/>
    <s v="Helse og mestring"/>
    <x v="2"/>
    <x v="5"/>
    <n v="1770"/>
    <n v="177000"/>
    <s v="Refusjon fra private"/>
    <n v="0"/>
    <n v="0"/>
    <n v="0"/>
    <n v="0"/>
  </r>
  <r>
    <x v="9"/>
    <s v="Oktober"/>
    <n v="10"/>
    <s v="T3"/>
    <x v="1"/>
    <s v="Kommunal Boenhet"/>
    <n v="254"/>
    <s v="Helse og mestring"/>
    <x v="2"/>
    <x v="5"/>
    <n v="1770"/>
    <n v="177000"/>
    <s v="Refusjon fra private"/>
    <n v="0"/>
    <n v="0"/>
    <n v="0"/>
    <n v="0"/>
  </r>
  <r>
    <x v="10"/>
    <s v="November"/>
    <n v="11"/>
    <s v="T3"/>
    <x v="1"/>
    <s v="Kommunal Boenhet"/>
    <n v="254"/>
    <s v="Helse og mestring"/>
    <x v="2"/>
    <x v="5"/>
    <n v="1770"/>
    <n v="177000"/>
    <s v="Refusjon fra private"/>
    <n v="0"/>
    <n v="0"/>
    <n v="0"/>
    <n v="0"/>
  </r>
  <r>
    <x v="11"/>
    <s v="Desember"/>
    <n v="12"/>
    <s v="T3"/>
    <x v="1"/>
    <s v="Kommunal Boenhet"/>
    <n v="254"/>
    <s v="Helse og mestring"/>
    <x v="2"/>
    <x v="5"/>
    <n v="1770"/>
    <n v="177000"/>
    <s v="Refusjon fra private"/>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314580-8037-4A8A-9EC1-BED1219D7778}" name="pvtMaanedBokfort"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
  <location ref="B9:E18" firstHeaderRow="0" firstDataRow="1" firstDataCol="1" rowPageCount="1" colPageCount="1"/>
  <pivotFields count="17">
    <pivotField axis="axisRow" compact="0" outline="0" showAll="0">
      <items count="13">
        <item x="0"/>
        <item x="1"/>
        <item x="2"/>
        <item x="3"/>
        <item x="4"/>
        <item x="5"/>
        <item x="6"/>
        <item x="7"/>
        <item x="8"/>
        <item x="9"/>
        <item x="10"/>
        <item x="11"/>
        <item t="default"/>
      </items>
    </pivotField>
    <pivotField compact="0" outline="0" showAll="0"/>
    <pivotField compact="0" outline="0" showAll="0"/>
    <pivotField compact="0" outline="0" showAll="0"/>
    <pivotField axis="axisPage" compact="0" outline="0" showAll="0">
      <items count="3">
        <item x="0"/>
        <item h="1" x="1"/>
        <item t="default"/>
      </items>
    </pivotField>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pivotField compact="0" outline="0" showAll="0"/>
    <pivotField compact="0" outline="0" showAll="0"/>
    <pivotField dataField="1" compact="0" outline="0" showAll="0"/>
    <pivotField dataField="1" compact="0" outline="0" showAll="0"/>
    <pivotField compact="0" outline="0" showAll="0"/>
    <pivotField dataField="1" compact="0" outline="0" showAll="0"/>
  </pivotFields>
  <rowFields count="1">
    <field x="0"/>
  </rowFields>
  <rowItems count="9">
    <i>
      <x/>
    </i>
    <i>
      <x v="1"/>
    </i>
    <i>
      <x v="2"/>
    </i>
    <i>
      <x v="3"/>
    </i>
    <i>
      <x v="4"/>
    </i>
    <i>
      <x v="5"/>
    </i>
    <i>
      <x v="6"/>
    </i>
    <i>
      <x v="7"/>
    </i>
    <i t="grand">
      <x/>
    </i>
  </rowItems>
  <colFields count="1">
    <field x="-2"/>
  </colFields>
  <colItems count="3">
    <i>
      <x/>
    </i>
    <i i="1">
      <x v="1"/>
    </i>
    <i i="2">
      <x v="2"/>
    </i>
  </colItems>
  <pageFields count="1">
    <pageField fld="4" hier="-1"/>
  </pageFields>
  <dataFields count="3">
    <dataField name="Sum Budsjett" fld="13" baseField="0" baseItem="0"/>
    <dataField name="Sum Regnskap" fld="14" baseField="0" baseItem="0"/>
    <dataField name="Sum Merforbruk" fld="16" baseField="0" baseItem="0"/>
  </dataFields>
  <formats count="24">
    <format dxfId="109">
      <pivotArea field="0" type="button" dataOnly="0" labelOnly="1" outline="0" axis="axisRow" fieldPosition="0"/>
    </format>
    <format dxfId="108">
      <pivotArea dataOnly="0" labelOnly="1" outline="0" fieldPosition="0">
        <references count="1">
          <reference field="4294967294" count="3">
            <x v="0"/>
            <x v="1"/>
            <x v="2"/>
          </reference>
        </references>
      </pivotArea>
    </format>
    <format dxfId="107">
      <pivotArea field="0" type="button" dataOnly="0" labelOnly="1" outline="0" axis="axisRow" fieldPosition="0"/>
    </format>
    <format dxfId="106">
      <pivotArea dataOnly="0" labelOnly="1" outline="0" fieldPosition="0">
        <references count="1">
          <reference field="4294967294" count="3">
            <x v="0"/>
            <x v="1"/>
            <x v="2"/>
          </reference>
        </references>
      </pivotArea>
    </format>
    <format dxfId="105">
      <pivotArea field="0" type="button" dataOnly="0" labelOnly="1" outline="0" axis="axisRow" fieldPosition="0"/>
    </format>
    <format dxfId="104">
      <pivotArea dataOnly="0" labelOnly="1" outline="0" fieldPosition="0">
        <references count="1">
          <reference field="4294967294" count="3">
            <x v="0"/>
            <x v="1"/>
            <x v="2"/>
          </reference>
        </references>
      </pivotArea>
    </format>
    <format dxfId="90">
      <pivotArea field="0" type="button" dataOnly="0" labelOnly="1" outline="0" axis="axisRow" fieldPosition="0"/>
    </format>
    <format dxfId="89">
      <pivotArea dataOnly="0" labelOnly="1" outline="0" fieldPosition="0">
        <references count="1">
          <reference field="4294967294" count="3">
            <x v="0"/>
            <x v="1"/>
            <x v="2"/>
          </reference>
        </references>
      </pivotArea>
    </format>
    <format dxfId="88">
      <pivotArea field="0" type="button" dataOnly="0" labelOnly="1" outline="0" axis="axisRow" fieldPosition="0"/>
    </format>
    <format dxfId="87">
      <pivotArea dataOnly="0" labelOnly="1" outline="0" fieldPosition="0">
        <references count="1">
          <reference field="4294967294" count="3">
            <x v="0"/>
            <x v="1"/>
            <x v="2"/>
          </reference>
        </references>
      </pivotArea>
    </format>
    <format dxfId="86">
      <pivotArea field="0" type="button" dataOnly="0" labelOnly="1" outline="0" axis="axisRow" fieldPosition="0"/>
    </format>
    <format dxfId="85">
      <pivotArea dataOnly="0" labelOnly="1" outline="0" fieldPosition="0">
        <references count="1">
          <reference field="4294967294" count="3">
            <x v="0"/>
            <x v="1"/>
            <x v="2"/>
          </reference>
        </references>
      </pivotArea>
    </format>
    <format dxfId="84">
      <pivotArea grandRow="1" outline="0" collapsedLevelsAreSubtotals="1" fieldPosition="0"/>
    </format>
    <format dxfId="83">
      <pivotArea dataOnly="0" labelOnly="1" grandRow="1" outline="0" fieldPosition="0"/>
    </format>
    <format dxfId="82">
      <pivotArea grandRow="1" outline="0" collapsedLevelsAreSubtotals="1" fieldPosition="0"/>
    </format>
    <format dxfId="81">
      <pivotArea dataOnly="0" labelOnly="1" grandRow="1" outline="0" fieldPosition="0"/>
    </format>
    <format dxfId="80">
      <pivotArea grandRow="1" outline="0" collapsedLevelsAreSubtotals="1" fieldPosition="0"/>
    </format>
    <format dxfId="79">
      <pivotArea dataOnly="0" labelOnly="1" grandRow="1" outline="0" fieldPosition="0"/>
    </format>
    <format dxfId="78">
      <pivotArea outline="0" fieldPosition="0">
        <references count="1">
          <reference field="4294967294" count="1" selected="0">
            <x v="0"/>
          </reference>
        </references>
      </pivotArea>
    </format>
    <format dxfId="77">
      <pivotArea dataOnly="0" labelOnly="1" outline="0" fieldPosition="0">
        <references count="1">
          <reference field="4" count="0"/>
        </references>
      </pivotArea>
    </format>
    <format dxfId="76">
      <pivotArea dataOnly="0" labelOnly="1" outline="0" fieldPosition="0">
        <references count="1">
          <reference field="4294967294" count="1">
            <x v="0"/>
          </reference>
        </references>
      </pivotArea>
    </format>
    <format dxfId="75">
      <pivotArea outline="0" fieldPosition="0">
        <references count="1">
          <reference field="4294967294" count="1" selected="0">
            <x v="1"/>
          </reference>
        </references>
      </pivotArea>
    </format>
    <format dxfId="74">
      <pivotArea dataOnly="0" labelOnly="1" outline="0" fieldPosition="0">
        <references count="1">
          <reference field="4294967294" count="1">
            <x v="1"/>
          </reference>
        </references>
      </pivotArea>
    </format>
    <format dxfId="35">
      <pivotArea outline="0" collapsedLevelsAreSubtotals="1" fieldPosition="0"/>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6B0D37-6382-41F4-A87C-B4307C972313}" name="pvtUndergruppe"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B22:E29" firstHeaderRow="0" firstDataRow="1" firstDataCol="1" rowPageCount="1" colPageCount="1"/>
  <pivotFields count="17">
    <pivotField compact="0" outline="0" showAll="0"/>
    <pivotField compact="0" outline="0" showAll="0"/>
    <pivotField compact="0" outline="0" showAll="0"/>
    <pivotField compact="0" outline="0" showAll="0"/>
    <pivotField axis="axisPage" compact="0" outline="0" showAll="0">
      <items count="3">
        <item x="0"/>
        <item h="1" x="1"/>
        <item t="default"/>
      </items>
    </pivotField>
    <pivotField compact="0" outline="0" showAll="0"/>
    <pivotField compact="0" outline="0" showAll="0"/>
    <pivotField compact="0" outline="0" showAll="0"/>
    <pivotField compact="0" outline="0" showAll="0"/>
    <pivotField axis="axisRow" compact="0" outline="0" showAll="0">
      <items count="7">
        <item x="0"/>
        <item x="1"/>
        <item x="2"/>
        <item x="3"/>
        <item x="4"/>
        <item x="5"/>
        <item t="default"/>
      </items>
    </pivotField>
    <pivotField compact="0" outline="0" showAll="0"/>
    <pivotField compact="0" outline="0" showAll="0"/>
    <pivotField compact="0" outline="0" showAll="0"/>
    <pivotField dataField="1" compact="0" outline="0" showAll="0"/>
    <pivotField dataField="1" compact="0" outline="0" showAll="0"/>
    <pivotField compact="0" outline="0" showAll="0"/>
    <pivotField dataField="1" compact="0" outline="0" showAll="0"/>
  </pivotFields>
  <rowFields count="1">
    <field x="9"/>
  </rowFields>
  <rowItems count="7">
    <i>
      <x/>
    </i>
    <i>
      <x v="1"/>
    </i>
    <i>
      <x v="2"/>
    </i>
    <i>
      <x v="3"/>
    </i>
    <i>
      <x v="4"/>
    </i>
    <i>
      <x v="5"/>
    </i>
    <i t="grand">
      <x/>
    </i>
  </rowItems>
  <colFields count="1">
    <field x="-2"/>
  </colFields>
  <colItems count="3">
    <i>
      <x/>
    </i>
    <i i="1">
      <x v="1"/>
    </i>
    <i i="2">
      <x v="2"/>
    </i>
  </colItems>
  <pageFields count="1">
    <pageField fld="4" hier="-1"/>
  </pageFields>
  <dataFields count="3">
    <dataField name="Sum Budsjett" fld="13" baseField="0" baseItem="0"/>
    <dataField name="Sum Regnskap" fld="14" baseField="0" baseItem="0"/>
    <dataField name="Sum Merforbruk" fld="16" baseField="0" baseItem="0"/>
  </dataFields>
  <formats count="26">
    <format dxfId="111">
      <pivotArea dataOnly="0" labelOnly="1" outline="0" fieldPosition="0">
        <references count="1">
          <reference field="4" count="0"/>
        </references>
      </pivotArea>
    </format>
    <format dxfId="110">
      <pivotArea dataOnly="0" labelOnly="1" outline="0" fieldPosition="0">
        <references count="1">
          <reference field="4294967294" count="3">
            <x v="0"/>
            <x v="1"/>
            <x v="2"/>
          </reference>
        </references>
      </pivotArea>
    </format>
    <format dxfId="97">
      <pivotArea field="9" type="button" dataOnly="0" labelOnly="1" outline="0" axis="axisRow" fieldPosition="0"/>
    </format>
    <format dxfId="96">
      <pivotArea dataOnly="0" labelOnly="1" outline="0" fieldPosition="0">
        <references count="1">
          <reference field="4294967294" count="3">
            <x v="0"/>
            <x v="1"/>
            <x v="2"/>
          </reference>
        </references>
      </pivotArea>
    </format>
    <format dxfId="95">
      <pivotArea field="9" type="button" dataOnly="0" labelOnly="1" outline="0" axis="axisRow" fieldPosition="0"/>
    </format>
    <format dxfId="94">
      <pivotArea dataOnly="0" labelOnly="1" outline="0" fieldPosition="0">
        <references count="1">
          <reference field="4294967294" count="3">
            <x v="0"/>
            <x v="1"/>
            <x v="2"/>
          </reference>
        </references>
      </pivotArea>
    </format>
    <format dxfId="93">
      <pivotArea field="9" type="button" dataOnly="0" labelOnly="1" outline="0" axis="axisRow" fieldPosition="0"/>
    </format>
    <format dxfId="92">
      <pivotArea dataOnly="0" labelOnly="1" outline="0" fieldPosition="0">
        <references count="1">
          <reference field="4294967294" count="3">
            <x v="0"/>
            <x v="1"/>
            <x v="2"/>
          </reference>
        </references>
      </pivotArea>
    </format>
    <format dxfId="67">
      <pivotArea field="9" type="button" dataOnly="0" labelOnly="1" outline="0" axis="axisRow" fieldPosition="0"/>
    </format>
    <format dxfId="66">
      <pivotArea dataOnly="0" labelOnly="1" outline="0" fieldPosition="0">
        <references count="1">
          <reference field="4294967294" count="3">
            <x v="0"/>
            <x v="1"/>
            <x v="2"/>
          </reference>
        </references>
      </pivotArea>
    </format>
    <format dxfId="65">
      <pivotArea field="9" type="button" dataOnly="0" labelOnly="1" outline="0" axis="axisRow" fieldPosition="0"/>
    </format>
    <format dxfId="64">
      <pivotArea dataOnly="0" labelOnly="1" outline="0" fieldPosition="0">
        <references count="1">
          <reference field="4294967294" count="3">
            <x v="0"/>
            <x v="1"/>
            <x v="2"/>
          </reference>
        </references>
      </pivotArea>
    </format>
    <format dxfId="63">
      <pivotArea field="9" type="button" dataOnly="0" labelOnly="1" outline="0" axis="axisRow" fieldPosition="0"/>
    </format>
    <format dxfId="62">
      <pivotArea dataOnly="0" labelOnly="1" outline="0" fieldPosition="0">
        <references count="1">
          <reference field="4294967294" count="3">
            <x v="0"/>
            <x v="1"/>
            <x v="2"/>
          </reference>
        </references>
      </pivotArea>
    </format>
    <format dxfId="55">
      <pivotArea grandRow="1" outline="0" collapsedLevelsAreSubtotals="1" fieldPosition="0"/>
    </format>
    <format dxfId="54">
      <pivotArea dataOnly="0" labelOnly="1" grandRow="1" outline="0" fieldPosition="0"/>
    </format>
    <format dxfId="53">
      <pivotArea grandRow="1" outline="0" collapsedLevelsAreSubtotals="1" fieldPosition="0"/>
    </format>
    <format dxfId="52">
      <pivotArea dataOnly="0" labelOnly="1" grandRow="1" outline="0" fieldPosition="0"/>
    </format>
    <format dxfId="51">
      <pivotArea grandRow="1" outline="0" collapsedLevelsAreSubtotals="1" fieldPosition="0"/>
    </format>
    <format dxfId="50">
      <pivotArea dataOnly="0" labelOnly="1" grandRow="1" outline="0" fieldPosition="0"/>
    </format>
    <format dxfId="49">
      <pivotArea outline="0" fieldPosition="0">
        <references count="1">
          <reference field="4294967294" count="1" selected="0">
            <x v="0"/>
          </reference>
        </references>
      </pivotArea>
    </format>
    <format dxfId="48">
      <pivotArea dataOnly="0" labelOnly="1" outline="0" fieldPosition="0">
        <references count="1">
          <reference field="4" count="0"/>
        </references>
      </pivotArea>
    </format>
    <format dxfId="47">
      <pivotArea dataOnly="0" labelOnly="1" outline="0" fieldPosition="0">
        <references count="1">
          <reference field="4294967294" count="1">
            <x v="0"/>
          </reference>
        </references>
      </pivotArea>
    </format>
    <format dxfId="43">
      <pivotArea outline="0" fieldPosition="0">
        <references count="1">
          <reference field="4294967294" count="1" selected="0">
            <x v="1"/>
          </reference>
        </references>
      </pivotArea>
    </format>
    <format dxfId="42">
      <pivotArea dataOnly="0" labelOnly="1" outline="0" fieldPosition="0">
        <references count="1">
          <reference field="4294967294" count="1">
            <x v="1"/>
          </reference>
        </references>
      </pivotArea>
    </format>
    <format dxfId="33">
      <pivotArea outline="0" collapsedLevelsAreSubtotals="1" fieldPosition="0"/>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DC211E-5D20-4F2D-B927-1675595F60AF}" name="pvtHovedgruppe"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B9:E13" firstHeaderRow="0" firstDataRow="1" firstDataCol="1" rowPageCount="1" colPageCount="1"/>
  <pivotFields count="17">
    <pivotField compact="0" outline="0" showAll="0"/>
    <pivotField compact="0" outline="0" showAll="0"/>
    <pivotField compact="0" outline="0" showAll="0"/>
    <pivotField compact="0" outline="0" showAll="0"/>
    <pivotField axis="axisPage" compact="0" outline="0" showAll="0">
      <items count="3">
        <item x="0"/>
        <item h="1" x="1"/>
        <item t="default"/>
      </items>
    </pivotField>
    <pivotField compact="0" outline="0" showAll="0"/>
    <pivotField compact="0" outline="0" showAll="0"/>
    <pivotField compact="0" outline="0" showAll="0"/>
    <pivotField axis="axisRow" compact="0" outline="0" showAll="0">
      <items count="4">
        <item x="0"/>
        <item x="1"/>
        <item x="2"/>
        <item t="default"/>
      </items>
    </pivotField>
    <pivotField compact="0" outline="0" showAll="0"/>
    <pivotField compact="0" outline="0" showAll="0"/>
    <pivotField compact="0" outline="0" showAll="0"/>
    <pivotField compact="0" outline="0" showAll="0"/>
    <pivotField dataField="1" compact="0" outline="0" showAll="0"/>
    <pivotField dataField="1" compact="0" outline="0" showAll="0"/>
    <pivotField compact="0" outline="0" showAll="0"/>
    <pivotField dataField="1" compact="0" outline="0" showAll="0"/>
  </pivotFields>
  <rowFields count="1">
    <field x="8"/>
  </rowFields>
  <rowItems count="4">
    <i>
      <x/>
    </i>
    <i>
      <x v="1"/>
    </i>
    <i>
      <x v="2"/>
    </i>
    <i t="grand">
      <x/>
    </i>
  </rowItems>
  <colFields count="1">
    <field x="-2"/>
  </colFields>
  <colItems count="3">
    <i>
      <x/>
    </i>
    <i i="1">
      <x v="1"/>
    </i>
    <i i="2">
      <x v="2"/>
    </i>
  </colItems>
  <pageFields count="1">
    <pageField fld="4" hier="-1"/>
  </pageFields>
  <dataFields count="3">
    <dataField name="Sum Budsjett" fld="13" baseField="0" baseItem="0"/>
    <dataField name="Sum Regnskap" fld="14" baseField="0" baseItem="0"/>
    <dataField name="Sum Merforbruk" fld="16" baseField="0" baseItem="0"/>
  </dataFields>
  <formats count="24">
    <format dxfId="103">
      <pivotArea field="8" type="button" dataOnly="0" labelOnly="1" outline="0" axis="axisRow" fieldPosition="0"/>
    </format>
    <format dxfId="102">
      <pivotArea dataOnly="0" labelOnly="1" outline="0" fieldPosition="0">
        <references count="1">
          <reference field="4294967294" count="3">
            <x v="0"/>
            <x v="1"/>
            <x v="2"/>
          </reference>
        </references>
      </pivotArea>
    </format>
    <format dxfId="101">
      <pivotArea field="8" type="button" dataOnly="0" labelOnly="1" outline="0" axis="axisRow" fieldPosition="0"/>
    </format>
    <format dxfId="100">
      <pivotArea dataOnly="0" labelOnly="1" outline="0" fieldPosition="0">
        <references count="1">
          <reference field="4294967294" count="3">
            <x v="0"/>
            <x v="1"/>
            <x v="2"/>
          </reference>
        </references>
      </pivotArea>
    </format>
    <format dxfId="99">
      <pivotArea field="8" type="button" dataOnly="0" labelOnly="1" outline="0" axis="axisRow" fieldPosition="0"/>
    </format>
    <format dxfId="98">
      <pivotArea dataOnly="0" labelOnly="1" outline="0" fieldPosition="0">
        <references count="1">
          <reference field="4294967294" count="3">
            <x v="0"/>
            <x v="1"/>
            <x v="2"/>
          </reference>
        </references>
      </pivotArea>
    </format>
    <format dxfId="73">
      <pivotArea field="8" type="button" dataOnly="0" labelOnly="1" outline="0" axis="axisRow" fieldPosition="0"/>
    </format>
    <format dxfId="72">
      <pivotArea dataOnly="0" labelOnly="1" outline="0" fieldPosition="0">
        <references count="1">
          <reference field="4294967294" count="3">
            <x v="0"/>
            <x v="1"/>
            <x v="2"/>
          </reference>
        </references>
      </pivotArea>
    </format>
    <format dxfId="71">
      <pivotArea field="8" type="button" dataOnly="0" labelOnly="1" outline="0" axis="axisRow" fieldPosition="0"/>
    </format>
    <format dxfId="70">
      <pivotArea dataOnly="0" labelOnly="1" outline="0" fieldPosition="0">
        <references count="1">
          <reference field="4294967294" count="3">
            <x v="0"/>
            <x v="1"/>
            <x v="2"/>
          </reference>
        </references>
      </pivotArea>
    </format>
    <format dxfId="69">
      <pivotArea field="8" type="button" dataOnly="0" labelOnly="1" outline="0" axis="axisRow" fieldPosition="0"/>
    </format>
    <format dxfId="68">
      <pivotArea dataOnly="0" labelOnly="1" outline="0" fieldPosition="0">
        <references count="1">
          <reference field="4294967294" count="3">
            <x v="0"/>
            <x v="1"/>
            <x v="2"/>
          </reference>
        </references>
      </pivotArea>
    </format>
    <format dxfId="61">
      <pivotArea grandRow="1" outline="0" collapsedLevelsAreSubtotals="1" fieldPosition="0"/>
    </format>
    <format dxfId="60">
      <pivotArea dataOnly="0" labelOnly="1" grandRow="1" outline="0" fieldPosition="0"/>
    </format>
    <format dxfId="59">
      <pivotArea grandRow="1" outline="0" collapsedLevelsAreSubtotals="1" fieldPosition="0"/>
    </format>
    <format dxfId="58">
      <pivotArea dataOnly="0" labelOnly="1" grandRow="1" outline="0" fieldPosition="0"/>
    </format>
    <format dxfId="57">
      <pivotArea grandRow="1" outline="0" collapsedLevelsAreSubtotals="1" fieldPosition="0"/>
    </format>
    <format dxfId="56">
      <pivotArea dataOnly="0" labelOnly="1" grandRow="1" outline="0" fieldPosition="0"/>
    </format>
    <format dxfId="46">
      <pivotArea outline="0" fieldPosition="0">
        <references count="1">
          <reference field="4294967294" count="1" selected="0">
            <x v="0"/>
          </reference>
        </references>
      </pivotArea>
    </format>
    <format dxfId="45">
      <pivotArea dataOnly="0" labelOnly="1" outline="0" fieldPosition="0">
        <references count="1">
          <reference field="4" count="0"/>
        </references>
      </pivotArea>
    </format>
    <format dxfId="44">
      <pivotArea dataOnly="0" labelOnly="1" outline="0" fieldPosition="0">
        <references count="1">
          <reference field="4294967294" count="1">
            <x v="0"/>
          </reference>
        </references>
      </pivotArea>
    </format>
    <format dxfId="41">
      <pivotArea outline="0" fieldPosition="0">
        <references count="1">
          <reference field="4294967294" count="1" selected="0">
            <x v="1"/>
          </reference>
        </references>
      </pivotArea>
    </format>
    <format dxfId="40">
      <pivotArea dataOnly="0" labelOnly="1" outline="0" fieldPosition="0">
        <references count="1">
          <reference field="4294967294" count="1">
            <x v="1"/>
          </reference>
        </references>
      </pivotArea>
    </format>
    <format dxfId="34">
      <pivotArea outline="0" collapsedLevelsAreSubtotals="1" fieldPosition="0"/>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vedgruppe" xr10:uid="{593210F2-AAD2-4936-BB94-77E64D7EF5E9}" sourceName="Hovedgruppe">
  <pivotTables>
    <pivotTable tabId="9" name="pvtMaanedBokfort"/>
  </pivotTables>
  <data>
    <tabular pivotCacheId="1488434407">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dergruppe" xr10:uid="{445FB626-231C-4613-A4D0-F520E7E6FB7C}" sourceName="Undergruppe">
  <pivotTables>
    <pivotTable tabId="10" name="pvtUndergruppe"/>
  </pivotTables>
  <data>
    <tabular pivotCacheId="1488434407">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MaanedHovedgruppe" xr10:uid="{5484E7FC-9E9F-48F4-888F-C816C04F7D53}" cache="Slicer_Hovedgruppe" caption="Hovedgruppe · måned og KPI" rowHeight="241300"/>
  <slicer name="slcDetaljUndergruppe" xr10:uid="{7EB1495E-E8C2-4FB0-ADCB-14F5F520116E}" cache="Slicer_Undergruppe" caption="Undergruppe · detalj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BoMiljo" displayName="tbl_BoMiljo" ref="A1:Q1057" headerRowDxfId="91">
  <autoFilter ref="A1:Q1057" xr:uid="{00000000-0009-0000-0100-000001000000}"/>
  <tableColumns count="17">
    <tableColumn id="1" xr3:uid="{00000000-0010-0000-0000-000001000000}" name="Periode"/>
    <tableColumn id="2" xr3:uid="{00000000-0010-0000-0000-000002000000}" name="Måned"/>
    <tableColumn id="3" xr3:uid="{00000000-0010-0000-0000-000003000000}" name="Måned_Nr"/>
    <tableColumn id="4" xr3:uid="{00000000-0010-0000-0000-000004000000}" name="Tertial"/>
    <tableColumn id="5" xr3:uid="{00000000-0010-0000-0000-000005000000}" name="Status"/>
    <tableColumn id="6" xr3:uid="{00000000-0010-0000-0000-000006000000}" name="Lokasjon"/>
    <tableColumn id="7" xr3:uid="{00000000-0010-0000-0000-000007000000}" name="KOSTRA_Funksjon"/>
    <tableColumn id="8" xr3:uid="{00000000-0010-0000-0000-000008000000}" name="Tjenesteområde"/>
    <tableColumn id="9" xr3:uid="{00000000-0010-0000-0000-000009000000}" name="Hovedgruppe"/>
    <tableColumn id="10" xr3:uid="{00000000-0010-0000-0000-00000A000000}" name="Undergruppe"/>
    <tableColumn id="11" xr3:uid="{00000000-0010-0000-0000-00000B000000}" name="KOSTRA_Art"/>
    <tableColumn id="12" xr3:uid="{00000000-0010-0000-0000-00000C000000}" name="Kontokode"/>
    <tableColumn id="13" xr3:uid="{00000000-0010-0000-0000-00000D000000}" name="Kontonavn"/>
    <tableColumn id="14" xr3:uid="{00000000-0010-0000-0000-00000E000000}" name="Budsjett" dataDxfId="39"/>
    <tableColumn id="15" xr3:uid="{00000000-0010-0000-0000-00000F000000}" name="Regnskap" dataDxfId="38"/>
    <tableColumn id="16" xr3:uid="{00000000-0010-0000-0000-000010000000}" name="Avvik" dataDxfId="37"/>
    <tableColumn id="17" xr3:uid="{00000000-0010-0000-0000-000011000000}" name="Merforbruk" dataDxfId="3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4B183"/>
  </sheetPr>
  <dimension ref="B2:L40"/>
  <sheetViews>
    <sheetView showGridLines="0" tabSelected="1" zoomScale="80" zoomScaleNormal="80" workbookViewId="0">
      <selection activeCell="B14" sqref="B14:E16"/>
    </sheetView>
  </sheetViews>
  <sheetFormatPr defaultRowHeight="14.5" x14ac:dyDescent="0.35"/>
  <cols>
    <col min="1" max="13" width="14" customWidth="1"/>
  </cols>
  <sheetData>
    <row r="2" spans="2:12" x14ac:dyDescent="0.35">
      <c r="B2" s="49" t="s">
        <v>49</v>
      </c>
      <c r="C2" s="48"/>
      <c r="D2" s="48"/>
      <c r="E2" s="48"/>
      <c r="F2" s="48"/>
      <c r="G2" s="48"/>
      <c r="H2" s="48"/>
      <c r="I2" s="48"/>
      <c r="J2" s="48"/>
      <c r="K2" s="48"/>
      <c r="L2" s="48"/>
    </row>
    <row r="3" spans="2:12" x14ac:dyDescent="0.35">
      <c r="B3" s="48"/>
      <c r="C3" s="48"/>
      <c r="D3" s="48"/>
      <c r="E3" s="48"/>
      <c r="F3" s="48"/>
      <c r="G3" s="48"/>
      <c r="H3" s="48"/>
      <c r="I3" s="48"/>
      <c r="J3" s="48"/>
      <c r="K3" s="48"/>
      <c r="L3" s="48"/>
    </row>
    <row r="6" spans="2:12" x14ac:dyDescent="0.35">
      <c r="B6" s="83" t="s">
        <v>50</v>
      </c>
      <c r="C6" s="84"/>
      <c r="D6" s="84"/>
      <c r="E6" s="84"/>
      <c r="G6" s="89" t="s">
        <v>51</v>
      </c>
      <c r="H6" s="5"/>
      <c r="I6" s="5"/>
      <c r="J6" s="5"/>
      <c r="K6" s="5"/>
      <c r="L6" s="5"/>
    </row>
    <row r="7" spans="2:12" x14ac:dyDescent="0.35">
      <c r="B7" s="84"/>
      <c r="C7" s="84"/>
      <c r="D7" s="84"/>
      <c r="E7" s="84"/>
      <c r="G7" s="5"/>
      <c r="H7" s="5"/>
      <c r="I7" s="5"/>
      <c r="J7" s="5"/>
      <c r="K7" s="5"/>
      <c r="L7" s="5"/>
    </row>
    <row r="8" spans="2:12" x14ac:dyDescent="0.35">
      <c r="B8" s="84"/>
      <c r="C8" s="84"/>
      <c r="D8" s="84"/>
      <c r="E8" s="84"/>
      <c r="G8" s="5"/>
      <c r="H8" s="5"/>
      <c r="I8" s="5"/>
      <c r="J8" s="5"/>
      <c r="K8" s="5"/>
      <c r="L8" s="5"/>
    </row>
    <row r="9" spans="2:12" ht="23.5" x14ac:dyDescent="0.55000000000000004">
      <c r="C9" s="10" t="s">
        <v>52</v>
      </c>
      <c r="D9" s="5"/>
    </row>
    <row r="10" spans="2:12" x14ac:dyDescent="0.35">
      <c r="B10" s="83" t="s">
        <v>53</v>
      </c>
      <c r="C10" s="84"/>
      <c r="D10" s="84"/>
      <c r="E10" s="84"/>
      <c r="G10" s="89" t="s">
        <v>54</v>
      </c>
      <c r="H10" s="5"/>
      <c r="I10" s="5"/>
      <c r="J10" s="5"/>
      <c r="K10" s="5"/>
      <c r="L10" s="5"/>
    </row>
    <row r="11" spans="2:12" x14ac:dyDescent="0.35">
      <c r="B11" s="84"/>
      <c r="C11" s="84"/>
      <c r="D11" s="84"/>
      <c r="E11" s="84"/>
      <c r="G11" s="5"/>
      <c r="H11" s="5"/>
      <c r="I11" s="5"/>
      <c r="J11" s="5"/>
      <c r="K11" s="5"/>
      <c r="L11" s="5"/>
    </row>
    <row r="12" spans="2:12" x14ac:dyDescent="0.35">
      <c r="B12" s="84"/>
      <c r="C12" s="84"/>
      <c r="D12" s="84"/>
      <c r="E12" s="84"/>
      <c r="G12" s="5"/>
      <c r="H12" s="5"/>
      <c r="I12" s="5"/>
      <c r="J12" s="5"/>
      <c r="K12" s="5"/>
      <c r="L12" s="5"/>
    </row>
    <row r="13" spans="2:12" ht="23.5" x14ac:dyDescent="0.55000000000000004">
      <c r="C13" s="10" t="s">
        <v>52</v>
      </c>
      <c r="D13" s="5"/>
    </row>
    <row r="14" spans="2:12" x14ac:dyDescent="0.35">
      <c r="B14" s="83" t="s">
        <v>55</v>
      </c>
      <c r="C14" s="84"/>
      <c r="D14" s="84"/>
      <c r="E14" s="84"/>
      <c r="G14" s="89" t="s">
        <v>56</v>
      </c>
      <c r="H14" s="5"/>
      <c r="I14" s="5"/>
      <c r="J14" s="5"/>
      <c r="K14" s="5"/>
      <c r="L14" s="5"/>
    </row>
    <row r="15" spans="2:12" x14ac:dyDescent="0.35">
      <c r="B15" s="84"/>
      <c r="C15" s="84"/>
      <c r="D15" s="84"/>
      <c r="E15" s="84"/>
      <c r="G15" s="5"/>
      <c r="H15" s="5"/>
      <c r="I15" s="5"/>
      <c r="J15" s="5"/>
      <c r="K15" s="5"/>
      <c r="L15" s="5"/>
    </row>
    <row r="16" spans="2:12" x14ac:dyDescent="0.35">
      <c r="B16" s="84"/>
      <c r="C16" s="84"/>
      <c r="D16" s="84"/>
      <c r="E16" s="84"/>
      <c r="G16" s="5"/>
      <c r="H16" s="5"/>
      <c r="I16" s="5"/>
      <c r="J16" s="5"/>
      <c r="K16" s="5"/>
      <c r="L16" s="5"/>
    </row>
    <row r="17" spans="2:12" ht="23.5" x14ac:dyDescent="0.55000000000000004">
      <c r="C17" s="10" t="s">
        <v>52</v>
      </c>
      <c r="D17" s="5"/>
    </row>
    <row r="18" spans="2:12" x14ac:dyDescent="0.35">
      <c r="B18" s="85" t="s">
        <v>57</v>
      </c>
      <c r="C18" s="86"/>
      <c r="D18" s="86"/>
      <c r="E18" s="86"/>
      <c r="G18" s="89" t="s">
        <v>58</v>
      </c>
      <c r="H18" s="5"/>
      <c r="I18" s="5"/>
      <c r="J18" s="5"/>
      <c r="K18" s="5"/>
      <c r="L18" s="5"/>
    </row>
    <row r="19" spans="2:12" x14ac:dyDescent="0.35">
      <c r="B19" s="86"/>
      <c r="C19" s="86"/>
      <c r="D19" s="86"/>
      <c r="E19" s="86"/>
      <c r="G19" s="5"/>
      <c r="H19" s="5"/>
      <c r="I19" s="5"/>
      <c r="J19" s="5"/>
      <c r="K19" s="5"/>
      <c r="L19" s="5"/>
    </row>
    <row r="20" spans="2:12" x14ac:dyDescent="0.35">
      <c r="B20" s="86"/>
      <c r="C20" s="86"/>
      <c r="D20" s="86"/>
      <c r="E20" s="86"/>
      <c r="G20" s="5"/>
      <c r="H20" s="5"/>
      <c r="I20" s="5"/>
      <c r="J20" s="5"/>
      <c r="K20" s="5"/>
      <c r="L20" s="5"/>
    </row>
    <row r="21" spans="2:12" ht="23.5" x14ac:dyDescent="0.55000000000000004">
      <c r="C21" s="10" t="s">
        <v>52</v>
      </c>
      <c r="D21" s="5"/>
    </row>
    <row r="22" spans="2:12" x14ac:dyDescent="0.35">
      <c r="B22" s="83" t="s">
        <v>59</v>
      </c>
      <c r="C22" s="84"/>
      <c r="D22" s="84"/>
      <c r="E22" s="84"/>
      <c r="G22" s="89" t="s">
        <v>60</v>
      </c>
      <c r="H22" s="5"/>
      <c r="I22" s="5"/>
      <c r="J22" s="5"/>
      <c r="K22" s="5"/>
      <c r="L22" s="5"/>
    </row>
    <row r="23" spans="2:12" x14ac:dyDescent="0.35">
      <c r="B23" s="84"/>
      <c r="C23" s="84"/>
      <c r="D23" s="84"/>
      <c r="E23" s="84"/>
      <c r="G23" s="5"/>
      <c r="H23" s="5"/>
      <c r="I23" s="5"/>
      <c r="J23" s="5"/>
      <c r="K23" s="5"/>
      <c r="L23" s="5"/>
    </row>
    <row r="24" spans="2:12" x14ac:dyDescent="0.35">
      <c r="B24" s="84"/>
      <c r="C24" s="84"/>
      <c r="D24" s="84"/>
      <c r="E24" s="84"/>
      <c r="G24" s="5"/>
      <c r="H24" s="5"/>
      <c r="I24" s="5"/>
      <c r="J24" s="5"/>
      <c r="K24" s="5"/>
      <c r="L24" s="5"/>
    </row>
    <row r="25" spans="2:12" ht="23.5" x14ac:dyDescent="0.55000000000000004">
      <c r="C25" s="10" t="s">
        <v>52</v>
      </c>
      <c r="D25" s="5"/>
    </row>
    <row r="26" spans="2:12" x14ac:dyDescent="0.35">
      <c r="B26" s="87" t="s">
        <v>61</v>
      </c>
      <c r="C26" s="88"/>
      <c r="D26" s="88"/>
      <c r="E26" s="88"/>
      <c r="G26" s="89" t="s">
        <v>62</v>
      </c>
      <c r="H26" s="5"/>
      <c r="I26" s="5"/>
      <c r="J26" s="5"/>
      <c r="K26" s="5"/>
      <c r="L26" s="5"/>
    </row>
    <row r="27" spans="2:12" x14ac:dyDescent="0.35">
      <c r="B27" s="88"/>
      <c r="C27" s="88"/>
      <c r="D27" s="88"/>
      <c r="E27" s="88"/>
      <c r="G27" s="5"/>
      <c r="H27" s="5"/>
      <c r="I27" s="5"/>
      <c r="J27" s="5"/>
      <c r="K27" s="5"/>
      <c r="L27" s="5"/>
    </row>
    <row r="28" spans="2:12" x14ac:dyDescent="0.35">
      <c r="B28" s="88"/>
      <c r="C28" s="88"/>
      <c r="D28" s="88"/>
      <c r="E28" s="88"/>
      <c r="G28" s="5"/>
      <c r="H28" s="5"/>
      <c r="I28" s="5"/>
      <c r="J28" s="5"/>
      <c r="K28" s="5"/>
      <c r="L28" s="5"/>
    </row>
    <row r="29" spans="2:12" ht="23.5" x14ac:dyDescent="0.55000000000000004">
      <c r="C29" s="10" t="s">
        <v>52</v>
      </c>
      <c r="D29" s="5"/>
    </row>
    <row r="30" spans="2:12" x14ac:dyDescent="0.35">
      <c r="B30" s="83" t="s">
        <v>63</v>
      </c>
      <c r="C30" s="84"/>
      <c r="D30" s="84"/>
      <c r="E30" s="84"/>
      <c r="G30" s="89" t="s">
        <v>64</v>
      </c>
      <c r="H30" s="5"/>
      <c r="I30" s="5"/>
      <c r="J30" s="5"/>
      <c r="K30" s="5"/>
      <c r="L30" s="5"/>
    </row>
    <row r="31" spans="2:12" x14ac:dyDescent="0.35">
      <c r="B31" s="84"/>
      <c r="C31" s="84"/>
      <c r="D31" s="84"/>
      <c r="E31" s="84"/>
      <c r="G31" s="5"/>
      <c r="H31" s="5"/>
      <c r="I31" s="5"/>
      <c r="J31" s="5"/>
      <c r="K31" s="5"/>
      <c r="L31" s="5"/>
    </row>
    <row r="32" spans="2:12" x14ac:dyDescent="0.35">
      <c r="B32" s="84"/>
      <c r="C32" s="84"/>
      <c r="D32" s="84"/>
      <c r="E32" s="84"/>
      <c r="G32" s="5"/>
      <c r="H32" s="5"/>
      <c r="I32" s="5"/>
      <c r="J32" s="5"/>
      <c r="K32" s="5"/>
      <c r="L32" s="5"/>
    </row>
    <row r="33" spans="2:12" ht="23.5" x14ac:dyDescent="0.55000000000000004">
      <c r="C33" s="10" t="s">
        <v>52</v>
      </c>
      <c r="D33" s="5"/>
    </row>
    <row r="34" spans="2:12" x14ac:dyDescent="0.35">
      <c r="B34" s="83" t="s">
        <v>65</v>
      </c>
      <c r="C34" s="84"/>
      <c r="D34" s="84"/>
      <c r="E34" s="84"/>
      <c r="G34" s="89" t="s">
        <v>66</v>
      </c>
      <c r="H34" s="5"/>
      <c r="I34" s="5"/>
      <c r="J34" s="5"/>
      <c r="K34" s="5"/>
      <c r="L34" s="5"/>
    </row>
    <row r="35" spans="2:12" x14ac:dyDescent="0.35">
      <c r="B35" s="84"/>
      <c r="C35" s="84"/>
      <c r="D35" s="84"/>
      <c r="E35" s="84"/>
      <c r="G35" s="5"/>
      <c r="H35" s="5"/>
      <c r="I35" s="5"/>
      <c r="J35" s="5"/>
      <c r="K35" s="5"/>
      <c r="L35" s="5"/>
    </row>
    <row r="36" spans="2:12" x14ac:dyDescent="0.35">
      <c r="B36" s="84"/>
      <c r="C36" s="84"/>
      <c r="D36" s="84"/>
      <c r="E36" s="84"/>
      <c r="G36" s="5"/>
      <c r="H36" s="5"/>
      <c r="I36" s="5"/>
      <c r="J36" s="5"/>
      <c r="K36" s="5"/>
      <c r="L36" s="5"/>
    </row>
    <row r="37" spans="2:12" ht="23.5" x14ac:dyDescent="0.55000000000000004">
      <c r="C37" s="10" t="s">
        <v>52</v>
      </c>
      <c r="D37" s="5"/>
    </row>
    <row r="38" spans="2:12" x14ac:dyDescent="0.35">
      <c r="B38" s="83" t="s">
        <v>67</v>
      </c>
      <c r="C38" s="84"/>
      <c r="D38" s="84"/>
      <c r="E38" s="84"/>
      <c r="G38" s="89" t="s">
        <v>68</v>
      </c>
      <c r="H38" s="5"/>
      <c r="I38" s="5"/>
      <c r="J38" s="5"/>
      <c r="K38" s="5"/>
      <c r="L38" s="5"/>
    </row>
    <row r="39" spans="2:12" x14ac:dyDescent="0.35">
      <c r="B39" s="84"/>
      <c r="C39" s="84"/>
      <c r="D39" s="84"/>
      <c r="E39" s="84"/>
      <c r="G39" s="5"/>
      <c r="H39" s="5"/>
      <c r="I39" s="5"/>
      <c r="J39" s="5"/>
      <c r="K39" s="5"/>
      <c r="L39" s="5"/>
    </row>
    <row r="40" spans="2:12" x14ac:dyDescent="0.35">
      <c r="B40" s="84"/>
      <c r="C40" s="84"/>
      <c r="D40" s="84"/>
      <c r="E40" s="84"/>
      <c r="G40" s="5"/>
      <c r="H40" s="5"/>
      <c r="I40" s="5"/>
      <c r="J40" s="5"/>
      <c r="K40" s="5"/>
      <c r="L40" s="5"/>
    </row>
  </sheetData>
  <mergeCells count="27">
    <mergeCell ref="B10:E12"/>
    <mergeCell ref="C37:D37"/>
    <mergeCell ref="B2:L3"/>
    <mergeCell ref="B38:E40"/>
    <mergeCell ref="C13:D13"/>
    <mergeCell ref="B14:E16"/>
    <mergeCell ref="C21:D21"/>
    <mergeCell ref="G26:L28"/>
    <mergeCell ref="G22:L24"/>
    <mergeCell ref="C17:D17"/>
    <mergeCell ref="B18:E20"/>
    <mergeCell ref="B6:E8"/>
    <mergeCell ref="G38:L40"/>
    <mergeCell ref="C33:D33"/>
    <mergeCell ref="B34:E36"/>
    <mergeCell ref="G10:L12"/>
    <mergeCell ref="B30:E32"/>
    <mergeCell ref="G34:L36"/>
    <mergeCell ref="G6:L8"/>
    <mergeCell ref="C29:D29"/>
    <mergeCell ref="B26:E28"/>
    <mergeCell ref="C25:D25"/>
    <mergeCell ref="G18:L20"/>
    <mergeCell ref="G30:L32"/>
    <mergeCell ref="C9:D9"/>
    <mergeCell ref="G14:L16"/>
    <mergeCell ref="B22:E2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902EF-622B-4175-8876-13C622E03602}">
  <dimension ref="B2:S58"/>
  <sheetViews>
    <sheetView showGridLines="0" zoomScale="80" zoomScaleNormal="80" workbookViewId="0">
      <selection activeCell="W8" sqref="W7:W8"/>
    </sheetView>
  </sheetViews>
  <sheetFormatPr defaultRowHeight="14.5" x14ac:dyDescent="0.35"/>
  <cols>
    <col min="2" max="2" width="19.453125" customWidth="1"/>
    <col min="3" max="5" width="12.1796875" customWidth="1"/>
    <col min="6" max="6" width="19.453125" customWidth="1"/>
    <col min="7" max="9" width="12.1796875" customWidth="1"/>
    <col min="10" max="10" width="19.453125" customWidth="1"/>
    <col min="11" max="13" width="12.1796875" customWidth="1"/>
    <col min="14" max="14" width="19.453125" customWidth="1"/>
    <col min="15" max="15" width="6.54296875" customWidth="1"/>
    <col min="16" max="17" width="12.7265625" customWidth="1"/>
    <col min="18" max="18" width="4.54296875" customWidth="1"/>
    <col min="19" max="19" width="12.7265625" hidden="1" customWidth="1"/>
  </cols>
  <sheetData>
    <row r="2" spans="2:19" ht="42" customHeight="1" x14ac:dyDescent="0.5">
      <c r="B2" s="13" t="s">
        <v>256</v>
      </c>
      <c r="C2" s="14"/>
      <c r="D2" s="14"/>
      <c r="E2" s="14"/>
      <c r="F2" s="14"/>
      <c r="G2" s="14"/>
      <c r="H2" s="14"/>
      <c r="I2" s="14"/>
      <c r="J2" s="14"/>
      <c r="K2" s="14"/>
      <c r="L2" s="14"/>
      <c r="M2" s="14"/>
      <c r="N2" s="14"/>
      <c r="O2" s="14"/>
    </row>
    <row r="4" spans="2:19" x14ac:dyDescent="0.35">
      <c r="B4" s="12" t="s">
        <v>3</v>
      </c>
      <c r="C4" s="12"/>
      <c r="D4" s="12"/>
      <c r="E4" s="12"/>
      <c r="F4" s="12"/>
      <c r="G4" s="12"/>
      <c r="H4" s="12"/>
    </row>
    <row r="6" spans="2:19" x14ac:dyDescent="0.35">
      <c r="B6" s="42" t="s">
        <v>0</v>
      </c>
      <c r="C6" s="43"/>
      <c r="F6" s="45" t="s">
        <v>1</v>
      </c>
      <c r="G6" s="46"/>
      <c r="J6" s="38" t="s">
        <v>257</v>
      </c>
      <c r="N6" s="38" t="s">
        <v>258</v>
      </c>
    </row>
    <row r="7" spans="2:19" ht="29" customHeight="1" x14ac:dyDescent="0.55000000000000004">
      <c r="B7" s="120">
        <f>'Pivot - måned'!C18</f>
        <v>11337237</v>
      </c>
      <c r="C7" s="44"/>
      <c r="D7" s="16"/>
      <c r="E7" s="16"/>
      <c r="F7" s="121">
        <f>'Pivot - måned'!D18</f>
        <v>12622851.42</v>
      </c>
      <c r="G7" s="47"/>
      <c r="H7" s="16"/>
      <c r="I7" s="16"/>
      <c r="J7" s="122">
        <f>'Pivot - måned'!E18</f>
        <v>1285614.4200000002</v>
      </c>
      <c r="K7" s="16"/>
      <c r="L7" s="16"/>
      <c r="M7" s="16"/>
      <c r="N7" s="39">
        <f>IFERROR(-J7/B7,0)</f>
        <v>-0.11339750769962735</v>
      </c>
    </row>
    <row r="8" spans="2:19" ht="30" customHeight="1" x14ac:dyDescent="0.35">
      <c r="P8" s="36" t="s">
        <v>331</v>
      </c>
      <c r="Q8" s="14"/>
      <c r="R8" s="14"/>
      <c r="S8" s="14"/>
    </row>
    <row r="10" spans="2:19" x14ac:dyDescent="0.35">
      <c r="P10" s="37" t="s">
        <v>332</v>
      </c>
    </row>
    <row r="25" spans="2:16" x14ac:dyDescent="0.35">
      <c r="P25" t="s">
        <v>341</v>
      </c>
    </row>
    <row r="27" spans="2:16" x14ac:dyDescent="0.35">
      <c r="P27" s="37" t="s">
        <v>333</v>
      </c>
    </row>
    <row r="29" spans="2:16" x14ac:dyDescent="0.35">
      <c r="B29" s="22" t="s">
        <v>259</v>
      </c>
      <c r="C29" s="21"/>
      <c r="D29" s="21"/>
      <c r="E29" s="21"/>
      <c r="F29" s="21"/>
      <c r="G29" s="21"/>
      <c r="H29" s="21"/>
      <c r="I29" s="21"/>
      <c r="J29" s="21"/>
      <c r="K29" s="21"/>
      <c r="L29" s="21"/>
      <c r="M29" s="21"/>
      <c r="N29" s="21"/>
      <c r="O29" s="123"/>
    </row>
    <row r="30" spans="2:16" ht="24" customHeight="1" x14ac:dyDescent="0.35">
      <c r="B30" t="s">
        <v>445</v>
      </c>
    </row>
    <row r="31" spans="2:16" ht="24" customHeight="1" x14ac:dyDescent="0.35">
      <c r="B31" t="s">
        <v>334</v>
      </c>
    </row>
    <row r="32" spans="2:16" ht="24" customHeight="1" x14ac:dyDescent="0.35">
      <c r="B32" t="s">
        <v>338</v>
      </c>
    </row>
    <row r="33" spans="2:2" ht="24" customHeight="1" x14ac:dyDescent="0.35">
      <c r="B33" t="s">
        <v>342</v>
      </c>
    </row>
    <row r="34" spans="2:2" ht="24" customHeight="1" x14ac:dyDescent="0.35">
      <c r="B34" t="s">
        <v>339</v>
      </c>
    </row>
    <row r="35" spans="2:2" x14ac:dyDescent="0.35">
      <c r="B35" s="40" t="s">
        <v>340</v>
      </c>
    </row>
    <row r="57" spans="2:15" ht="30" customHeight="1" x14ac:dyDescent="0.4">
      <c r="B57" s="41" t="s">
        <v>434</v>
      </c>
      <c r="C57" s="14"/>
      <c r="D57" s="14"/>
      <c r="E57" s="14"/>
      <c r="F57" s="14"/>
      <c r="G57" s="14"/>
      <c r="H57" s="14"/>
      <c r="I57" s="14"/>
      <c r="J57" s="14"/>
      <c r="K57" s="14"/>
      <c r="L57" s="14"/>
      <c r="M57" s="14"/>
      <c r="N57" s="14"/>
      <c r="O57" s="14"/>
    </row>
    <row r="58" spans="2:15" x14ac:dyDescent="0.35">
      <c r="B58" s="15" t="s">
        <v>435</v>
      </c>
    </row>
  </sheetData>
  <conditionalFormatting sqref="J7">
    <cfRule type="expression" dxfId="17" priority="1">
      <formula>$N$7&lt;=-10%</formula>
    </cfRule>
  </conditionalFormatting>
  <conditionalFormatting sqref="J7">
    <cfRule type="expression" dxfId="16" priority="2">
      <formula>AND($N$7&gt;-10%,$N$7&lt;=-5%)</formula>
    </cfRule>
  </conditionalFormatting>
  <conditionalFormatting sqref="J7">
    <cfRule type="expression" dxfId="15" priority="3">
      <formula>$N$7&gt;-5%</formula>
    </cfRule>
  </conditionalFormatting>
  <conditionalFormatting sqref="N7">
    <cfRule type="expression" dxfId="14" priority="4">
      <formula>AND(ISNUMBER(N7),N7&lt;0)</formula>
    </cfRule>
  </conditionalFormatting>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B2:L45"/>
  <sheetViews>
    <sheetView showGridLines="0" topLeftCell="A13" zoomScale="90" zoomScaleNormal="90" workbookViewId="0">
      <selection activeCell="O33" sqref="O33"/>
    </sheetView>
  </sheetViews>
  <sheetFormatPr defaultRowHeight="14.5" x14ac:dyDescent="0.35"/>
  <cols>
    <col min="1" max="1" width="14" customWidth="1"/>
    <col min="2" max="2" width="37.26953125" customWidth="1"/>
    <col min="3" max="5" width="22.36328125" customWidth="1"/>
    <col min="6" max="6" width="18.1796875" customWidth="1"/>
    <col min="7" max="13" width="14" customWidth="1"/>
  </cols>
  <sheetData>
    <row r="2" spans="2:12" x14ac:dyDescent="0.35">
      <c r="B2" s="49" t="s">
        <v>4</v>
      </c>
      <c r="C2" s="48"/>
      <c r="D2" s="48"/>
      <c r="E2" s="48"/>
      <c r="F2" s="48"/>
      <c r="G2" s="5"/>
      <c r="H2" s="5"/>
      <c r="I2" s="5"/>
      <c r="J2" s="5"/>
      <c r="K2" s="5"/>
      <c r="L2" s="5"/>
    </row>
    <row r="3" spans="2:12" x14ac:dyDescent="0.35">
      <c r="B3" s="5"/>
      <c r="C3" s="5"/>
      <c r="D3" s="5"/>
      <c r="E3" s="5"/>
      <c r="F3" s="5"/>
      <c r="G3" s="5"/>
      <c r="H3" s="5"/>
      <c r="I3" s="5"/>
      <c r="J3" s="5"/>
      <c r="K3" s="5"/>
      <c r="L3" s="5"/>
    </row>
    <row r="5" spans="2:12" x14ac:dyDescent="0.35">
      <c r="B5" s="57" t="s">
        <v>1</v>
      </c>
      <c r="C5" s="58"/>
      <c r="E5" s="54" t="s">
        <v>5</v>
      </c>
      <c r="F5" s="55"/>
      <c r="H5" s="51" t="s">
        <v>6</v>
      </c>
      <c r="I5" s="5"/>
      <c r="K5" s="51" t="s">
        <v>7</v>
      </c>
      <c r="L5" s="5"/>
    </row>
    <row r="6" spans="2:12" x14ac:dyDescent="0.35">
      <c r="B6" s="110">
        <f>'1 Nåsituasjon'!F7</f>
        <v>12622851.42</v>
      </c>
      <c r="C6" s="59"/>
      <c r="D6" s="16"/>
      <c r="E6" s="109">
        <f>SUMIFS(tbl_BoMiljo[Budsjett],tbl_BoMiljo[Status],"Gjenstående budsjett")</f>
        <v>5896454</v>
      </c>
      <c r="F6" s="56"/>
      <c r="G6" s="16"/>
      <c r="H6" s="113">
        <f>MAX(0,'1 Nåsituasjon'!J7)*$B$20</f>
        <v>642807.21000000008</v>
      </c>
      <c r="I6" s="28"/>
      <c r="J6" s="16"/>
      <c r="K6" s="113">
        <f>SUM(B6,E6,H6)</f>
        <v>19162112.630000003</v>
      </c>
      <c r="L6" s="5"/>
    </row>
    <row r="7" spans="2:12" x14ac:dyDescent="0.35">
      <c r="B7" s="58"/>
      <c r="C7" s="58"/>
      <c r="E7" s="55"/>
      <c r="F7" s="55"/>
      <c r="H7" s="50"/>
      <c r="I7" s="5"/>
      <c r="K7" s="50"/>
      <c r="L7" s="5"/>
    </row>
    <row r="10" spans="2:12" x14ac:dyDescent="0.35">
      <c r="B10" s="7" t="s">
        <v>2</v>
      </c>
      <c r="C10" s="5"/>
      <c r="E10" s="80" t="s">
        <v>8</v>
      </c>
      <c r="F10" s="78"/>
      <c r="H10" s="80" t="s">
        <v>9</v>
      </c>
      <c r="I10" s="78"/>
      <c r="K10" s="7" t="s">
        <v>10</v>
      </c>
      <c r="L10" s="5"/>
    </row>
    <row r="11" spans="2:12" x14ac:dyDescent="0.35">
      <c r="B11" s="112">
        <f>SUM(tbl_BoMiljo[Budsjett])</f>
        <v>17233691</v>
      </c>
      <c r="C11" s="28"/>
      <c r="D11" s="16"/>
      <c r="E11" s="111">
        <f>K6-B11</f>
        <v>1928421.6300000027</v>
      </c>
      <c r="F11" s="78"/>
      <c r="H11" s="79">
        <f>IFERROR(-E11/B11,0)</f>
        <v>-0.11189835247713346</v>
      </c>
      <c r="I11" s="78"/>
      <c r="K11" s="6" t="str">
        <f>IF(H11&lt;=-10%,"RØD",IF(H11&lt;=-5%,"GUL","GRØNN"))</f>
        <v>RØD</v>
      </c>
      <c r="L11" s="5"/>
    </row>
    <row r="12" spans="2:12" x14ac:dyDescent="0.35">
      <c r="B12" s="5"/>
      <c r="C12" s="5"/>
      <c r="E12" s="78"/>
      <c r="F12" s="78"/>
      <c r="H12" s="78"/>
      <c r="I12" s="78"/>
      <c r="K12" s="5"/>
      <c r="L12" s="5"/>
    </row>
    <row r="15" spans="2:12" x14ac:dyDescent="0.35">
      <c r="B15" s="8" t="s">
        <v>11</v>
      </c>
      <c r="C15" s="5"/>
      <c r="D15" s="5"/>
      <c r="E15" s="5"/>
      <c r="F15" s="5"/>
      <c r="G15" s="5"/>
      <c r="H15" s="5"/>
      <c r="I15" s="5"/>
      <c r="J15" s="5"/>
      <c r="K15" s="5"/>
      <c r="L15" s="5"/>
    </row>
    <row r="16" spans="2:12" x14ac:dyDescent="0.35">
      <c r="B16" s="27"/>
      <c r="C16" s="26"/>
      <c r="D16" s="26"/>
      <c r="E16" s="26"/>
      <c r="F16" s="26"/>
      <c r="G16" s="26"/>
      <c r="H16" s="26"/>
      <c r="I16" s="26"/>
      <c r="J16" s="26"/>
      <c r="K16" s="26"/>
      <c r="L16" s="26"/>
    </row>
    <row r="17" spans="2:12" x14ac:dyDescent="0.35">
      <c r="B17" s="24"/>
      <c r="C17" s="24"/>
      <c r="D17" s="24"/>
      <c r="E17" s="24"/>
      <c r="F17" s="24"/>
      <c r="G17" s="24"/>
      <c r="H17" s="24"/>
      <c r="I17" s="24"/>
      <c r="J17" s="24"/>
      <c r="K17" s="24"/>
      <c r="L17" s="24"/>
    </row>
    <row r="18" spans="2:12" x14ac:dyDescent="0.35">
      <c r="B18" s="24"/>
      <c r="C18" s="24"/>
      <c r="D18" s="24"/>
      <c r="E18" s="24"/>
      <c r="F18" s="24"/>
      <c r="G18" s="24"/>
      <c r="H18" s="24"/>
      <c r="I18" s="24"/>
      <c r="J18" s="24"/>
      <c r="K18" s="24"/>
      <c r="L18" s="24"/>
    </row>
    <row r="19" spans="2:12" x14ac:dyDescent="0.35">
      <c r="B19" s="23" t="s">
        <v>260</v>
      </c>
      <c r="C19" s="23"/>
      <c r="D19" s="23"/>
      <c r="E19" s="23"/>
      <c r="F19" s="23"/>
      <c r="G19" s="23"/>
      <c r="H19" s="23"/>
      <c r="I19" s="23"/>
      <c r="J19" s="23"/>
      <c r="K19" s="23"/>
      <c r="L19" s="23"/>
    </row>
    <row r="20" spans="2:12" x14ac:dyDescent="0.35">
      <c r="B20" s="25">
        <v>0.5</v>
      </c>
      <c r="C20" s="23"/>
      <c r="D20" s="23"/>
      <c r="E20" s="23"/>
      <c r="F20" s="23"/>
      <c r="G20" s="23"/>
      <c r="H20" s="23"/>
      <c r="I20" s="23"/>
      <c r="J20" s="23"/>
      <c r="K20" s="23"/>
      <c r="L20" s="23"/>
    </row>
    <row r="21" spans="2:12" x14ac:dyDescent="0.35">
      <c r="B21" s="23"/>
      <c r="C21" s="23"/>
      <c r="D21" s="23"/>
      <c r="E21" s="23"/>
      <c r="F21" s="23"/>
      <c r="G21" s="23"/>
      <c r="H21" s="23"/>
      <c r="I21" s="23"/>
      <c r="J21" s="23"/>
      <c r="K21" s="23"/>
      <c r="L21" s="23"/>
    </row>
    <row r="22" spans="2:12" x14ac:dyDescent="0.35">
      <c r="B22" s="23" t="s">
        <v>261</v>
      </c>
      <c r="C22" s="23"/>
      <c r="D22" s="23"/>
      <c r="E22" s="23"/>
      <c r="F22" s="23"/>
      <c r="G22" s="23"/>
      <c r="H22" s="23"/>
      <c r="I22" s="23"/>
      <c r="J22" s="23"/>
      <c r="K22" s="23"/>
      <c r="L22" s="23"/>
    </row>
    <row r="23" spans="2:12" x14ac:dyDescent="0.35">
      <c r="B23" s="23" t="s">
        <v>262</v>
      </c>
      <c r="C23" s="23"/>
      <c r="D23" s="23"/>
      <c r="E23" s="23"/>
      <c r="F23" s="23"/>
      <c r="G23" s="23"/>
      <c r="H23" s="23"/>
      <c r="I23" s="23"/>
      <c r="J23" s="23"/>
      <c r="K23" s="23"/>
      <c r="L23" s="23"/>
    </row>
    <row r="24" spans="2:12" x14ac:dyDescent="0.35">
      <c r="B24" s="23" t="s">
        <v>442</v>
      </c>
      <c r="C24" s="23"/>
      <c r="D24" s="23"/>
      <c r="E24" s="23"/>
      <c r="F24" s="23"/>
      <c r="G24" s="23"/>
      <c r="H24" s="23"/>
      <c r="I24" s="23"/>
      <c r="J24" s="23"/>
      <c r="K24" s="23"/>
      <c r="L24" s="23"/>
    </row>
    <row r="25" spans="2:12" x14ac:dyDescent="0.35">
      <c r="B25" s="23" t="s">
        <v>263</v>
      </c>
      <c r="C25" s="23"/>
      <c r="D25" s="23"/>
      <c r="E25" s="23"/>
      <c r="F25" s="23"/>
      <c r="G25" s="23"/>
      <c r="H25" s="23"/>
      <c r="I25" s="23"/>
      <c r="J25" s="23"/>
      <c r="K25" s="23"/>
      <c r="L25" s="23"/>
    </row>
    <row r="28" spans="2:12" ht="31" customHeight="1" x14ac:dyDescent="0.4">
      <c r="B28" s="134" t="s">
        <v>491</v>
      </c>
      <c r="C28" s="132"/>
      <c r="D28" s="132"/>
      <c r="E28" s="132"/>
      <c r="F28" s="132"/>
      <c r="G28" s="132"/>
      <c r="H28" s="132"/>
      <c r="I28" s="132"/>
      <c r="J28" s="132"/>
      <c r="K28" s="132"/>
      <c r="L28" s="132"/>
    </row>
    <row r="29" spans="2:12" x14ac:dyDescent="0.35">
      <c r="B29" s="135" t="s">
        <v>81</v>
      </c>
      <c r="C29" s="135" t="s">
        <v>492</v>
      </c>
      <c r="D29" s="135" t="s">
        <v>493</v>
      </c>
      <c r="E29" s="135" t="s">
        <v>494</v>
      </c>
      <c r="F29" s="135" t="s">
        <v>497</v>
      </c>
    </row>
    <row r="30" spans="2:12" ht="23" customHeight="1" x14ac:dyDescent="0.35">
      <c r="B30" t="s">
        <v>98</v>
      </c>
      <c r="C30" s="16">
        <f>SUMIFS(tbl_BoMiljo[Budsjett],tbl_BoMiljo[Periode],"&lt;="&amp;B30)</f>
        <v>1403337</v>
      </c>
      <c r="D30" s="16">
        <f>SUMIFS(tbl_BoMiljo[Regnskap],tbl_BoMiljo[Status],"Bokført",tbl_BoMiljo[Periode],"&lt;="&amp;B30)</f>
        <v>1014751.5</v>
      </c>
      <c r="E30" s="16"/>
    </row>
    <row r="31" spans="2:12" ht="23" customHeight="1" x14ac:dyDescent="0.35">
      <c r="B31" t="s">
        <v>106</v>
      </c>
      <c r="C31" s="16">
        <f>SUMIFS(tbl_BoMiljo[Budsjett],tbl_BoMiljo[Periode],"&lt;="&amp;B31)</f>
        <v>2814230</v>
      </c>
      <c r="D31" s="16">
        <f>SUMIFS(tbl_BoMiljo[Regnskap],tbl_BoMiljo[Status],"Bokført",tbl_BoMiljo[Periode],"&lt;="&amp;B31)</f>
        <v>3096841.29</v>
      </c>
      <c r="E31" s="16"/>
    </row>
    <row r="32" spans="2:12" ht="23" customHeight="1" x14ac:dyDescent="0.35">
      <c r="B32" t="s">
        <v>108</v>
      </c>
      <c r="C32" s="16">
        <f>SUMIFS(tbl_BoMiljo[Budsjett],tbl_BoMiljo[Periode],"&lt;="&amp;B32)</f>
        <v>4156611</v>
      </c>
      <c r="D32" s="16">
        <f>SUMIFS(tbl_BoMiljo[Regnskap],tbl_BoMiljo[Status],"Bokført",tbl_BoMiljo[Periode],"&lt;="&amp;B32)</f>
        <v>4638089.7999999989</v>
      </c>
      <c r="E32" s="16"/>
    </row>
    <row r="33" spans="2:6" ht="23" customHeight="1" x14ac:dyDescent="0.35">
      <c r="B33" t="s">
        <v>110</v>
      </c>
      <c r="C33" s="16">
        <f>SUMIFS(tbl_BoMiljo[Budsjett],tbl_BoMiljo[Periode],"&lt;="&amp;B33)</f>
        <v>6513970</v>
      </c>
      <c r="D33" s="16">
        <f>SUMIFS(tbl_BoMiljo[Regnskap],tbl_BoMiljo[Status],"Bokført",tbl_BoMiljo[Periode],"&lt;="&amp;B33)</f>
        <v>6894805.4599999981</v>
      </c>
      <c r="E33" s="16"/>
    </row>
    <row r="34" spans="2:6" ht="23" customHeight="1" x14ac:dyDescent="0.35">
      <c r="B34" t="s">
        <v>112</v>
      </c>
      <c r="C34" s="16">
        <f>SUMIFS(tbl_BoMiljo[Budsjett],tbl_BoMiljo[Periode],"&lt;="&amp;B34)</f>
        <v>8058185</v>
      </c>
      <c r="D34" s="16">
        <f>SUMIFS(tbl_BoMiljo[Regnskap],tbl_BoMiljo[Status],"Bokført",tbl_BoMiljo[Periode],"&lt;="&amp;B34)</f>
        <v>8508242.3000000101</v>
      </c>
      <c r="E34" s="16"/>
    </row>
    <row r="35" spans="2:6" ht="23" customHeight="1" x14ac:dyDescent="0.35">
      <c r="B35" t="s">
        <v>114</v>
      </c>
      <c r="C35" s="16">
        <f>SUMIFS(tbl_BoMiljo[Budsjett],tbl_BoMiljo[Periode],"&lt;="&amp;B35)</f>
        <v>8299866</v>
      </c>
      <c r="D35" s="16">
        <f>SUMIFS(tbl_BoMiljo[Regnskap],tbl_BoMiljo[Status],"Bokført",tbl_BoMiljo[Periode],"&lt;="&amp;B35)</f>
        <v>9027578.5300000049</v>
      </c>
      <c r="E35" s="16"/>
    </row>
    <row r="36" spans="2:6" ht="23" customHeight="1" x14ac:dyDescent="0.35">
      <c r="B36" t="s">
        <v>116</v>
      </c>
      <c r="C36" s="16">
        <f>SUMIFS(tbl_BoMiljo[Budsjett],tbl_BoMiljo[Periode],"&lt;="&amp;B36)</f>
        <v>9812075</v>
      </c>
      <c r="D36" s="16">
        <f>SUMIFS(tbl_BoMiljo[Regnskap],tbl_BoMiljo[Status],"Bokført",tbl_BoMiljo[Periode],"&lt;="&amp;B36)</f>
        <v>10865101.600000007</v>
      </c>
      <c r="E36" s="16"/>
    </row>
    <row r="37" spans="2:6" ht="23" customHeight="1" x14ac:dyDescent="0.35">
      <c r="B37" s="149" t="s">
        <v>118</v>
      </c>
      <c r="C37" s="150">
        <f>SUMIFS(tbl_BoMiljo[Budsjett],tbl_BoMiljo[Periode],"&lt;="&amp;B37)</f>
        <v>11337237</v>
      </c>
      <c r="D37" s="150">
        <f>SUMIFS(tbl_BoMiljo[Regnskap],tbl_BoMiljo[Status],"Bokført",tbl_BoMiljo[Periode],"&lt;="&amp;B37)</f>
        <v>12622851.420000017</v>
      </c>
      <c r="E37" s="150">
        <f>D37</f>
        <v>12622851.420000017</v>
      </c>
      <c r="F37" s="152">
        <f>IF(ISNUMBER(E37),E37-C37,"")</f>
        <v>1285614.4200000167</v>
      </c>
    </row>
    <row r="38" spans="2:6" ht="23" customHeight="1" x14ac:dyDescent="0.35">
      <c r="B38" s="148" t="s">
        <v>120</v>
      </c>
      <c r="C38" s="151">
        <f>SUMIFS(tbl_BoMiljo[Budsjett],tbl_BoMiljo[Periode],"&lt;="&amp;B38)</f>
        <v>12841636</v>
      </c>
      <c r="D38" s="151"/>
      <c r="E38" s="151">
        <f>$B$6+SUMIFS(tbl_BoMiljo[Budsjett],tbl_BoMiljo[Status],"Gjenstående budsjett",tbl_BoMiljo[Periode],"&lt;="&amp;B38)+$H$6*(VALUE(RIGHT(B38,2))-8)/4</f>
        <v>14287952.2225</v>
      </c>
      <c r="F38" s="152">
        <f>IF(ISNUMBER(E38),E38-C38,"")</f>
        <v>1446316.2225000001</v>
      </c>
    </row>
    <row r="39" spans="2:6" ht="23" customHeight="1" x14ac:dyDescent="0.35">
      <c r="B39" s="148" t="s">
        <v>122</v>
      </c>
      <c r="C39" s="151">
        <f>SUMIFS(tbl_BoMiljo[Budsjett],tbl_BoMiljo[Periode],"&lt;="&amp;B39)</f>
        <v>14260410</v>
      </c>
      <c r="D39" s="151"/>
      <c r="E39" s="151">
        <f>$B$6+SUMIFS(tbl_BoMiljo[Budsjett],tbl_BoMiljo[Status],"Gjenstående budsjett",tbl_BoMiljo[Periode],"&lt;="&amp;B39)+$H$6*(VALUE(RIGHT(B39,2))-8)/4</f>
        <v>15867428.025</v>
      </c>
      <c r="F39" s="152">
        <f>IF(ISNUMBER(E39),E39-C39,"")</f>
        <v>1607018.0250000004</v>
      </c>
    </row>
    <row r="40" spans="2:6" ht="23" customHeight="1" x14ac:dyDescent="0.35">
      <c r="B40" s="148" t="s">
        <v>124</v>
      </c>
      <c r="C40" s="151">
        <f>SUMIFS(tbl_BoMiljo[Budsjett],tbl_BoMiljo[Periode],"&lt;="&amp;B40)</f>
        <v>15678950</v>
      </c>
      <c r="D40" s="151"/>
      <c r="E40" s="151">
        <f>$B$6+SUMIFS(tbl_BoMiljo[Budsjett],tbl_BoMiljo[Status],"Gjenstående budsjett",tbl_BoMiljo[Periode],"&lt;="&amp;B40)+$H$6*(VALUE(RIGHT(B40,2))-8)/4</f>
        <v>17446669.827500001</v>
      </c>
      <c r="F40" s="152">
        <f>IF(ISNUMBER(E40),E40-C40,"")</f>
        <v>1767719.8275000006</v>
      </c>
    </row>
    <row r="41" spans="2:6" ht="23" customHeight="1" x14ac:dyDescent="0.35">
      <c r="B41" s="148" t="s">
        <v>126</v>
      </c>
      <c r="C41" s="151">
        <f>SUMIFS(tbl_BoMiljo[Budsjett],tbl_BoMiljo[Periode],"&lt;="&amp;B41)</f>
        <v>17233691</v>
      </c>
      <c r="D41" s="151"/>
      <c r="E41" s="151">
        <f>$B$6+SUMIFS(tbl_BoMiljo[Budsjett],tbl_BoMiljo[Status],"Gjenstående budsjett",tbl_BoMiljo[Periode],"&lt;="&amp;B41)+$H$6*(VALUE(RIGHT(B41,2))-8)/4</f>
        <v>19162112.630000003</v>
      </c>
      <c r="F41" s="152">
        <f>IF(ISNUMBER(E41),E41-C41,"")</f>
        <v>1928421.6300000027</v>
      </c>
    </row>
    <row r="43" spans="2:6" x14ac:dyDescent="0.35">
      <c r="B43" t="s">
        <v>495</v>
      </c>
    </row>
    <row r="44" spans="2:6" x14ac:dyDescent="0.35">
      <c r="B44" t="s">
        <v>496</v>
      </c>
    </row>
    <row r="45" spans="2:6" x14ac:dyDescent="0.35">
      <c r="B45" t="s">
        <v>498</v>
      </c>
    </row>
  </sheetData>
  <mergeCells count="18">
    <mergeCell ref="B15:L18"/>
    <mergeCell ref="B2:L3"/>
    <mergeCell ref="B6:C7"/>
    <mergeCell ref="H5:I5"/>
    <mergeCell ref="E11:F12"/>
    <mergeCell ref="H11:I12"/>
    <mergeCell ref="K11:L12"/>
    <mergeCell ref="B11:C12"/>
    <mergeCell ref="B10:C10"/>
    <mergeCell ref="H10:I10"/>
    <mergeCell ref="K10:L10"/>
    <mergeCell ref="E5:F5"/>
    <mergeCell ref="K5:L5"/>
    <mergeCell ref="E6:F7"/>
    <mergeCell ref="H6:I7"/>
    <mergeCell ref="E10:F10"/>
    <mergeCell ref="B5:C5"/>
    <mergeCell ref="K6:L7"/>
  </mergeCells>
  <conditionalFormatting sqref="H11:I12">
    <cfRule type="expression" dxfId="13" priority="1">
      <formula>$H$11&lt;=-10%</formula>
    </cfRule>
  </conditionalFormatting>
  <conditionalFormatting sqref="H11:I12">
    <cfRule type="expression" dxfId="12" priority="2">
      <formula>AND($H$11&gt;-10%,$H$11&lt;=-5%)</formula>
    </cfRule>
  </conditionalFormatting>
  <conditionalFormatting sqref="H11:I12">
    <cfRule type="expression" dxfId="11" priority="3">
      <formula>$H$11&gt;-5%</formula>
    </cfRule>
  </conditionalFormatting>
  <conditionalFormatting sqref="E11">
    <cfRule type="expression" dxfId="10" priority="4">
      <formula>AND(ISNUMBER(E11),E11&gt;0)</formula>
    </cfRule>
  </conditionalFormatting>
  <conditionalFormatting sqref="E11">
    <cfRule type="expression" dxfId="9" priority="5">
      <formula>AND(ISNUMBER(E11),E11&lt;0)</formula>
    </cfRule>
  </conditionalFormatting>
  <dataValidations count="1">
    <dataValidation type="decimal" allowBlank="1" showInputMessage="1" showErrorMessage="1" sqref="B20" xr:uid="{345B0FB2-5B4B-4210-982C-4BA31323BFA5}">
      <formula1>0</formula1>
      <formula2>1</formula2>
    </dataValidation>
  </dataValidation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6B78"/>
  </sheetPr>
  <dimension ref="B2:Q32"/>
  <sheetViews>
    <sheetView showGridLines="0" zoomScale="80" zoomScaleNormal="80" workbookViewId="0">
      <selection activeCell="A29" sqref="A29:XFD34"/>
    </sheetView>
  </sheetViews>
  <sheetFormatPr defaultRowHeight="14.5" x14ac:dyDescent="0.35"/>
  <cols>
    <col min="1" max="1" width="14" customWidth="1"/>
    <col min="2" max="2" width="8.1796875" customWidth="1"/>
    <col min="3" max="3" width="48.7265625" customWidth="1"/>
    <col min="4" max="4" width="12.54296875" customWidth="1"/>
    <col min="5" max="5" width="19.08984375" customWidth="1"/>
    <col min="6" max="7" width="14.90625" customWidth="1"/>
    <col min="8" max="8" width="19.81640625" customWidth="1"/>
    <col min="9" max="10" width="16.7265625" customWidth="1"/>
    <col min="11" max="11" width="28.7265625" customWidth="1"/>
    <col min="12" max="12" width="26.36328125" customWidth="1"/>
    <col min="13" max="13" width="19.08984375" customWidth="1"/>
    <col min="14" max="14" width="22.7265625" customWidth="1"/>
    <col min="15" max="15" width="23.08984375" customWidth="1"/>
    <col min="16" max="16" width="84.7265625" customWidth="1"/>
    <col min="17" max="17" width="23.26953125" customWidth="1"/>
  </cols>
  <sheetData>
    <row r="2" spans="2:17" x14ac:dyDescent="0.35">
      <c r="B2" s="49" t="s">
        <v>264</v>
      </c>
      <c r="C2" s="48"/>
      <c r="D2" s="48"/>
      <c r="E2" s="48"/>
      <c r="F2" s="48"/>
      <c r="G2" s="48"/>
      <c r="H2" s="48"/>
      <c r="I2" s="48"/>
      <c r="J2" s="48"/>
      <c r="K2" s="48"/>
      <c r="L2" s="48"/>
    </row>
    <row r="3" spans="2:17" x14ac:dyDescent="0.35">
      <c r="B3" s="48"/>
      <c r="C3" s="48"/>
      <c r="D3" s="48"/>
      <c r="E3" s="48"/>
      <c r="F3" s="48"/>
      <c r="G3" s="48"/>
      <c r="H3" s="48"/>
      <c r="I3" s="48"/>
      <c r="J3" s="48"/>
      <c r="K3" s="48"/>
      <c r="L3" s="48"/>
    </row>
    <row r="5" spans="2:17" ht="52" customHeight="1" x14ac:dyDescent="0.35">
      <c r="B5" s="76" t="s">
        <v>12</v>
      </c>
      <c r="C5" s="76" t="s">
        <v>13</v>
      </c>
      <c r="D5" s="76" t="s">
        <v>14</v>
      </c>
      <c r="E5" s="76" t="s">
        <v>15</v>
      </c>
      <c r="F5" s="76" t="s">
        <v>16</v>
      </c>
      <c r="G5" s="76" t="s">
        <v>17</v>
      </c>
      <c r="H5" s="76" t="s">
        <v>18</v>
      </c>
      <c r="I5" s="76" t="s">
        <v>19</v>
      </c>
      <c r="J5" s="76" t="s">
        <v>20</v>
      </c>
      <c r="K5" s="76" t="s">
        <v>21</v>
      </c>
      <c r="L5" s="76" t="s">
        <v>22</v>
      </c>
      <c r="M5" s="96" t="s">
        <v>265</v>
      </c>
      <c r="N5" s="96" t="s">
        <v>266</v>
      </c>
      <c r="O5" s="96" t="s">
        <v>267</v>
      </c>
      <c r="P5" s="96" t="s">
        <v>268</v>
      </c>
      <c r="Q5" s="96" t="s">
        <v>329</v>
      </c>
    </row>
    <row r="6" spans="2:17" ht="50" customHeight="1" x14ac:dyDescent="0.35">
      <c r="B6" s="1" t="s">
        <v>23</v>
      </c>
      <c r="C6" s="1" t="s">
        <v>24</v>
      </c>
      <c r="D6" s="1" t="s">
        <v>25</v>
      </c>
      <c r="E6" s="104">
        <v>732705</v>
      </c>
      <c r="F6" s="2">
        <v>0.08</v>
      </c>
      <c r="G6" s="2">
        <v>0.85</v>
      </c>
      <c r="H6" s="105">
        <v>41323.94</v>
      </c>
      <c r="I6" s="2">
        <v>0.05</v>
      </c>
      <c r="J6" s="2">
        <v>0.05</v>
      </c>
      <c r="K6" s="3" t="s">
        <v>26</v>
      </c>
      <c r="L6" s="106">
        <v>41323.94</v>
      </c>
      <c r="M6" s="29" t="s">
        <v>269</v>
      </c>
      <c r="N6" s="29" t="s">
        <v>270</v>
      </c>
      <c r="O6" s="107">
        <f>IF(AND(M6="Godkjent",N6="Ja"),H6,0)</f>
        <v>0</v>
      </c>
      <c r="P6" s="17" t="s">
        <v>271</v>
      </c>
      <c r="Q6" t="str">
        <f>IF(M6="Avvist","AVVIST",IF(AND(M6="Godkjent",N6="Ja"),"GRØNN",IF(N6="Ja","GUL","RØD")))</f>
        <v>RØD</v>
      </c>
    </row>
    <row r="7" spans="2:17" ht="50" customHeight="1" x14ac:dyDescent="0.35">
      <c r="B7" s="1" t="s">
        <v>27</v>
      </c>
      <c r="C7" s="1" t="s">
        <v>28</v>
      </c>
      <c r="D7" s="1" t="s">
        <v>25</v>
      </c>
      <c r="E7" s="104">
        <v>612450.14500000002</v>
      </c>
      <c r="F7" s="2">
        <v>0.1</v>
      </c>
      <c r="G7" s="2">
        <v>0.7</v>
      </c>
      <c r="H7" s="105">
        <v>28871.510149999998</v>
      </c>
      <c r="I7" s="2">
        <v>0.15</v>
      </c>
      <c r="J7" s="2">
        <v>0.25</v>
      </c>
      <c r="K7" s="3" t="s">
        <v>29</v>
      </c>
      <c r="L7" s="106">
        <v>28871.510149999998</v>
      </c>
      <c r="M7" s="29" t="s">
        <v>269</v>
      </c>
      <c r="N7" s="29" t="s">
        <v>270</v>
      </c>
      <c r="O7" s="107">
        <f>IF(AND(M7="Godkjent",N7="Ja"),H7,0)</f>
        <v>0</v>
      </c>
      <c r="P7" s="17" t="s">
        <v>272</v>
      </c>
      <c r="Q7" t="str">
        <f t="shared" ref="Q7:Q11" si="0">IF(M7="Avvist","AVVIST",IF(AND(M7="Godkjent",N7="Ja"),"GRØNN",IF(N7="Ja","GUL","RØD")))</f>
        <v>RØD</v>
      </c>
    </row>
    <row r="8" spans="2:17" ht="50" customHeight="1" x14ac:dyDescent="0.35">
      <c r="B8" s="1" t="s">
        <v>30</v>
      </c>
      <c r="C8" s="1" t="s">
        <v>31</v>
      </c>
      <c r="D8" s="1" t="s">
        <v>25</v>
      </c>
      <c r="E8" s="104">
        <v>1105443.81</v>
      </c>
      <c r="F8" s="2">
        <v>0.08</v>
      </c>
      <c r="G8" s="2">
        <v>0.75</v>
      </c>
      <c r="H8" s="105">
        <v>55076.628600000011</v>
      </c>
      <c r="I8" s="2">
        <v>0.15</v>
      </c>
      <c r="J8" s="2">
        <v>0.25</v>
      </c>
      <c r="K8" s="3" t="s">
        <v>29</v>
      </c>
      <c r="L8" s="106">
        <v>55076.628600000011</v>
      </c>
      <c r="M8" s="29" t="s">
        <v>269</v>
      </c>
      <c r="N8" s="29" t="s">
        <v>270</v>
      </c>
      <c r="O8" s="107">
        <f>IF(AND(M8="Godkjent",N8="Ja"),H8,0)</f>
        <v>0</v>
      </c>
      <c r="P8" s="17" t="s">
        <v>273</v>
      </c>
      <c r="Q8" t="str">
        <f t="shared" si="0"/>
        <v>RØD</v>
      </c>
    </row>
    <row r="9" spans="2:17" ht="50" customHeight="1" x14ac:dyDescent="0.35">
      <c r="B9" s="1" t="s">
        <v>32</v>
      </c>
      <c r="C9" s="1" t="s">
        <v>33</v>
      </c>
      <c r="D9" s="1" t="s">
        <v>25</v>
      </c>
      <c r="E9" s="104">
        <v>155776</v>
      </c>
      <c r="F9" s="2">
        <v>0.1</v>
      </c>
      <c r="G9" s="2">
        <v>0.9</v>
      </c>
      <c r="H9" s="105">
        <v>9519.84</v>
      </c>
      <c r="I9" s="2">
        <v>0.1</v>
      </c>
      <c r="J9" s="2">
        <v>0.05</v>
      </c>
      <c r="K9" s="3" t="s">
        <v>26</v>
      </c>
      <c r="L9" s="106">
        <v>9519.84</v>
      </c>
      <c r="M9" s="29" t="s">
        <v>269</v>
      </c>
      <c r="N9" s="29" t="s">
        <v>270</v>
      </c>
      <c r="O9" s="107">
        <f>IF(AND(M9="Godkjent",N9="Ja"),H9,0)</f>
        <v>0</v>
      </c>
      <c r="P9" s="17" t="s">
        <v>274</v>
      </c>
      <c r="Q9" t="str">
        <f t="shared" si="0"/>
        <v>RØD</v>
      </c>
    </row>
    <row r="10" spans="2:17" ht="50" customHeight="1" x14ac:dyDescent="0.35">
      <c r="B10" s="1" t="s">
        <v>34</v>
      </c>
      <c r="C10" s="1" t="s">
        <v>35</v>
      </c>
      <c r="D10" s="1" t="s">
        <v>36</v>
      </c>
      <c r="E10" s="104">
        <v>4789478.5649999985</v>
      </c>
      <c r="F10" s="2">
        <v>0.02</v>
      </c>
      <c r="G10" s="2">
        <v>0.6</v>
      </c>
      <c r="H10" s="105">
        <v>27473.74278</v>
      </c>
      <c r="I10" s="2">
        <v>0.1</v>
      </c>
      <c r="J10" s="2">
        <v>0.25</v>
      </c>
      <c r="K10" s="3" t="s">
        <v>29</v>
      </c>
      <c r="L10" s="106">
        <v>48079.049864999994</v>
      </c>
      <c r="M10" s="29" t="s">
        <v>269</v>
      </c>
      <c r="N10" s="29" t="s">
        <v>270</v>
      </c>
      <c r="O10" s="107">
        <f>IF(AND(M10="Godkjent",N10="Ja"),H10,0)</f>
        <v>0</v>
      </c>
      <c r="P10" s="17" t="s">
        <v>275</v>
      </c>
      <c r="Q10" t="str">
        <f t="shared" si="0"/>
        <v>RØD</v>
      </c>
    </row>
    <row r="11" spans="2:17" ht="50" customHeight="1" x14ac:dyDescent="0.35">
      <c r="B11" s="1" t="s">
        <v>37</v>
      </c>
      <c r="C11" s="1" t="s">
        <v>38</v>
      </c>
      <c r="D11" s="1" t="s">
        <v>36</v>
      </c>
      <c r="E11" s="104">
        <v>17233691</v>
      </c>
      <c r="F11" s="2">
        <v>5.0000000000000001E-3</v>
      </c>
      <c r="G11" s="2">
        <v>0.6</v>
      </c>
      <c r="H11" s="105">
        <v>30701.073</v>
      </c>
      <c r="I11" s="2">
        <v>0.05</v>
      </c>
      <c r="J11" s="2">
        <v>0.05</v>
      </c>
      <c r="K11" s="3" t="s">
        <v>26</v>
      </c>
      <c r="L11" s="106">
        <v>42981.502200000003</v>
      </c>
      <c r="M11" s="29" t="s">
        <v>269</v>
      </c>
      <c r="N11" s="29" t="s">
        <v>270</v>
      </c>
      <c r="O11" s="107">
        <f>IF(AND(M11="Godkjent",N11="Ja"),H11,0)</f>
        <v>0</v>
      </c>
      <c r="P11" s="17" t="s">
        <v>276</v>
      </c>
      <c r="Q11" t="str">
        <f t="shared" si="0"/>
        <v>RØD</v>
      </c>
    </row>
    <row r="14" spans="2:17" ht="27" customHeight="1" x14ac:dyDescent="0.35">
      <c r="B14" s="36" t="s">
        <v>277</v>
      </c>
      <c r="C14" s="14"/>
      <c r="D14" s="14"/>
      <c r="E14" s="14"/>
      <c r="F14" s="14"/>
      <c r="G14" s="14"/>
      <c r="H14" s="14"/>
      <c r="I14" s="14"/>
      <c r="J14" s="14"/>
      <c r="K14" s="14"/>
      <c r="L14" s="14"/>
      <c r="M14" s="14"/>
      <c r="N14" s="14"/>
      <c r="O14" s="14"/>
      <c r="P14" s="14"/>
      <c r="Q14" s="14"/>
    </row>
    <row r="15" spans="2:17" x14ac:dyDescent="0.35">
      <c r="B15" t="s">
        <v>278</v>
      </c>
      <c r="E15">
        <f>COUNTA(B6:B11)</f>
        <v>6</v>
      </c>
    </row>
    <row r="16" spans="2:17" x14ac:dyDescent="0.35">
      <c r="B16" t="s">
        <v>279</v>
      </c>
      <c r="E16" s="98">
        <f>SUM(H6:H11)</f>
        <v>192966.73453000002</v>
      </c>
    </row>
    <row r="17" spans="2:17" x14ac:dyDescent="0.35">
      <c r="B17" t="s">
        <v>280</v>
      </c>
      <c r="E17" s="98">
        <f>SUM(O6:O11)</f>
        <v>0</v>
      </c>
    </row>
    <row r="18" spans="2:17" x14ac:dyDescent="0.35">
      <c r="B18" t="s">
        <v>281</v>
      </c>
      <c r="E18">
        <f>COUNTIF(N6:N11,"Nei")</f>
        <v>6</v>
      </c>
    </row>
    <row r="21" spans="2:17" ht="27" customHeight="1" x14ac:dyDescent="0.35">
      <c r="B21" s="36" t="s">
        <v>282</v>
      </c>
      <c r="C21" s="14"/>
      <c r="D21" s="14"/>
      <c r="E21" s="14"/>
      <c r="F21" s="14"/>
      <c r="G21" s="14"/>
      <c r="H21" s="14"/>
      <c r="I21" s="14"/>
      <c r="J21" s="14"/>
      <c r="K21" s="14"/>
      <c r="L21" s="14"/>
      <c r="M21" s="14"/>
      <c r="N21" s="14"/>
      <c r="O21" s="14"/>
      <c r="P21" s="14"/>
      <c r="Q21" s="14"/>
    </row>
    <row r="22" spans="2:17" x14ac:dyDescent="0.35">
      <c r="B22" t="s">
        <v>283</v>
      </c>
    </row>
    <row r="23" spans="2:17" x14ac:dyDescent="0.35">
      <c r="B23" t="s">
        <v>284</v>
      </c>
    </row>
    <row r="24" spans="2:17" x14ac:dyDescent="0.35">
      <c r="B24" t="s">
        <v>285</v>
      </c>
    </row>
    <row r="25" spans="2:17" x14ac:dyDescent="0.35">
      <c r="B25" t="s">
        <v>286</v>
      </c>
    </row>
    <row r="26" spans="2:17" x14ac:dyDescent="0.35">
      <c r="B26" t="s">
        <v>287</v>
      </c>
    </row>
    <row r="27" spans="2:17" x14ac:dyDescent="0.35">
      <c r="B27" s="15" t="s">
        <v>330</v>
      </c>
    </row>
    <row r="30" spans="2:17" x14ac:dyDescent="0.35">
      <c r="B30" s="8" t="s">
        <v>39</v>
      </c>
      <c r="C30" s="5"/>
      <c r="D30" s="5"/>
      <c r="E30" s="5"/>
      <c r="F30" s="5"/>
      <c r="G30" s="5"/>
      <c r="H30" s="5"/>
      <c r="I30" s="5"/>
      <c r="J30" s="5"/>
      <c r="K30" s="5"/>
      <c r="L30" s="5"/>
    </row>
    <row r="31" spans="2:17" x14ac:dyDescent="0.35">
      <c r="B31" s="5"/>
      <c r="C31" s="5"/>
      <c r="D31" s="5"/>
      <c r="E31" s="5"/>
      <c r="F31" s="5"/>
      <c r="G31" s="5"/>
      <c r="H31" s="5"/>
      <c r="I31" s="5"/>
      <c r="J31" s="5"/>
      <c r="K31" s="5"/>
      <c r="L31" s="5"/>
    </row>
    <row r="32" spans="2:17" x14ac:dyDescent="0.35">
      <c r="B32" s="5"/>
      <c r="C32" s="5"/>
      <c r="D32" s="5"/>
      <c r="E32" s="5"/>
      <c r="F32" s="5"/>
      <c r="G32" s="5"/>
      <c r="H32" s="5"/>
      <c r="I32" s="5"/>
      <c r="J32" s="5"/>
      <c r="K32" s="5"/>
      <c r="L32" s="5"/>
    </row>
  </sheetData>
  <mergeCells count="2">
    <mergeCell ref="B2:L3"/>
    <mergeCell ref="B30:L32"/>
  </mergeCells>
  <conditionalFormatting sqref="Q6:Q11">
    <cfRule type="expression" dxfId="8" priority="1">
      <formula>$Q6="RØD"</formula>
    </cfRule>
  </conditionalFormatting>
  <conditionalFormatting sqref="Q6:Q11">
    <cfRule type="expression" dxfId="7" priority="2">
      <formula>$Q6="GUL"</formula>
    </cfRule>
  </conditionalFormatting>
  <conditionalFormatting sqref="Q6:Q11">
    <cfRule type="expression" dxfId="6" priority="3">
      <formula>$Q6="GRØNN"</formula>
    </cfRule>
  </conditionalFormatting>
  <conditionalFormatting sqref="Q6:Q11">
    <cfRule type="expression" dxfId="5" priority="4">
      <formula>$Q6="AVVIST"</formula>
    </cfRule>
  </conditionalFormatting>
  <conditionalFormatting sqref="H6:H11">
    <cfRule type="dataBar" priority="5">
      <dataBar>
        <cfvo type="min"/>
        <cfvo type="max"/>
        <color rgb="FF638EC6"/>
      </dataBar>
      <extLst>
        <ext xmlns:x14="http://schemas.microsoft.com/office/spreadsheetml/2009/9/main" uri="{B025F937-C7B1-47D3-B67F-A62EFF666E3E}">
          <x14:id>{712D08BB-31D7-46C1-88D0-6313EBC57913}</x14:id>
        </ext>
      </extLst>
    </cfRule>
  </conditionalFormatting>
  <conditionalFormatting sqref="O6:O11">
    <cfRule type="dataBar" priority="6">
      <dataBar>
        <cfvo type="min"/>
        <cfvo type="max"/>
        <color rgb="FF638EC6"/>
      </dataBar>
      <extLst>
        <ext xmlns:x14="http://schemas.microsoft.com/office/spreadsheetml/2009/9/main" uri="{B025F937-C7B1-47D3-B67F-A62EFF666E3E}">
          <x14:id>{647764AF-4331-4CA8-98A3-0F53F629E49F}</x14:id>
        </ext>
      </extLst>
    </cfRule>
  </conditionalFormatting>
  <dataValidations count="2">
    <dataValidation type="list" allowBlank="1" showInputMessage="1" showErrorMessage="1" sqref="M6:M11" xr:uid="{7CD09E76-4E43-4AD7-8B79-029A20AB0B2D}">
      <formula1>"Kandidat,Godkjent,Avvist"</formula1>
    </dataValidation>
    <dataValidation type="list" allowBlank="1" showInputMessage="1" showErrorMessage="1" sqref="N6:N11" xr:uid="{1E1B45DA-8EA5-4633-9179-6702025FB4F7}">
      <formula1>"Nei,Ja"</formula1>
    </dataValidation>
  </dataValidations>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712D08BB-31D7-46C1-88D0-6313EBC57913}">
            <x14:dataBar minLength="0" maxLength="100" negativeBarColorSameAsPositive="1" axisPosition="none">
              <x14:cfvo type="min"/>
              <x14:cfvo type="max"/>
            </x14:dataBar>
          </x14:cfRule>
          <xm:sqref>H6:H11</xm:sqref>
        </x14:conditionalFormatting>
        <x14:conditionalFormatting xmlns:xm="http://schemas.microsoft.com/office/excel/2006/main">
          <x14:cfRule type="dataBar" id="{647764AF-4331-4CA8-98A3-0F53F629E49F}">
            <x14:dataBar minLength="0" maxLength="100" negativeBarColorSameAsPositive="1" axisPosition="none">
              <x14:cfvo type="min"/>
              <x14:cfvo type="max"/>
            </x14:dataBar>
          </x14:cfRule>
          <xm:sqref>O6:O11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B2:L114"/>
  <sheetViews>
    <sheetView showGridLines="0" topLeftCell="A44" zoomScale="80" zoomScaleNormal="80" workbookViewId="0">
      <selection activeCell="F34" sqref="F34"/>
    </sheetView>
  </sheetViews>
  <sheetFormatPr defaultRowHeight="14.5" x14ac:dyDescent="0.35"/>
  <cols>
    <col min="1" max="1" width="14" customWidth="1"/>
    <col min="2" max="2" width="40" customWidth="1"/>
    <col min="3" max="3" width="23.54296875" customWidth="1"/>
    <col min="4" max="5" width="22.7265625" customWidth="1"/>
    <col min="6" max="7" width="25.453125" customWidth="1"/>
    <col min="8" max="8" width="27.26953125" customWidth="1"/>
    <col min="9" max="9" width="16.90625" customWidth="1"/>
    <col min="10" max="13" width="14" customWidth="1"/>
  </cols>
  <sheetData>
    <row r="2" spans="2:12" x14ac:dyDescent="0.35">
      <c r="B2" s="49" t="s">
        <v>288</v>
      </c>
      <c r="C2" s="48"/>
      <c r="D2" s="48"/>
      <c r="E2" s="48"/>
      <c r="F2" s="48"/>
      <c r="G2" s="5"/>
      <c r="H2" s="5"/>
      <c r="I2" s="5"/>
      <c r="J2" s="5"/>
      <c r="K2" s="5"/>
      <c r="L2" s="5"/>
    </row>
    <row r="3" spans="2:12" x14ac:dyDescent="0.35">
      <c r="B3" s="5"/>
      <c r="C3" s="5"/>
      <c r="D3" s="5"/>
      <c r="E3" s="5"/>
      <c r="F3" s="5"/>
      <c r="G3" s="5"/>
      <c r="H3" s="5"/>
      <c r="I3" s="5"/>
      <c r="J3" s="5"/>
      <c r="K3" s="5"/>
      <c r="L3" s="5"/>
    </row>
    <row r="5" spans="2:12" x14ac:dyDescent="0.35">
      <c r="B5" s="77" t="s">
        <v>40</v>
      </c>
      <c r="C5" s="78"/>
      <c r="E5" s="81" t="s">
        <v>289</v>
      </c>
      <c r="F5" s="82"/>
      <c r="H5" s="77" t="s">
        <v>290</v>
      </c>
      <c r="I5" s="78"/>
      <c r="K5" s="51" t="s">
        <v>41</v>
      </c>
      <c r="L5" s="5"/>
    </row>
    <row r="6" spans="2:12" x14ac:dyDescent="0.35">
      <c r="B6" s="111">
        <f>'2 Prognose EOY'!E11</f>
        <v>1928421.6300000027</v>
      </c>
      <c r="C6" s="78"/>
      <c r="E6" s="114">
        <f>'3 AI tiltak og effekt'!E16</f>
        <v>192966.73453000002</v>
      </c>
      <c r="F6" s="82"/>
      <c r="H6" s="111">
        <f>B6-E6</f>
        <v>1735454.8954700027</v>
      </c>
      <c r="I6" s="78"/>
      <c r="K6" s="52">
        <f>IFERROR(E6/B6,0)</f>
        <v>0.10006459766270084</v>
      </c>
      <c r="L6" s="5"/>
    </row>
    <row r="7" spans="2:12" x14ac:dyDescent="0.35">
      <c r="B7" s="78"/>
      <c r="C7" s="78"/>
      <c r="E7" s="82"/>
      <c r="F7" s="82"/>
      <c r="H7" s="78"/>
      <c r="I7" s="78"/>
      <c r="K7" s="50"/>
      <c r="L7" s="5"/>
    </row>
    <row r="11" spans="2:12" x14ac:dyDescent="0.35">
      <c r="B11" s="9" t="s">
        <v>470</v>
      </c>
      <c r="C11" s="5"/>
      <c r="D11" s="5"/>
      <c r="E11" s="5"/>
      <c r="F11" s="5"/>
      <c r="G11" s="5"/>
      <c r="H11" s="5"/>
      <c r="I11" s="5"/>
      <c r="J11" s="5"/>
      <c r="K11" s="5"/>
      <c r="L11" s="5"/>
    </row>
    <row r="12" spans="2:12" x14ac:dyDescent="0.35">
      <c r="B12" s="5"/>
      <c r="C12" s="5"/>
      <c r="D12" s="5"/>
      <c r="E12" s="5"/>
      <c r="F12" s="5"/>
      <c r="G12" s="5"/>
      <c r="H12" s="5"/>
      <c r="I12" s="5"/>
      <c r="J12" s="5"/>
      <c r="K12" s="5"/>
      <c r="L12" s="5"/>
    </row>
    <row r="13" spans="2:12" x14ac:dyDescent="0.35">
      <c r="B13" s="5"/>
      <c r="C13" s="5"/>
      <c r="D13" s="5"/>
      <c r="E13" s="5"/>
      <c r="F13" s="5"/>
      <c r="G13" s="5"/>
      <c r="H13" s="5"/>
      <c r="I13" s="5"/>
      <c r="J13" s="5"/>
      <c r="K13" s="5"/>
      <c r="L13" s="5"/>
    </row>
    <row r="14" spans="2:12" x14ac:dyDescent="0.35">
      <c r="B14" s="5"/>
      <c r="C14" s="5"/>
      <c r="D14" s="5"/>
      <c r="E14" s="5"/>
      <c r="F14" s="5"/>
      <c r="G14" s="5"/>
      <c r="H14" s="5"/>
      <c r="I14" s="5"/>
      <c r="J14" s="5"/>
      <c r="K14" s="5"/>
      <c r="L14" s="5"/>
    </row>
    <row r="16" spans="2:12" x14ac:dyDescent="0.35">
      <c r="B16" s="36" t="s">
        <v>291</v>
      </c>
      <c r="C16" s="14"/>
      <c r="D16" s="14"/>
      <c r="E16" s="14"/>
      <c r="F16" s="14"/>
      <c r="G16" s="14"/>
      <c r="H16" s="14"/>
      <c r="I16" s="14"/>
      <c r="J16" s="14"/>
      <c r="K16" s="14"/>
      <c r="L16" s="14"/>
    </row>
    <row r="17" spans="2:12" x14ac:dyDescent="0.35">
      <c r="B17" t="s">
        <v>292</v>
      </c>
      <c r="E17" s="98">
        <f>'2 Prognose EOY'!K6</f>
        <v>19162112.630000003</v>
      </c>
      <c r="H17" t="s">
        <v>328</v>
      </c>
      <c r="K17" s="19">
        <f>IFERROR(-E20/'2 Prognose EOY'!B11,0)</f>
        <v>-0.11189835247713346</v>
      </c>
    </row>
    <row r="18" spans="2:12" x14ac:dyDescent="0.35">
      <c r="B18" t="s">
        <v>267</v>
      </c>
      <c r="E18" s="98">
        <f>'3 AI tiltak og effekt'!E17</f>
        <v>0</v>
      </c>
    </row>
    <row r="19" spans="2:12" x14ac:dyDescent="0.35">
      <c r="B19" t="s">
        <v>293</v>
      </c>
      <c r="E19" s="98">
        <f>E17-E18</f>
        <v>19162112.630000003</v>
      </c>
    </row>
    <row r="20" spans="2:12" x14ac:dyDescent="0.35">
      <c r="B20" t="s">
        <v>294</v>
      </c>
      <c r="E20" s="115">
        <f>E19-'2 Prognose EOY'!B11</f>
        <v>1928421.6300000027</v>
      </c>
    </row>
    <row r="21" spans="2:12" x14ac:dyDescent="0.35">
      <c r="B21" t="s">
        <v>295</v>
      </c>
      <c r="E21">
        <f>COUNTIFS('3 AI tiltak og effekt'!M6:M11,"Godkjent",'3 AI tiltak og effekt'!N6:N11,"Ja")</f>
        <v>0</v>
      </c>
    </row>
    <row r="24" spans="2:12" x14ac:dyDescent="0.35">
      <c r="B24" t="s">
        <v>296</v>
      </c>
    </row>
    <row r="25" spans="2:12" x14ac:dyDescent="0.35">
      <c r="B25" t="s">
        <v>297</v>
      </c>
    </row>
    <row r="27" spans="2:12" ht="32" customHeight="1" x14ac:dyDescent="0.4">
      <c r="B27" s="134" t="s">
        <v>471</v>
      </c>
      <c r="C27" s="132"/>
      <c r="D27" s="132"/>
      <c r="E27" s="132"/>
      <c r="F27" s="132"/>
      <c r="G27" s="132"/>
      <c r="H27" s="132"/>
      <c r="I27" s="132"/>
      <c r="J27" s="132"/>
      <c r="K27" s="132"/>
      <c r="L27" s="132"/>
    </row>
    <row r="29" spans="2:12" ht="29" customHeight="1" x14ac:dyDescent="0.35">
      <c r="B29" s="135" t="s">
        <v>472</v>
      </c>
      <c r="C29" s="135" t="s">
        <v>473</v>
      </c>
      <c r="D29" s="135" t="s">
        <v>474</v>
      </c>
      <c r="E29" s="135" t="s">
        <v>475</v>
      </c>
      <c r="G29" s="145" t="s">
        <v>488</v>
      </c>
      <c r="H29" s="145"/>
      <c r="I29" s="145"/>
      <c r="J29" s="146" t="s">
        <v>489</v>
      </c>
      <c r="K29" s="146"/>
      <c r="L29" s="146"/>
    </row>
    <row r="30" spans="2:12" ht="29" customHeight="1" x14ac:dyDescent="0.35">
      <c r="B30" t="s">
        <v>476</v>
      </c>
      <c r="C30" s="16">
        <f>'2 Prognose EOY'!K6</f>
        <v>19162112.630000003</v>
      </c>
      <c r="D30" s="16">
        <f>0</f>
        <v>0</v>
      </c>
      <c r="E30" s="157">
        <f>C30-'2 Prognose EOY'!B11</f>
        <v>1928421.6300000027</v>
      </c>
      <c r="G30" s="142">
        <f>IFERROR(D31/E30,0)</f>
        <v>0.10006459766270084</v>
      </c>
      <c r="H30" s="141"/>
      <c r="I30" s="141"/>
      <c r="J30" s="144">
        <f>IFERROR(D32/E30,0)</f>
        <v>0</v>
      </c>
      <c r="K30" s="143"/>
      <c r="L30" s="143"/>
    </row>
    <row r="31" spans="2:12" ht="29" customHeight="1" x14ac:dyDescent="0.35">
      <c r="B31" s="136" t="s">
        <v>477</v>
      </c>
      <c r="C31" s="138">
        <f>'2 Prognose EOY'!K6-'3 AI tiltak og effekt'!E16</f>
        <v>18969145.895470001</v>
      </c>
      <c r="D31" s="138">
        <f>'3 AI tiltak og effekt'!E16</f>
        <v>192966.73453000002</v>
      </c>
      <c r="E31" s="158">
        <f>C31-'2 Prognose EOY'!B11</f>
        <v>1735454.8954700008</v>
      </c>
      <c r="G31" s="141"/>
      <c r="H31" s="141"/>
      <c r="I31" s="141"/>
      <c r="J31" s="143"/>
      <c r="K31" s="143"/>
      <c r="L31" s="143"/>
    </row>
    <row r="32" spans="2:12" ht="27" customHeight="1" x14ac:dyDescent="0.35">
      <c r="B32" s="137" t="s">
        <v>478</v>
      </c>
      <c r="C32" s="139">
        <f>'4 Ny Prognose EOY'!E19</f>
        <v>19162112.630000003</v>
      </c>
      <c r="D32" s="139">
        <f>'3 AI tiltak og effekt'!E17</f>
        <v>0</v>
      </c>
      <c r="E32" s="159">
        <f>C32-'2 Prognose EOY'!B11</f>
        <v>1928421.6300000027</v>
      </c>
    </row>
    <row r="33" spans="2:12" x14ac:dyDescent="0.35">
      <c r="G33" s="147" t="s">
        <v>490</v>
      </c>
      <c r="H33" s="5"/>
      <c r="I33" s="5"/>
      <c r="J33" s="5"/>
      <c r="K33" s="5"/>
      <c r="L33" s="5"/>
    </row>
    <row r="34" spans="2:12" x14ac:dyDescent="0.35">
      <c r="B34" s="140" t="s">
        <v>479</v>
      </c>
      <c r="C34" s="137"/>
      <c r="D34" s="137"/>
      <c r="E34" s="137"/>
      <c r="F34" s="137"/>
      <c r="G34" s="137"/>
      <c r="H34" s="137"/>
      <c r="I34" s="137"/>
      <c r="J34" s="137"/>
      <c r="K34" s="137"/>
      <c r="L34" s="137"/>
    </row>
    <row r="35" spans="2:12" x14ac:dyDescent="0.35">
      <c r="B35" t="s">
        <v>480</v>
      </c>
    </row>
    <row r="36" spans="2:12" x14ac:dyDescent="0.35">
      <c r="B36" t="s">
        <v>481</v>
      </c>
    </row>
    <row r="37" spans="2:12" x14ac:dyDescent="0.35">
      <c r="B37" s="12" t="s">
        <v>508</v>
      </c>
      <c r="C37" s="12"/>
      <c r="D37" s="12"/>
      <c r="E37" s="12"/>
    </row>
    <row r="56" spans="2:12" ht="30" customHeight="1" x14ac:dyDescent="0.35">
      <c r="B56" s="133" t="s">
        <v>482</v>
      </c>
      <c r="C56" s="132"/>
      <c r="D56" s="132"/>
      <c r="E56" s="132"/>
      <c r="F56" s="132"/>
      <c r="G56" s="132"/>
      <c r="H56" s="132"/>
      <c r="I56" s="132"/>
      <c r="J56" s="132"/>
      <c r="K56" s="132"/>
      <c r="L56" s="132"/>
    </row>
    <row r="58" spans="2:12" ht="21" customHeight="1" x14ac:dyDescent="0.35">
      <c r="B58" s="129" t="s">
        <v>483</v>
      </c>
      <c r="C58" s="129"/>
      <c r="D58" s="129"/>
      <c r="E58" s="129"/>
      <c r="F58" s="129"/>
      <c r="G58" s="129"/>
      <c r="H58" s="129"/>
      <c r="I58" s="129"/>
      <c r="J58" s="129"/>
      <c r="K58" s="129"/>
      <c r="L58" s="129"/>
    </row>
    <row r="59" spans="2:12" ht="21" customHeight="1" x14ac:dyDescent="0.35">
      <c r="B59" s="129"/>
      <c r="C59" s="129"/>
      <c r="D59" s="129"/>
      <c r="E59" s="129"/>
      <c r="F59" s="129"/>
      <c r="G59" s="129"/>
      <c r="H59" s="129"/>
      <c r="I59" s="129"/>
      <c r="J59" s="129"/>
      <c r="K59" s="129"/>
      <c r="L59" s="129"/>
    </row>
    <row r="60" spans="2:12" ht="21" customHeight="1" x14ac:dyDescent="0.35">
      <c r="B60" s="129" t="s">
        <v>484</v>
      </c>
      <c r="C60" s="129"/>
      <c r="D60" s="129"/>
      <c r="E60" s="129"/>
      <c r="F60" s="129"/>
      <c r="G60" s="129"/>
      <c r="H60" s="129"/>
      <c r="I60" s="129"/>
      <c r="J60" s="129"/>
      <c r="K60" s="129"/>
      <c r="L60" s="129"/>
    </row>
    <row r="61" spans="2:12" ht="21" customHeight="1" x14ac:dyDescent="0.35">
      <c r="B61" s="129"/>
      <c r="C61" s="129"/>
      <c r="D61" s="129"/>
      <c r="E61" s="129"/>
      <c r="F61" s="129"/>
      <c r="G61" s="129"/>
      <c r="H61" s="129"/>
      <c r="I61" s="129"/>
      <c r="J61" s="129"/>
      <c r="K61" s="129"/>
      <c r="L61" s="129"/>
    </row>
    <row r="62" spans="2:12" ht="21" customHeight="1" x14ac:dyDescent="0.35">
      <c r="B62" s="129" t="s">
        <v>485</v>
      </c>
      <c r="C62" s="129"/>
      <c r="D62" s="129"/>
      <c r="E62" s="129"/>
      <c r="F62" s="129"/>
      <c r="G62" s="129"/>
      <c r="H62" s="129"/>
      <c r="I62" s="129"/>
      <c r="J62" s="129"/>
      <c r="K62" s="129"/>
      <c r="L62" s="129"/>
    </row>
    <row r="63" spans="2:12" ht="21" customHeight="1" x14ac:dyDescent="0.35">
      <c r="B63" s="129"/>
      <c r="C63" s="129"/>
      <c r="D63" s="129"/>
      <c r="E63" s="129"/>
      <c r="F63" s="129"/>
      <c r="G63" s="129"/>
      <c r="H63" s="129"/>
      <c r="I63" s="129"/>
      <c r="J63" s="129"/>
      <c r="K63" s="129"/>
      <c r="L63" s="129"/>
    </row>
    <row r="64" spans="2:12" ht="21" customHeight="1" x14ac:dyDescent="0.35">
      <c r="B64" s="130" t="s">
        <v>486</v>
      </c>
      <c r="C64" s="130"/>
      <c r="D64" s="130"/>
      <c r="E64" s="130"/>
      <c r="F64" s="130"/>
      <c r="G64" s="130"/>
      <c r="H64" s="130"/>
      <c r="I64" s="130"/>
      <c r="J64" s="130"/>
      <c r="K64" s="130"/>
      <c r="L64" s="130"/>
    </row>
    <row r="65" spans="2:12" ht="21" customHeight="1" x14ac:dyDescent="0.35">
      <c r="B65" s="130"/>
      <c r="C65" s="130"/>
      <c r="D65" s="130"/>
      <c r="E65" s="130"/>
      <c r="F65" s="130"/>
      <c r="G65" s="130"/>
      <c r="H65" s="130"/>
      <c r="I65" s="130"/>
      <c r="J65" s="130"/>
      <c r="K65" s="130"/>
      <c r="L65" s="130"/>
    </row>
    <row r="66" spans="2:12" ht="21" customHeight="1" x14ac:dyDescent="0.35">
      <c r="B66" s="130" t="s">
        <v>487</v>
      </c>
      <c r="C66" s="130"/>
      <c r="D66" s="130"/>
      <c r="E66" s="130"/>
      <c r="F66" s="130"/>
      <c r="G66" s="130"/>
      <c r="H66" s="130"/>
      <c r="I66" s="130"/>
      <c r="J66" s="130"/>
      <c r="K66" s="130"/>
      <c r="L66" s="130"/>
    </row>
    <row r="67" spans="2:12" ht="21" customHeight="1" x14ac:dyDescent="0.35">
      <c r="B67" s="130"/>
      <c r="C67" s="130"/>
      <c r="D67" s="130"/>
      <c r="E67" s="130"/>
      <c r="F67" s="130"/>
      <c r="G67" s="130"/>
      <c r="H67" s="130"/>
      <c r="I67" s="130"/>
      <c r="J67" s="130"/>
      <c r="K67" s="130"/>
      <c r="L67" s="130"/>
    </row>
    <row r="69" spans="2:12" ht="32" customHeight="1" x14ac:dyDescent="0.4">
      <c r="B69" s="134" t="s">
        <v>499</v>
      </c>
      <c r="C69" s="132"/>
      <c r="D69" s="132"/>
      <c r="E69" s="132"/>
      <c r="F69" s="132"/>
      <c r="G69" s="132"/>
      <c r="H69" s="132"/>
      <c r="I69" s="132"/>
      <c r="J69" s="132"/>
      <c r="K69" s="132"/>
      <c r="L69" s="132"/>
    </row>
    <row r="71" spans="2:12" ht="30" customHeight="1" x14ac:dyDescent="0.35">
      <c r="B71" s="135" t="s">
        <v>81</v>
      </c>
      <c r="C71" s="135" t="s">
        <v>0</v>
      </c>
      <c r="D71" s="135" t="s">
        <v>500</v>
      </c>
      <c r="E71" s="135" t="s">
        <v>501</v>
      </c>
      <c r="F71" s="135" t="s">
        <v>502</v>
      </c>
      <c r="G71" s="135" t="s">
        <v>477</v>
      </c>
      <c r="H71" s="135" t="s">
        <v>506</v>
      </c>
    </row>
    <row r="72" spans="2:12" ht="23" customHeight="1" x14ac:dyDescent="0.35">
      <c r="B72" t="str">
        <f>'2 Prognose EOY'!B30</f>
        <v>2024-01</v>
      </c>
      <c r="C72" s="16">
        <f>'2 Prognose EOY'!C30</f>
        <v>1403337</v>
      </c>
      <c r="D72" s="16">
        <f>'2 Prognose EOY'!D30</f>
        <v>1014751.5</v>
      </c>
      <c r="E72" s="16"/>
      <c r="F72" s="16"/>
      <c r="G72" s="16"/>
    </row>
    <row r="73" spans="2:12" ht="23" customHeight="1" x14ac:dyDescent="0.35">
      <c r="B73" t="str">
        <f>'2 Prognose EOY'!B31</f>
        <v>2024-02</v>
      </c>
      <c r="C73" s="16">
        <f>'2 Prognose EOY'!C31</f>
        <v>2814230</v>
      </c>
      <c r="D73" s="16">
        <f>'2 Prognose EOY'!D31</f>
        <v>3096841.29</v>
      </c>
      <c r="E73" s="16"/>
      <c r="F73" s="16"/>
      <c r="G73" s="16"/>
    </row>
    <row r="74" spans="2:12" ht="23" customHeight="1" x14ac:dyDescent="0.35">
      <c r="B74" t="str">
        <f>'2 Prognose EOY'!B32</f>
        <v>2024-03</v>
      </c>
      <c r="C74" s="16">
        <f>'2 Prognose EOY'!C32</f>
        <v>4156611</v>
      </c>
      <c r="D74" s="16">
        <f>'2 Prognose EOY'!D32</f>
        <v>4638089.7999999989</v>
      </c>
      <c r="E74" s="16"/>
      <c r="F74" s="16"/>
      <c r="G74" s="16"/>
    </row>
    <row r="75" spans="2:12" ht="23" customHeight="1" x14ac:dyDescent="0.35">
      <c r="B75" t="str">
        <f>'2 Prognose EOY'!B33</f>
        <v>2024-04</v>
      </c>
      <c r="C75" s="16">
        <f>'2 Prognose EOY'!C33</f>
        <v>6513970</v>
      </c>
      <c r="D75" s="16">
        <f>'2 Prognose EOY'!D33</f>
        <v>6894805.4599999981</v>
      </c>
      <c r="E75" s="16"/>
      <c r="F75" s="16"/>
      <c r="G75" s="16"/>
    </row>
    <row r="76" spans="2:12" ht="23" customHeight="1" x14ac:dyDescent="0.35">
      <c r="B76" t="str">
        <f>'2 Prognose EOY'!B34</f>
        <v>2024-05</v>
      </c>
      <c r="C76" s="16">
        <f>'2 Prognose EOY'!C34</f>
        <v>8058185</v>
      </c>
      <c r="D76" s="16">
        <f>'2 Prognose EOY'!D34</f>
        <v>8508242.3000000101</v>
      </c>
      <c r="E76" s="16"/>
      <c r="F76" s="16"/>
      <c r="G76" s="16"/>
    </row>
    <row r="77" spans="2:12" ht="23" customHeight="1" x14ac:dyDescent="0.35">
      <c r="B77" t="str">
        <f>'2 Prognose EOY'!B35</f>
        <v>2024-06</v>
      </c>
      <c r="C77" s="16">
        <f>'2 Prognose EOY'!C35</f>
        <v>8299866</v>
      </c>
      <c r="D77" s="16">
        <f>'2 Prognose EOY'!D35</f>
        <v>9027578.5300000049</v>
      </c>
      <c r="E77" s="16"/>
      <c r="F77" s="16"/>
      <c r="G77" s="16"/>
    </row>
    <row r="78" spans="2:12" ht="23" customHeight="1" x14ac:dyDescent="0.35">
      <c r="B78" t="str">
        <f>'2 Prognose EOY'!B36</f>
        <v>2024-07</v>
      </c>
      <c r="C78" s="16">
        <f>'2 Prognose EOY'!C36</f>
        <v>9812075</v>
      </c>
      <c r="D78" s="16">
        <f>'2 Prognose EOY'!D36</f>
        <v>10865101.600000007</v>
      </c>
      <c r="E78" s="16"/>
      <c r="F78" s="16"/>
      <c r="G78" s="16"/>
    </row>
    <row r="79" spans="2:12" ht="23" customHeight="1" x14ac:dyDescent="0.35">
      <c r="B79" s="155" t="str">
        <f>'2 Prognose EOY'!B37</f>
        <v>2024-08</v>
      </c>
      <c r="C79" s="156">
        <f>'2 Prognose EOY'!C37</f>
        <v>11337237</v>
      </c>
      <c r="D79" s="156">
        <f>'2 Prognose EOY'!D37</f>
        <v>12622851.420000017</v>
      </c>
      <c r="E79" s="156">
        <f>'2 Prognose EOY'!E37</f>
        <v>12622851.420000017</v>
      </c>
      <c r="F79" s="156">
        <f>E79</f>
        <v>12622851.420000017</v>
      </c>
      <c r="G79" s="156">
        <f>E79</f>
        <v>12622851.420000017</v>
      </c>
      <c r="H79" s="152">
        <f>IF(ISNUMBER(F79),F79-C79,"")</f>
        <v>1285614.4200000167</v>
      </c>
    </row>
    <row r="80" spans="2:12" ht="23" customHeight="1" x14ac:dyDescent="0.35">
      <c r="B80" s="153" t="str">
        <f>'2 Prognose EOY'!B38</f>
        <v>2024-09</v>
      </c>
      <c r="C80" s="154">
        <f>'2 Prognose EOY'!C38</f>
        <v>12841636</v>
      </c>
      <c r="D80" s="154"/>
      <c r="E80" s="154">
        <f>'2 Prognose EOY'!E38</f>
        <v>14287952.2225</v>
      </c>
      <c r="F80" s="154">
        <f>E80-$E$18*(VALUE(RIGHT(B80,2))-8)/4</f>
        <v>14287952.2225</v>
      </c>
      <c r="G80" s="154">
        <f>E80-$E$6*(VALUE(RIGHT(B80,2))-8)/4</f>
        <v>14239710.5388675</v>
      </c>
      <c r="H80" s="152">
        <f>IF(ISNUMBER(F80),F80-C80,"")</f>
        <v>1446316.2225000001</v>
      </c>
    </row>
    <row r="81" spans="2:8" ht="23" customHeight="1" x14ac:dyDescent="0.35">
      <c r="B81" s="153" t="str">
        <f>'2 Prognose EOY'!B39</f>
        <v>2024-10</v>
      </c>
      <c r="C81" s="154">
        <f>'2 Prognose EOY'!C39</f>
        <v>14260410</v>
      </c>
      <c r="D81" s="154"/>
      <c r="E81" s="154">
        <f>'2 Prognose EOY'!E39</f>
        <v>15867428.025</v>
      </c>
      <c r="F81" s="154">
        <f>E81-$E$18*(VALUE(RIGHT(B81,2))-8)/4</f>
        <v>15867428.025</v>
      </c>
      <c r="G81" s="154">
        <f>E81-$E$6*(VALUE(RIGHT(B81,2))-8)/4</f>
        <v>15770944.657735001</v>
      </c>
      <c r="H81" s="152">
        <f>IF(ISNUMBER(F81),F81-C81,"")</f>
        <v>1607018.0250000004</v>
      </c>
    </row>
    <row r="82" spans="2:8" ht="23" customHeight="1" x14ac:dyDescent="0.35">
      <c r="B82" s="153" t="str">
        <f>'2 Prognose EOY'!B40</f>
        <v>2024-11</v>
      </c>
      <c r="C82" s="154">
        <f>'2 Prognose EOY'!C40</f>
        <v>15678950</v>
      </c>
      <c r="D82" s="154"/>
      <c r="E82" s="154">
        <f>'2 Prognose EOY'!E40</f>
        <v>17446669.827500001</v>
      </c>
      <c r="F82" s="154">
        <f>E82-$E$18*(VALUE(RIGHT(B82,2))-8)/4</f>
        <v>17446669.827500001</v>
      </c>
      <c r="G82" s="154">
        <f>E82-$E$6*(VALUE(RIGHT(B82,2))-8)/4</f>
        <v>17301944.776602499</v>
      </c>
      <c r="H82" s="152">
        <f>IF(ISNUMBER(F82),F82-C82,"")</f>
        <v>1767719.8275000006</v>
      </c>
    </row>
    <row r="83" spans="2:8" ht="23" customHeight="1" x14ac:dyDescent="0.35">
      <c r="B83" s="153" t="str">
        <f>'2 Prognose EOY'!B41</f>
        <v>2024-12</v>
      </c>
      <c r="C83" s="154">
        <f>'2 Prognose EOY'!C41</f>
        <v>17233691</v>
      </c>
      <c r="D83" s="154"/>
      <c r="E83" s="154">
        <f>'2 Prognose EOY'!E41</f>
        <v>19162112.630000003</v>
      </c>
      <c r="F83" s="154">
        <f>E83-$E$18*(VALUE(RIGHT(B83,2))-8)/4</f>
        <v>19162112.630000003</v>
      </c>
      <c r="G83" s="154">
        <f>E83-$E$6*(VALUE(RIGHT(B83,2))-8)/4</f>
        <v>18969145.895470001</v>
      </c>
      <c r="H83" s="152">
        <f>IF(ISNUMBER(F83),F83-C83,"")</f>
        <v>1928421.6300000027</v>
      </c>
    </row>
    <row r="85" spans="2:8" x14ac:dyDescent="0.35">
      <c r="B85" t="s">
        <v>503</v>
      </c>
    </row>
    <row r="86" spans="2:8" x14ac:dyDescent="0.35">
      <c r="B86" t="s">
        <v>504</v>
      </c>
    </row>
    <row r="87" spans="2:8" x14ac:dyDescent="0.35">
      <c r="B87" t="s">
        <v>507</v>
      </c>
    </row>
    <row r="114" spans="2:2" x14ac:dyDescent="0.35">
      <c r="B114" t="s">
        <v>505</v>
      </c>
    </row>
  </sheetData>
  <mergeCells count="20">
    <mergeCell ref="B60:L61"/>
    <mergeCell ref="B62:L63"/>
    <mergeCell ref="B64:L65"/>
    <mergeCell ref="B66:L67"/>
    <mergeCell ref="G29:I29"/>
    <mergeCell ref="G30:I31"/>
    <mergeCell ref="J29:L29"/>
    <mergeCell ref="J30:L31"/>
    <mergeCell ref="G33:L33"/>
    <mergeCell ref="B2:L3"/>
    <mergeCell ref="B6:C7"/>
    <mergeCell ref="H5:I5"/>
    <mergeCell ref="B11:L14"/>
    <mergeCell ref="B58:L59"/>
    <mergeCell ref="E6:F7"/>
    <mergeCell ref="H6:I7"/>
    <mergeCell ref="B5:C5"/>
    <mergeCell ref="K6:L7"/>
    <mergeCell ref="E5:F5"/>
    <mergeCell ref="K5:L5"/>
  </mergeCells>
  <conditionalFormatting sqref="K17">
    <cfRule type="expression" dxfId="4" priority="1">
      <formula>$K$17&lt;=-10%</formula>
    </cfRule>
  </conditionalFormatting>
  <conditionalFormatting sqref="K17">
    <cfRule type="expression" dxfId="3" priority="2">
      <formula>AND($K$17&gt;-10%,$K$17&lt;=-5%)</formula>
    </cfRule>
  </conditionalFormatting>
  <conditionalFormatting sqref="K17">
    <cfRule type="expression" dxfId="2" priority="3">
      <formula>$K$17&gt;-5%</formula>
    </cfRule>
  </conditionalFormatting>
  <conditionalFormatting sqref="E20">
    <cfRule type="expression" dxfId="1" priority="4">
      <formula>AND(ISNUMBER(E20),E20&gt;0)</formula>
    </cfRule>
  </conditionalFormatting>
  <conditionalFormatting sqref="E20">
    <cfRule type="expression" dxfId="0" priority="5">
      <formula>AND(ISNUMBER(E20),E20&lt;0)</formula>
    </cfRule>
  </conditionalFormatting>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B9BD5"/>
  </sheetPr>
  <dimension ref="B2:L49"/>
  <sheetViews>
    <sheetView showGridLines="0" zoomScale="80" zoomScaleNormal="80" workbookViewId="0">
      <selection activeCell="H16" sqref="H16"/>
    </sheetView>
  </sheetViews>
  <sheetFormatPr defaultRowHeight="14.5" x14ac:dyDescent="0.35"/>
  <cols>
    <col min="1" max="1" width="14" customWidth="1"/>
    <col min="2" max="2" width="30.54296875" customWidth="1"/>
    <col min="3" max="4" width="21.6328125" customWidth="1"/>
    <col min="5" max="5" width="16" customWidth="1"/>
    <col min="6" max="6" width="15.453125" customWidth="1"/>
    <col min="7" max="7" width="24" customWidth="1"/>
    <col min="8" max="8" width="6.90625" customWidth="1"/>
    <col min="9" max="9" width="24.54296875" customWidth="1"/>
    <col min="10" max="13" width="14" customWidth="1"/>
  </cols>
  <sheetData>
    <row r="2" spans="2:12" x14ac:dyDescent="0.35">
      <c r="B2" s="49" t="s">
        <v>42</v>
      </c>
      <c r="C2" s="48"/>
      <c r="D2" s="48"/>
      <c r="E2" s="48"/>
      <c r="F2" s="48"/>
      <c r="G2" s="5"/>
      <c r="H2" s="5"/>
      <c r="I2" s="5"/>
      <c r="J2" s="5"/>
      <c r="K2" s="5"/>
      <c r="L2" s="5"/>
    </row>
    <row r="3" spans="2:12" x14ac:dyDescent="0.35">
      <c r="B3" s="5"/>
      <c r="C3" s="5"/>
      <c r="D3" s="5"/>
      <c r="E3" s="5"/>
      <c r="F3" s="5"/>
      <c r="G3" s="5"/>
      <c r="H3" s="5"/>
      <c r="I3" s="5"/>
      <c r="J3" s="5"/>
      <c r="K3" s="5"/>
      <c r="L3" s="5"/>
    </row>
    <row r="5" spans="2:12" x14ac:dyDescent="0.35">
      <c r="B5" s="57" t="s">
        <v>43</v>
      </c>
      <c r="C5" s="58"/>
      <c r="E5" s="57" t="s">
        <v>44</v>
      </c>
      <c r="F5" s="58"/>
      <c r="H5" s="51" t="s">
        <v>45</v>
      </c>
      <c r="I5" s="5"/>
      <c r="K5" s="51" t="s">
        <v>46</v>
      </c>
      <c r="L5" s="5"/>
    </row>
    <row r="6" spans="2:12" x14ac:dyDescent="0.35">
      <c r="B6" s="110">
        <f>SUMIF('3 AI tiltak og effekt'!D6:D11,"Lang",'3 AI tiltak og effekt'!H6:H11)</f>
        <v>58174.815780000004</v>
      </c>
      <c r="C6" s="58"/>
      <c r="E6" s="110">
        <f>SUMIF('3 AI tiltak og effekt'!D6:D11,"Lang",'3 AI tiltak og effekt'!L6:L11)</f>
        <v>91060.552064999996</v>
      </c>
      <c r="F6" s="58"/>
      <c r="H6" s="53" t="s">
        <v>47</v>
      </c>
      <c r="I6" s="5"/>
      <c r="K6" s="53" t="s">
        <v>48</v>
      </c>
      <c r="L6" s="5"/>
    </row>
    <row r="7" spans="2:12" x14ac:dyDescent="0.35">
      <c r="B7" s="58"/>
      <c r="C7" s="58"/>
      <c r="E7" s="58"/>
      <c r="F7" s="58"/>
      <c r="H7" s="50"/>
      <c r="I7" s="5"/>
      <c r="K7" s="50"/>
      <c r="L7" s="5"/>
    </row>
    <row r="9" spans="2:12" ht="29" customHeight="1" x14ac:dyDescent="0.35">
      <c r="B9" s="126" t="s">
        <v>447</v>
      </c>
      <c r="C9" s="125"/>
      <c r="D9" s="125"/>
      <c r="E9" s="125"/>
      <c r="F9" s="125"/>
      <c r="G9" s="125"/>
      <c r="H9" s="125"/>
      <c r="I9" s="125"/>
      <c r="J9" s="125"/>
      <c r="K9" s="125"/>
      <c r="L9" s="125"/>
    </row>
    <row r="11" spans="2:12" x14ac:dyDescent="0.35">
      <c r="B11" s="126" t="s">
        <v>13</v>
      </c>
      <c r="C11" s="126" t="s">
        <v>448</v>
      </c>
      <c r="D11" s="126" t="s">
        <v>449</v>
      </c>
      <c r="E11" s="126" t="s">
        <v>265</v>
      </c>
      <c r="F11" s="126" t="s">
        <v>450</v>
      </c>
      <c r="G11" s="126" t="s">
        <v>451</v>
      </c>
      <c r="I11" t="s">
        <v>455</v>
      </c>
    </row>
    <row r="12" spans="2:12" x14ac:dyDescent="0.35">
      <c r="B12" t="s">
        <v>452</v>
      </c>
      <c r="C12" s="16">
        <f>'3 AI tiltak og effekt'!H10</f>
        <v>27473.74278</v>
      </c>
      <c r="D12" s="16">
        <f>'3 AI tiltak og effekt'!L10</f>
        <v>48079.049864999994</v>
      </c>
      <c r="E12" t="str">
        <f>'3 AI tiltak og effekt'!M10</f>
        <v>Kandidat</v>
      </c>
      <c r="F12" t="str">
        <f>'3 AI tiltak og effekt'!N10</f>
        <v>Nei</v>
      </c>
      <c r="G12" s="16">
        <f>IF(AND(E12="Godkjent",F12="Ja"),D12,0)</f>
        <v>0</v>
      </c>
      <c r="I12" s="16">
        <f>D14-C14</f>
        <v>32885.736284999992</v>
      </c>
    </row>
    <row r="13" spans="2:12" x14ac:dyDescent="0.35">
      <c r="B13" t="s">
        <v>453</v>
      </c>
      <c r="C13" s="16">
        <f>'3 AI tiltak og effekt'!H11</f>
        <v>30701.073</v>
      </c>
      <c r="D13" s="16">
        <f>'3 AI tiltak og effekt'!L11</f>
        <v>42981.502200000003</v>
      </c>
      <c r="E13" t="str">
        <f>'3 AI tiltak og effekt'!M11</f>
        <v>Kandidat</v>
      </c>
      <c r="F13" t="str">
        <f>'3 AI tiltak og effekt'!N11</f>
        <v>Nei</v>
      </c>
      <c r="G13" s="16">
        <f>IF(AND(E13="Godkjent",F13="Ja"),D13,0)</f>
        <v>0</v>
      </c>
      <c r="I13" t="s">
        <v>456</v>
      </c>
    </row>
    <row r="14" spans="2:12" x14ac:dyDescent="0.35">
      <c r="B14" s="127" t="s">
        <v>454</v>
      </c>
      <c r="C14" s="128">
        <f>SUM(C12:C13)</f>
        <v>58174.815780000004</v>
      </c>
      <c r="D14" s="128">
        <f>SUM(D12:D13)</f>
        <v>91060.552064999996</v>
      </c>
      <c r="E14" s="127"/>
      <c r="F14" s="127"/>
      <c r="G14" s="128">
        <f>SUM(G12:G13)</f>
        <v>0</v>
      </c>
      <c r="I14" s="131">
        <f>IFERROR(D14/C14,0)</f>
        <v>1.565291627383302</v>
      </c>
    </row>
    <row r="31" spans="2:12" x14ac:dyDescent="0.35">
      <c r="B31" s="124" t="s">
        <v>446</v>
      </c>
      <c r="C31" s="5"/>
      <c r="D31" s="5"/>
      <c r="E31" s="5"/>
      <c r="F31" s="5"/>
      <c r="G31" s="5"/>
      <c r="H31" s="5"/>
      <c r="I31" s="5"/>
      <c r="J31" s="5"/>
      <c r="K31" s="5"/>
      <c r="L31" s="5"/>
    </row>
    <row r="32" spans="2:12" x14ac:dyDescent="0.35">
      <c r="B32" s="5"/>
      <c r="C32" s="5"/>
      <c r="D32" s="5"/>
      <c r="E32" s="5"/>
      <c r="F32" s="5"/>
      <c r="G32" s="5"/>
      <c r="H32" s="5"/>
      <c r="I32" s="5"/>
      <c r="J32" s="5"/>
      <c r="K32" s="5"/>
      <c r="L32" s="5"/>
    </row>
    <row r="33" spans="2:12" x14ac:dyDescent="0.35">
      <c r="B33" s="5"/>
      <c r="C33" s="5"/>
      <c r="D33" s="5"/>
      <c r="E33" s="5"/>
      <c r="F33" s="5"/>
      <c r="G33" s="5"/>
      <c r="H33" s="5"/>
      <c r="I33" s="5"/>
      <c r="J33" s="5"/>
      <c r="K33" s="5"/>
      <c r="L33" s="5"/>
    </row>
    <row r="34" spans="2:12" x14ac:dyDescent="0.35">
      <c r="B34" s="5"/>
      <c r="C34" s="5"/>
      <c r="D34" s="5"/>
      <c r="E34" s="5"/>
      <c r="F34" s="5"/>
      <c r="G34" s="5"/>
      <c r="H34" s="5"/>
      <c r="I34" s="5"/>
      <c r="J34" s="5"/>
      <c r="K34" s="5"/>
      <c r="L34" s="5"/>
    </row>
    <row r="36" spans="2:12" x14ac:dyDescent="0.35">
      <c r="B36" s="126" t="s">
        <v>457</v>
      </c>
      <c r="C36" s="125"/>
      <c r="D36" s="125"/>
      <c r="E36" s="125"/>
      <c r="F36" s="125"/>
      <c r="G36" s="125"/>
      <c r="H36" s="125"/>
      <c r="I36" s="125"/>
      <c r="J36" s="125"/>
      <c r="K36" s="125"/>
      <c r="L36" s="125"/>
    </row>
    <row r="38" spans="2:12" ht="23" customHeight="1" x14ac:dyDescent="0.35">
      <c r="B38" t="s">
        <v>458</v>
      </c>
      <c r="C38" s="129" t="s">
        <v>459</v>
      </c>
      <c r="D38" s="129"/>
      <c r="E38" s="129"/>
      <c r="F38" s="129"/>
      <c r="G38" s="129"/>
      <c r="H38" s="129"/>
      <c r="I38" s="129"/>
      <c r="J38" s="129"/>
      <c r="K38" s="129"/>
      <c r="L38" s="129"/>
    </row>
    <row r="39" spans="2:12" ht="23" customHeight="1" x14ac:dyDescent="0.35">
      <c r="C39" s="129"/>
      <c r="D39" s="129"/>
      <c r="E39" s="129"/>
      <c r="F39" s="129"/>
      <c r="G39" s="129"/>
      <c r="H39" s="129"/>
      <c r="I39" s="129"/>
      <c r="J39" s="129"/>
      <c r="K39" s="129"/>
      <c r="L39" s="129"/>
    </row>
    <row r="40" spans="2:12" ht="23" customHeight="1" x14ac:dyDescent="0.35">
      <c r="B40" t="s">
        <v>460</v>
      </c>
      <c r="C40" s="129" t="s">
        <v>461</v>
      </c>
      <c r="D40" s="129"/>
      <c r="E40" s="129"/>
      <c r="F40" s="129"/>
      <c r="G40" s="129"/>
      <c r="H40" s="129"/>
      <c r="I40" s="129"/>
      <c r="J40" s="129"/>
      <c r="K40" s="129"/>
      <c r="L40" s="129"/>
    </row>
    <row r="41" spans="2:12" ht="23" customHeight="1" x14ac:dyDescent="0.35">
      <c r="C41" s="129"/>
      <c r="D41" s="129"/>
      <c r="E41" s="129"/>
      <c r="F41" s="129"/>
      <c r="G41" s="129"/>
      <c r="H41" s="129"/>
      <c r="I41" s="129"/>
      <c r="J41" s="129"/>
      <c r="K41" s="129"/>
      <c r="L41" s="129"/>
    </row>
    <row r="42" spans="2:12" ht="23" customHeight="1" x14ac:dyDescent="0.35">
      <c r="B42" t="s">
        <v>462</v>
      </c>
      <c r="C42" s="129" t="s">
        <v>463</v>
      </c>
      <c r="D42" s="129"/>
      <c r="E42" s="129"/>
      <c r="F42" s="129"/>
      <c r="G42" s="129"/>
      <c r="H42" s="129"/>
      <c r="I42" s="129"/>
      <c r="J42" s="129"/>
      <c r="K42" s="129"/>
      <c r="L42" s="129"/>
    </row>
    <row r="43" spans="2:12" ht="23" customHeight="1" x14ac:dyDescent="0.35">
      <c r="C43" s="129"/>
      <c r="D43" s="129"/>
      <c r="E43" s="129"/>
      <c r="F43" s="129"/>
      <c r="G43" s="129"/>
      <c r="H43" s="129"/>
      <c r="I43" s="129"/>
      <c r="J43" s="129"/>
      <c r="K43" s="129"/>
      <c r="L43" s="129"/>
    </row>
    <row r="44" spans="2:12" ht="23" customHeight="1" x14ac:dyDescent="0.35">
      <c r="B44" t="s">
        <v>464</v>
      </c>
      <c r="C44" s="130" t="s">
        <v>465</v>
      </c>
      <c r="D44" s="130"/>
      <c r="E44" s="130"/>
      <c r="F44" s="130"/>
      <c r="G44" s="130"/>
      <c r="H44" s="130"/>
      <c r="I44" s="130"/>
      <c r="J44" s="130"/>
      <c r="K44" s="130"/>
      <c r="L44" s="130"/>
    </row>
    <row r="45" spans="2:12" ht="23" customHeight="1" x14ac:dyDescent="0.35">
      <c r="C45" s="130"/>
      <c r="D45" s="130"/>
      <c r="E45" s="130"/>
      <c r="F45" s="130"/>
      <c r="G45" s="130"/>
      <c r="H45" s="130"/>
      <c r="I45" s="130"/>
      <c r="J45" s="130"/>
      <c r="K45" s="130"/>
      <c r="L45" s="130"/>
    </row>
    <row r="46" spans="2:12" ht="23" customHeight="1" x14ac:dyDescent="0.35">
      <c r="B46" t="s">
        <v>466</v>
      </c>
      <c r="C46" s="130" t="s">
        <v>467</v>
      </c>
      <c r="D46" s="130"/>
      <c r="E46" s="130"/>
      <c r="F46" s="130"/>
      <c r="G46" s="130"/>
      <c r="H46" s="130"/>
      <c r="I46" s="130"/>
      <c r="J46" s="130"/>
      <c r="K46" s="130"/>
      <c r="L46" s="130"/>
    </row>
    <row r="47" spans="2:12" ht="23" customHeight="1" x14ac:dyDescent="0.35">
      <c r="C47" s="130"/>
      <c r="D47" s="130"/>
      <c r="E47" s="130"/>
      <c r="F47" s="130"/>
      <c r="G47" s="130"/>
      <c r="H47" s="130"/>
      <c r="I47" s="130"/>
      <c r="J47" s="130"/>
      <c r="K47" s="130"/>
      <c r="L47" s="130"/>
    </row>
    <row r="48" spans="2:12" ht="23" customHeight="1" x14ac:dyDescent="0.35">
      <c r="B48" t="s">
        <v>468</v>
      </c>
      <c r="C48" s="130" t="s">
        <v>469</v>
      </c>
      <c r="D48" s="130"/>
      <c r="E48" s="130"/>
      <c r="F48" s="130"/>
      <c r="G48" s="130"/>
      <c r="H48" s="130"/>
      <c r="I48" s="130"/>
      <c r="J48" s="130"/>
      <c r="K48" s="130"/>
      <c r="L48" s="130"/>
    </row>
    <row r="49" spans="3:12" ht="23" customHeight="1" x14ac:dyDescent="0.35">
      <c r="C49" s="130"/>
      <c r="D49" s="130"/>
      <c r="E49" s="130"/>
      <c r="F49" s="130"/>
      <c r="G49" s="130"/>
      <c r="H49" s="130"/>
      <c r="I49" s="130"/>
      <c r="J49" s="130"/>
      <c r="K49" s="130"/>
      <c r="L49" s="130"/>
    </row>
  </sheetData>
  <mergeCells count="16">
    <mergeCell ref="C42:L43"/>
    <mergeCell ref="C44:L45"/>
    <mergeCell ref="C46:L47"/>
    <mergeCell ref="C48:L49"/>
    <mergeCell ref="B2:L3"/>
    <mergeCell ref="B6:C7"/>
    <mergeCell ref="H5:I5"/>
    <mergeCell ref="C38:L39"/>
    <mergeCell ref="C40:L41"/>
    <mergeCell ref="B31:L34"/>
    <mergeCell ref="E6:F7"/>
    <mergeCell ref="H6:I7"/>
    <mergeCell ref="B5:C5"/>
    <mergeCell ref="K6:L7"/>
    <mergeCell ref="E5:F5"/>
    <mergeCell ref="K5:L5"/>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1E5D8-78E3-4F0F-B1E5-BFCB06FAA6E2}">
  <dimension ref="B2:H26"/>
  <sheetViews>
    <sheetView showGridLines="0" zoomScale="70" zoomScaleNormal="70" workbookViewId="0">
      <selection activeCell="D7" sqref="D7"/>
    </sheetView>
  </sheetViews>
  <sheetFormatPr defaultRowHeight="14.5" x14ac:dyDescent="0.35"/>
  <cols>
    <col min="2" max="2" width="31.26953125" customWidth="1"/>
    <col min="3" max="3" width="46.36328125" customWidth="1"/>
    <col min="4" max="4" width="30" customWidth="1"/>
    <col min="5" max="5" width="70.6328125" customWidth="1"/>
    <col min="6" max="6" width="42" customWidth="1"/>
    <col min="7" max="7" width="18.54296875" customWidth="1"/>
    <col min="8" max="8" width="27.08984375" customWidth="1"/>
  </cols>
  <sheetData>
    <row r="2" spans="2:8" ht="45" customHeight="1" x14ac:dyDescent="0.5">
      <c r="B2" s="13" t="s">
        <v>298</v>
      </c>
      <c r="C2" s="14"/>
      <c r="D2" s="14"/>
      <c r="E2" s="14"/>
    </row>
    <row r="3" spans="2:8" x14ac:dyDescent="0.35">
      <c r="B3" s="15" t="s">
        <v>299</v>
      </c>
    </row>
    <row r="6" spans="2:8" ht="28" customHeight="1" x14ac:dyDescent="0.35">
      <c r="B6" s="36" t="s">
        <v>300</v>
      </c>
      <c r="C6" s="36" t="s">
        <v>301</v>
      </c>
      <c r="D6" s="36" t="s">
        <v>321</v>
      </c>
      <c r="E6" s="36" t="s">
        <v>302</v>
      </c>
      <c r="F6" s="36" t="s">
        <v>322</v>
      </c>
      <c r="G6" s="36" t="s">
        <v>323</v>
      </c>
      <c r="H6" s="36" t="s">
        <v>324</v>
      </c>
    </row>
    <row r="7" spans="2:8" ht="37" customHeight="1" x14ac:dyDescent="0.45">
      <c r="B7" s="30" t="s">
        <v>303</v>
      </c>
      <c r="C7" s="31" t="s">
        <v>304</v>
      </c>
      <c r="D7" s="116">
        <f>'1 Nåsituasjon'!J7</f>
        <v>1285614.4200000002</v>
      </c>
      <c r="E7" s="31" t="str">
        <f>IF(D7&gt;0,"Merforbruk: identifiser lønns- og månedsdrivere.","Ingen positivt merforbruk i bokført periode.")</f>
        <v>Merforbruk: identifiser lønns- og månedsdrivere.</v>
      </c>
      <c r="F7" t="s">
        <v>325</v>
      </c>
      <c r="G7" s="19">
        <f>IFERROR(-D7/'1 Nåsituasjon'!B7,0)</f>
        <v>-0.11339750769962735</v>
      </c>
      <c r="H7" s="19">
        <f>1+G7</f>
        <v>0.88660249230037269</v>
      </c>
    </row>
    <row r="8" spans="2:8" ht="37" customHeight="1" x14ac:dyDescent="0.45">
      <c r="B8" s="30" t="s">
        <v>305</v>
      </c>
      <c r="C8" s="31" t="s">
        <v>306</v>
      </c>
      <c r="D8" s="116">
        <f>'2 Prognose EOY'!E11</f>
        <v>1928421.6300000027</v>
      </c>
      <c r="E8" s="31" t="str">
        <f>IF(D8&gt;0,"Prognosen er et scenario før nye tiltak; følg opp avvik.","Prognosen ligger innenfor årsbudsjettet.")</f>
        <v>Prognosen er et scenario før nye tiltak; følg opp avvik.</v>
      </c>
      <c r="F8" t="s">
        <v>326</v>
      </c>
      <c r="G8" s="19">
        <f>IFERROR(-D8/D15,0)</f>
        <v>-0.11189835247713346</v>
      </c>
      <c r="H8" s="19">
        <f>1+G8</f>
        <v>0.88810164752286658</v>
      </c>
    </row>
    <row r="9" spans="2:8" ht="37" customHeight="1" x14ac:dyDescent="0.45">
      <c r="B9" s="32" t="s">
        <v>307</v>
      </c>
      <c r="C9" s="33" t="s">
        <v>308</v>
      </c>
      <c r="D9" s="117">
        <f>'3 AI tiltak og effekt'!E16</f>
        <v>192966.73453000002</v>
      </c>
      <c r="E9" s="33" t="str">
        <f>COUNTIFS('3 AI tiltak og effekt'!M6:M11,"Godkjent",'3 AI tiltak og effekt'!N6:N11,"Ja")&amp;" av 6 dokumentert godkjent. Fullfør fag-/HR-kontroll før effekt tas med."</f>
        <v>0 av 6 dokumentert godkjent. Fullfør fag-/HR-kontroll før effekt tas med.</v>
      </c>
      <c r="F9" t="s">
        <v>327</v>
      </c>
      <c r="G9" s="19">
        <f>IFERROR('3 AI tiltak og effekt'!E17/D9,0)</f>
        <v>0</v>
      </c>
      <c r="H9" s="19">
        <f>IF(G9&gt;=1,1,IF(G9&gt;0,0.92,0))</f>
        <v>0</v>
      </c>
    </row>
    <row r="10" spans="2:8" ht="37" customHeight="1" x14ac:dyDescent="0.45">
      <c r="B10" s="34" t="s">
        <v>309</v>
      </c>
      <c r="C10" s="35" t="s">
        <v>310</v>
      </c>
      <c r="D10" s="118">
        <f>'4 Ny Prognose EOY'!E20</f>
        <v>1928421.6300000027</v>
      </c>
      <c r="E10" s="35" t="str">
        <f>IF(D10&gt;0,"Restavvik består og må styres og eskaleres.","Godkjent scenario ligger innenfor årsbudsjettet.")</f>
        <v>Restavvik består og må styres og eskaleres.</v>
      </c>
      <c r="F10" t="s">
        <v>328</v>
      </c>
      <c r="G10" s="19">
        <f>IFERROR(-D10/D15,0)</f>
        <v>-0.11189835247713346</v>
      </c>
      <c r="H10" s="19">
        <f>1+G10</f>
        <v>0.88810164752286658</v>
      </c>
    </row>
    <row r="11" spans="2:8" x14ac:dyDescent="0.35">
      <c r="D11" s="16"/>
    </row>
    <row r="12" spans="2:8" x14ac:dyDescent="0.35">
      <c r="D12" s="16"/>
      <c r="F12" t="s">
        <v>440</v>
      </c>
    </row>
    <row r="13" spans="2:8" ht="28" customHeight="1" x14ac:dyDescent="0.35">
      <c r="B13" s="20" t="s">
        <v>311</v>
      </c>
      <c r="C13" s="20"/>
      <c r="D13" s="97"/>
      <c r="E13" s="20"/>
      <c r="F13" t="s">
        <v>441</v>
      </c>
    </row>
    <row r="14" spans="2:8" x14ac:dyDescent="0.35">
      <c r="D14" s="16"/>
    </row>
    <row r="15" spans="2:8" ht="34" customHeight="1" x14ac:dyDescent="0.35">
      <c r="B15" t="s">
        <v>2</v>
      </c>
      <c r="D15" s="99">
        <f>'2 Prognose EOY'!B11</f>
        <v>17233691</v>
      </c>
    </row>
    <row r="16" spans="2:8" ht="34" customHeight="1" x14ac:dyDescent="0.35">
      <c r="B16" t="s">
        <v>312</v>
      </c>
      <c r="D16" s="100">
        <f>'2 Prognose EOY'!K6</f>
        <v>19162112.630000003</v>
      </c>
    </row>
    <row r="17" spans="2:5" ht="34" customHeight="1" x14ac:dyDescent="0.35">
      <c r="B17" t="s">
        <v>313</v>
      </c>
      <c r="D17" s="119">
        <f>D16-'3 AI tiltak og effekt'!E16</f>
        <v>18969145.895470001</v>
      </c>
    </row>
    <row r="18" spans="2:5" ht="34" customHeight="1" x14ac:dyDescent="0.35">
      <c r="B18" t="s">
        <v>314</v>
      </c>
      <c r="D18" s="100">
        <f>'4 Ny Prognose EOY'!E19</f>
        <v>19162112.630000003</v>
      </c>
    </row>
    <row r="21" spans="2:5" ht="28" customHeight="1" x14ac:dyDescent="0.35">
      <c r="B21" s="20" t="s">
        <v>315</v>
      </c>
      <c r="C21" s="20"/>
      <c r="D21" s="20"/>
      <c r="E21" s="20"/>
    </row>
    <row r="22" spans="2:5" ht="27" customHeight="1" x14ac:dyDescent="0.35">
      <c r="B22" s="15" t="s">
        <v>316</v>
      </c>
    </row>
    <row r="23" spans="2:5" ht="27" customHeight="1" x14ac:dyDescent="0.35">
      <c r="B23" s="15" t="s">
        <v>317</v>
      </c>
    </row>
    <row r="24" spans="2:5" ht="27" customHeight="1" x14ac:dyDescent="0.35">
      <c r="B24" s="15" t="s">
        <v>318</v>
      </c>
    </row>
    <row r="25" spans="2:5" ht="27" customHeight="1" x14ac:dyDescent="0.35">
      <c r="B25" s="15" t="s">
        <v>319</v>
      </c>
    </row>
    <row r="26" spans="2:5" ht="27" customHeight="1" x14ac:dyDescent="0.35">
      <c r="B26" s="15" t="s">
        <v>320</v>
      </c>
    </row>
  </sheetData>
  <conditionalFormatting sqref="D7:D10">
    <cfRule type="expression" dxfId="29" priority="1">
      <formula>AND($B7&lt;&gt;"03  Action to Take",$G7&lt;=-10%)</formula>
    </cfRule>
  </conditionalFormatting>
  <conditionalFormatting sqref="D7:D10">
    <cfRule type="expression" dxfId="28" priority="2">
      <formula>AND($B7&lt;&gt;"03  Action to Take",$G7&gt;-10%,$G7&lt;=-5%)</formula>
    </cfRule>
  </conditionalFormatting>
  <conditionalFormatting sqref="D7:D10">
    <cfRule type="expression" dxfId="27" priority="3">
      <formula>AND($B7&lt;&gt;"03  Action to Take",$G7&gt;-5%)</formula>
    </cfRule>
  </conditionalFormatting>
  <conditionalFormatting sqref="G7:G8">
    <cfRule type="expression" dxfId="26" priority="4">
      <formula>G7&lt;=-10%</formula>
    </cfRule>
  </conditionalFormatting>
  <conditionalFormatting sqref="G7:G8">
    <cfRule type="expression" dxfId="25" priority="5">
      <formula>AND(G7&gt;-10%,G7&lt;=-5%)</formula>
    </cfRule>
  </conditionalFormatting>
  <conditionalFormatting sqref="G7:G8">
    <cfRule type="expression" dxfId="24" priority="6">
      <formula>G7&gt;-5%</formula>
    </cfRule>
  </conditionalFormatting>
  <conditionalFormatting sqref="G10">
    <cfRule type="expression" dxfId="23" priority="7">
      <formula>G10&lt;=-10%</formula>
    </cfRule>
  </conditionalFormatting>
  <conditionalFormatting sqref="G10">
    <cfRule type="expression" dxfId="22" priority="8">
      <formula>AND(G10&gt;-10%,G10&lt;=-5%)</formula>
    </cfRule>
  </conditionalFormatting>
  <conditionalFormatting sqref="G10">
    <cfRule type="expression" dxfId="21" priority="9">
      <formula>G10&gt;-5%</formula>
    </cfRule>
  </conditionalFormatting>
  <conditionalFormatting sqref="G9">
    <cfRule type="expression" dxfId="20" priority="10">
      <formula>G9=0</formula>
    </cfRule>
  </conditionalFormatting>
  <conditionalFormatting sqref="G9">
    <cfRule type="expression" dxfId="19" priority="11">
      <formula>AND(G9&gt;0,G9&lt;1)</formula>
    </cfRule>
  </conditionalFormatting>
  <conditionalFormatting sqref="G9">
    <cfRule type="expression" dxfId="18" priority="12">
      <formula>G9&gt;=1</formula>
    </cfRule>
  </conditionalFormatting>
  <conditionalFormatting sqref="D9">
    <cfRule type="dataBar" priority="13">
      <dataBar>
        <cfvo type="min"/>
        <cfvo type="max"/>
        <color rgb="FF638EC6"/>
      </dataBar>
      <extLst>
        <ext xmlns:x14="http://schemas.microsoft.com/office/spreadsheetml/2009/9/main" uri="{B025F937-C7B1-47D3-B67F-A62EFF666E3E}">
          <x14:id>{40C7F541-FA67-4647-BEEB-B15BA7CBAE10}</x14:id>
        </ext>
      </extLst>
    </cfRule>
  </conditionalFormatting>
  <conditionalFormatting sqref="H7:H10">
    <cfRule type="iconSet" priority="14">
      <iconSet>
        <cfvo type="percent" val="0"/>
        <cfvo type="num" val="0.9"/>
        <cfvo type="num" val="0.95"/>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0C7F541-FA67-4647-BEEB-B15BA7CBAE10}">
            <x14:dataBar minLength="0" maxLength="100" negativeBarColorSameAsPositive="1" axisPosition="none">
              <x14:cfvo type="min"/>
              <x14:cfvo type="max"/>
            </x14:dataBar>
          </x14:cfRule>
          <xm:sqref>D9</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294A0-BAAE-4A1E-93D8-B127669F49F1}">
  <dimension ref="B2:F18"/>
  <sheetViews>
    <sheetView workbookViewId="0">
      <selection activeCell="C7" sqref="C7 C10:E18"/>
      <pivotSelection pane="bottomRight" showHeader="1" extendable="1" axis="axisPage" activeRow="6" activeCol="2" previousRow="6" previousCol="2" click="1" r:id="rId1">
        <pivotArea dataOnly="0" outline="0" fieldPosition="0">
          <references count="1">
            <reference field="4" count="0"/>
          </references>
        </pivotArea>
      </pivotSelection>
    </sheetView>
  </sheetViews>
  <sheetFormatPr defaultRowHeight="14.5" x14ac:dyDescent="0.35"/>
  <cols>
    <col min="2" max="2" width="10.7265625" bestFit="1" customWidth="1"/>
    <col min="3" max="3" width="17.1796875" style="62" bestFit="1" customWidth="1"/>
    <col min="4" max="4" width="13.1796875" style="66" bestFit="1" customWidth="1"/>
    <col min="5" max="5" width="15" bestFit="1" customWidth="1"/>
  </cols>
  <sheetData>
    <row r="2" spans="2:6" ht="34" customHeight="1" x14ac:dyDescent="0.5">
      <c r="B2" s="13" t="s">
        <v>227</v>
      </c>
      <c r="C2" s="61"/>
      <c r="D2" s="65"/>
      <c r="E2" s="14"/>
      <c r="F2" s="14"/>
    </row>
    <row r="4" spans="2:6" x14ac:dyDescent="0.35">
      <c r="B4" s="15" t="s">
        <v>228</v>
      </c>
      <c r="E4" s="15"/>
      <c r="F4" s="15"/>
    </row>
    <row r="5" spans="2:6" x14ac:dyDescent="0.35">
      <c r="B5" s="15" t="s">
        <v>229</v>
      </c>
      <c r="E5" s="15"/>
      <c r="F5" s="15"/>
    </row>
    <row r="7" spans="2:6" x14ac:dyDescent="0.35">
      <c r="B7" s="11" t="s">
        <v>85</v>
      </c>
      <c r="C7" s="62" t="s">
        <v>226</v>
      </c>
    </row>
    <row r="9" spans="2:6" ht="26" customHeight="1" x14ac:dyDescent="0.35">
      <c r="B9" s="36" t="s">
        <v>81</v>
      </c>
      <c r="C9" s="63" t="s">
        <v>223</v>
      </c>
      <c r="D9" s="67" t="s">
        <v>224</v>
      </c>
      <c r="E9" s="36" t="s">
        <v>225</v>
      </c>
    </row>
    <row r="10" spans="2:6" x14ac:dyDescent="0.35">
      <c r="B10" t="s">
        <v>98</v>
      </c>
      <c r="C10" s="99">
        <v>1403337</v>
      </c>
      <c r="D10" s="100">
        <v>1014751.5</v>
      </c>
      <c r="E10" s="98">
        <v>-388585.49999999994</v>
      </c>
    </row>
    <row r="11" spans="2:6" x14ac:dyDescent="0.35">
      <c r="B11" t="s">
        <v>106</v>
      </c>
      <c r="C11" s="99">
        <v>1410893</v>
      </c>
      <c r="D11" s="100">
        <v>2082089.7899999998</v>
      </c>
      <c r="E11" s="98">
        <v>671196.79</v>
      </c>
    </row>
    <row r="12" spans="2:6" x14ac:dyDescent="0.35">
      <c r="B12" t="s">
        <v>108</v>
      </c>
      <c r="C12" s="99">
        <v>1342381</v>
      </c>
      <c r="D12" s="100">
        <v>1541248.5099999995</v>
      </c>
      <c r="E12" s="98">
        <v>198867.50999999998</v>
      </c>
    </row>
    <row r="13" spans="2:6" x14ac:dyDescent="0.35">
      <c r="B13" t="s">
        <v>110</v>
      </c>
      <c r="C13" s="99">
        <v>2357359</v>
      </c>
      <c r="D13" s="100">
        <v>2256715.6599999997</v>
      </c>
      <c r="E13" s="98">
        <v>-100643.34000000001</v>
      </c>
    </row>
    <row r="14" spans="2:6" x14ac:dyDescent="0.35">
      <c r="B14" t="s">
        <v>112</v>
      </c>
      <c r="C14" s="99">
        <v>1544215</v>
      </c>
      <c r="D14" s="100">
        <v>1613436.8400000003</v>
      </c>
      <c r="E14" s="98">
        <v>69221.839999999938</v>
      </c>
    </row>
    <row r="15" spans="2:6" x14ac:dyDescent="0.35">
      <c r="B15" t="s">
        <v>114</v>
      </c>
      <c r="C15" s="99">
        <v>241681</v>
      </c>
      <c r="D15" s="100">
        <v>519336.23</v>
      </c>
      <c r="E15" s="98">
        <v>277655.23</v>
      </c>
    </row>
    <row r="16" spans="2:6" x14ac:dyDescent="0.35">
      <c r="B16" t="s">
        <v>116</v>
      </c>
      <c r="C16" s="99">
        <v>1512209</v>
      </c>
      <c r="D16" s="100">
        <v>1837523.07</v>
      </c>
      <c r="E16" s="98">
        <v>325314.07000000012</v>
      </c>
    </row>
    <row r="17" spans="2:5" x14ac:dyDescent="0.35">
      <c r="B17" t="s">
        <v>118</v>
      </c>
      <c r="C17" s="99">
        <v>1525162</v>
      </c>
      <c r="D17" s="100">
        <v>1757749.82</v>
      </c>
      <c r="E17" s="98">
        <v>232587.82000000004</v>
      </c>
    </row>
    <row r="18" spans="2:5" x14ac:dyDescent="0.35">
      <c r="B18" s="22" t="s">
        <v>222</v>
      </c>
      <c r="C18" s="101">
        <v>11337237</v>
      </c>
      <c r="D18" s="102">
        <v>12622851.42</v>
      </c>
      <c r="E18" s="103">
        <v>1285614.4200000002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E020-BF51-4006-BDA2-CEED32E04181}">
  <dimension ref="B2:F70"/>
  <sheetViews>
    <sheetView workbookViewId="0"/>
  </sheetViews>
  <sheetFormatPr defaultRowHeight="14.5" x14ac:dyDescent="0.35"/>
  <cols>
    <col min="2" max="2" width="15.90625" bestFit="1" customWidth="1"/>
    <col min="3" max="3" width="17.1796875" style="62" bestFit="1" customWidth="1"/>
    <col min="4" max="4" width="13.1796875" style="66" bestFit="1" customWidth="1"/>
    <col min="5" max="5" width="15" bestFit="1" customWidth="1"/>
  </cols>
  <sheetData>
    <row r="2" spans="2:6" ht="34" customHeight="1" x14ac:dyDescent="0.5">
      <c r="B2" s="13" t="s">
        <v>230</v>
      </c>
      <c r="C2" s="61"/>
      <c r="D2" s="65"/>
      <c r="E2" s="14"/>
      <c r="F2" s="14"/>
    </row>
    <row r="4" spans="2:6" x14ac:dyDescent="0.35">
      <c r="B4" s="15" t="s">
        <v>231</v>
      </c>
      <c r="E4" s="15"/>
      <c r="F4" s="15"/>
    </row>
    <row r="5" spans="2:6" x14ac:dyDescent="0.35">
      <c r="B5" s="15" t="s">
        <v>232</v>
      </c>
      <c r="E5" s="15"/>
      <c r="F5" s="15"/>
    </row>
    <row r="7" spans="2:6" x14ac:dyDescent="0.35">
      <c r="B7" s="11" t="s">
        <v>85</v>
      </c>
      <c r="C7" s="62" t="s">
        <v>226</v>
      </c>
    </row>
    <row r="9" spans="2:6" ht="26" customHeight="1" x14ac:dyDescent="0.35">
      <c r="B9" s="36" t="s">
        <v>89</v>
      </c>
      <c r="C9" s="63" t="s">
        <v>223</v>
      </c>
      <c r="D9" s="67" t="s">
        <v>224</v>
      </c>
      <c r="E9" s="36" t="s">
        <v>225</v>
      </c>
    </row>
    <row r="10" spans="2:6" x14ac:dyDescent="0.35">
      <c r="B10" t="s">
        <v>103</v>
      </c>
      <c r="C10" s="99">
        <v>11025573</v>
      </c>
      <c r="D10" s="100">
        <v>12175245.340000009</v>
      </c>
      <c r="E10" s="98">
        <v>1149672.3400000005</v>
      </c>
    </row>
    <row r="11" spans="2:6" x14ac:dyDescent="0.35">
      <c r="B11" t="s">
        <v>160</v>
      </c>
      <c r="C11" s="99">
        <v>311552</v>
      </c>
      <c r="D11" s="100">
        <v>455666.08000000037</v>
      </c>
      <c r="E11" s="98">
        <v>144114.08000000019</v>
      </c>
    </row>
    <row r="12" spans="2:6" x14ac:dyDescent="0.35">
      <c r="B12" t="s">
        <v>216</v>
      </c>
      <c r="C12" s="99">
        <v>112</v>
      </c>
      <c r="D12" s="100">
        <v>-8060</v>
      </c>
      <c r="E12" s="98">
        <v>-8172</v>
      </c>
    </row>
    <row r="13" spans="2:6" x14ac:dyDescent="0.35">
      <c r="B13" s="22" t="s">
        <v>222</v>
      </c>
      <c r="C13" s="101">
        <v>11337237</v>
      </c>
      <c r="D13" s="102">
        <v>12622851.420000009</v>
      </c>
      <c r="E13" s="103">
        <v>1285614.4200000009</v>
      </c>
    </row>
    <row r="14" spans="2:6" x14ac:dyDescent="0.35">
      <c r="C14" s="64"/>
      <c r="D14" s="68"/>
      <c r="E14" s="16"/>
    </row>
    <row r="15" spans="2:6" x14ac:dyDescent="0.35">
      <c r="C15" s="64"/>
      <c r="D15" s="68"/>
      <c r="E15" s="16"/>
    </row>
    <row r="16" spans="2:6" x14ac:dyDescent="0.35">
      <c r="C16" s="64"/>
      <c r="D16" s="68"/>
      <c r="E16" s="16"/>
    </row>
    <row r="17" spans="2:5" x14ac:dyDescent="0.35">
      <c r="C17" s="64"/>
      <c r="D17" s="68"/>
      <c r="E17" s="16"/>
    </row>
    <row r="18" spans="2:5" x14ac:dyDescent="0.35">
      <c r="C18" s="64"/>
      <c r="D18" s="68"/>
      <c r="E18" s="16"/>
    </row>
    <row r="19" spans="2:5" x14ac:dyDescent="0.35">
      <c r="B19" s="36" t="s">
        <v>233</v>
      </c>
      <c r="C19" s="72"/>
      <c r="D19" s="73"/>
      <c r="E19" s="74"/>
    </row>
    <row r="20" spans="2:5" x14ac:dyDescent="0.35">
      <c r="B20" s="11" t="s">
        <v>85</v>
      </c>
      <c r="C20" s="64" t="s">
        <v>226</v>
      </c>
      <c r="D20" s="68"/>
      <c r="E20" s="16"/>
    </row>
    <row r="21" spans="2:5" x14ac:dyDescent="0.35">
      <c r="C21" s="64"/>
      <c r="D21" s="68"/>
      <c r="E21" s="16"/>
    </row>
    <row r="22" spans="2:5" ht="26" customHeight="1" x14ac:dyDescent="0.35">
      <c r="B22" s="36" t="s">
        <v>90</v>
      </c>
      <c r="C22" s="70" t="s">
        <v>223</v>
      </c>
      <c r="D22" s="71" t="s">
        <v>224</v>
      </c>
      <c r="E22" s="69" t="s">
        <v>225</v>
      </c>
    </row>
    <row r="23" spans="2:5" x14ac:dyDescent="0.35">
      <c r="B23" t="s">
        <v>104</v>
      </c>
      <c r="C23" s="99">
        <v>11741958</v>
      </c>
      <c r="D23" s="100">
        <v>12907950.340000009</v>
      </c>
      <c r="E23" s="98">
        <v>1165992.3400000005</v>
      </c>
    </row>
    <row r="24" spans="2:5" x14ac:dyDescent="0.35">
      <c r="B24" t="s">
        <v>157</v>
      </c>
      <c r="C24" s="99">
        <v>-404833</v>
      </c>
      <c r="D24" s="100">
        <v>-277048.18999999983</v>
      </c>
      <c r="E24" s="98">
        <v>127784.81000000016</v>
      </c>
    </row>
    <row r="25" spans="2:5" x14ac:dyDescent="0.35">
      <c r="B25" t="s">
        <v>211</v>
      </c>
      <c r="C25" s="99">
        <v>0</v>
      </c>
      <c r="D25" s="100">
        <v>0</v>
      </c>
      <c r="E25" s="98">
        <v>0</v>
      </c>
    </row>
    <row r="26" spans="2:5" x14ac:dyDescent="0.35">
      <c r="B26" t="s">
        <v>214</v>
      </c>
      <c r="C26" s="99">
        <v>0</v>
      </c>
      <c r="D26" s="100">
        <v>9.27</v>
      </c>
      <c r="E26" s="98">
        <v>9.27</v>
      </c>
    </row>
    <row r="27" spans="2:5" x14ac:dyDescent="0.35">
      <c r="B27" t="s">
        <v>217</v>
      </c>
      <c r="C27" s="99">
        <v>112</v>
      </c>
      <c r="D27" s="100">
        <v>0</v>
      </c>
      <c r="E27" s="98">
        <v>-112</v>
      </c>
    </row>
    <row r="28" spans="2:5" x14ac:dyDescent="0.35">
      <c r="B28" t="s">
        <v>219</v>
      </c>
      <c r="C28" s="99">
        <v>0</v>
      </c>
      <c r="D28" s="100">
        <v>-8060</v>
      </c>
      <c r="E28" s="98">
        <v>-8060</v>
      </c>
    </row>
    <row r="29" spans="2:5" x14ac:dyDescent="0.35">
      <c r="B29" s="22" t="s">
        <v>222</v>
      </c>
      <c r="C29" s="101">
        <v>11337237</v>
      </c>
      <c r="D29" s="102">
        <v>12622851.420000009</v>
      </c>
      <c r="E29" s="103">
        <v>1285614.4200000006</v>
      </c>
    </row>
    <row r="30" spans="2:5" x14ac:dyDescent="0.35">
      <c r="C30" s="64"/>
      <c r="D30" s="68"/>
      <c r="E30" s="16"/>
    </row>
    <row r="31" spans="2:5" x14ac:dyDescent="0.35">
      <c r="C31" s="64"/>
      <c r="D31" s="68"/>
      <c r="E31" s="16"/>
    </row>
    <row r="32" spans="2:5" x14ac:dyDescent="0.35">
      <c r="C32" s="64"/>
      <c r="D32" s="68"/>
      <c r="E32" s="16"/>
    </row>
    <row r="33" spans="3:5" x14ac:dyDescent="0.35">
      <c r="C33" s="64"/>
      <c r="D33" s="68"/>
      <c r="E33" s="16"/>
    </row>
    <row r="34" spans="3:5" x14ac:dyDescent="0.35">
      <c r="C34" s="64"/>
      <c r="D34" s="68"/>
      <c r="E34" s="16"/>
    </row>
    <row r="35" spans="3:5" x14ac:dyDescent="0.35">
      <c r="C35" s="64"/>
      <c r="D35" s="68"/>
      <c r="E35" s="16"/>
    </row>
    <row r="36" spans="3:5" x14ac:dyDescent="0.35">
      <c r="C36" s="64"/>
      <c r="D36" s="68"/>
      <c r="E36" s="16"/>
    </row>
    <row r="37" spans="3:5" x14ac:dyDescent="0.35">
      <c r="C37" s="64"/>
      <c r="D37" s="68"/>
      <c r="E37" s="16"/>
    </row>
    <row r="38" spans="3:5" x14ac:dyDescent="0.35">
      <c r="C38" s="64"/>
      <c r="D38" s="68"/>
      <c r="E38" s="16"/>
    </row>
    <row r="39" spans="3:5" x14ac:dyDescent="0.35">
      <c r="C39" s="64"/>
      <c r="D39" s="68"/>
      <c r="E39" s="16"/>
    </row>
    <row r="40" spans="3:5" x14ac:dyDescent="0.35">
      <c r="C40" s="64"/>
      <c r="D40" s="68"/>
      <c r="E40" s="16"/>
    </row>
    <row r="41" spans="3:5" x14ac:dyDescent="0.35">
      <c r="C41" s="64"/>
      <c r="D41" s="68"/>
      <c r="E41" s="16"/>
    </row>
    <row r="42" spans="3:5" x14ac:dyDescent="0.35">
      <c r="C42" s="64"/>
      <c r="D42" s="68"/>
      <c r="E42" s="16"/>
    </row>
    <row r="43" spans="3:5" x14ac:dyDescent="0.35">
      <c r="C43" s="64"/>
      <c r="D43" s="68"/>
      <c r="E43" s="16"/>
    </row>
    <row r="44" spans="3:5" x14ac:dyDescent="0.35">
      <c r="C44" s="64"/>
      <c r="D44" s="68"/>
      <c r="E44" s="16"/>
    </row>
    <row r="45" spans="3:5" x14ac:dyDescent="0.35">
      <c r="C45" s="64"/>
      <c r="D45" s="68"/>
      <c r="E45" s="16"/>
    </row>
    <row r="46" spans="3:5" x14ac:dyDescent="0.35">
      <c r="C46" s="64"/>
      <c r="D46" s="68"/>
      <c r="E46" s="16"/>
    </row>
    <row r="47" spans="3:5" x14ac:dyDescent="0.35">
      <c r="C47" s="64"/>
      <c r="D47" s="68"/>
      <c r="E47" s="16"/>
    </row>
    <row r="48" spans="3:5" x14ac:dyDescent="0.35">
      <c r="C48" s="64"/>
      <c r="D48" s="68"/>
      <c r="E48" s="16"/>
    </row>
    <row r="49" spans="3:5" x14ac:dyDescent="0.35">
      <c r="C49" s="64"/>
      <c r="D49" s="68"/>
      <c r="E49" s="16"/>
    </row>
    <row r="50" spans="3:5" x14ac:dyDescent="0.35">
      <c r="C50" s="64"/>
      <c r="D50" s="68"/>
      <c r="E50" s="16"/>
    </row>
    <row r="51" spans="3:5" x14ac:dyDescent="0.35">
      <c r="C51" s="64"/>
      <c r="D51" s="68"/>
      <c r="E51" s="16"/>
    </row>
    <row r="52" spans="3:5" x14ac:dyDescent="0.35">
      <c r="C52" s="64"/>
      <c r="D52" s="68"/>
      <c r="E52" s="16"/>
    </row>
    <row r="53" spans="3:5" x14ac:dyDescent="0.35">
      <c r="C53" s="64"/>
      <c r="D53" s="68"/>
      <c r="E53" s="16"/>
    </row>
    <row r="54" spans="3:5" x14ac:dyDescent="0.35">
      <c r="C54" s="64"/>
      <c r="D54" s="68"/>
      <c r="E54" s="16"/>
    </row>
    <row r="55" spans="3:5" x14ac:dyDescent="0.35">
      <c r="C55" s="64"/>
      <c r="D55" s="68"/>
      <c r="E55" s="16"/>
    </row>
    <row r="56" spans="3:5" x14ac:dyDescent="0.35">
      <c r="C56" s="64"/>
      <c r="D56" s="68"/>
      <c r="E56" s="16"/>
    </row>
    <row r="57" spans="3:5" x14ac:dyDescent="0.35">
      <c r="C57" s="64"/>
      <c r="D57" s="68"/>
      <c r="E57" s="16"/>
    </row>
    <row r="58" spans="3:5" x14ac:dyDescent="0.35">
      <c r="C58" s="64"/>
      <c r="D58" s="68"/>
      <c r="E58" s="16"/>
    </row>
    <row r="59" spans="3:5" x14ac:dyDescent="0.35">
      <c r="C59" s="64"/>
      <c r="D59" s="68"/>
      <c r="E59" s="16"/>
    </row>
    <row r="60" spans="3:5" x14ac:dyDescent="0.35">
      <c r="C60" s="64"/>
      <c r="D60" s="68"/>
      <c r="E60" s="16"/>
    </row>
    <row r="61" spans="3:5" x14ac:dyDescent="0.35">
      <c r="C61" s="64"/>
      <c r="D61" s="68"/>
      <c r="E61" s="16"/>
    </row>
    <row r="62" spans="3:5" x14ac:dyDescent="0.35">
      <c r="C62" s="64"/>
      <c r="D62" s="68"/>
      <c r="E62" s="16"/>
    </row>
    <row r="63" spans="3:5" x14ac:dyDescent="0.35">
      <c r="C63" s="64"/>
      <c r="D63" s="68"/>
      <c r="E63" s="16"/>
    </row>
    <row r="64" spans="3:5" x14ac:dyDescent="0.35">
      <c r="C64" s="64"/>
      <c r="D64" s="68"/>
      <c r="E64" s="16"/>
    </row>
    <row r="65" spans="3:5" x14ac:dyDescent="0.35">
      <c r="C65" s="64"/>
      <c r="D65" s="68"/>
      <c r="E65" s="16"/>
    </row>
    <row r="66" spans="3:5" x14ac:dyDescent="0.35">
      <c r="C66" s="64"/>
      <c r="D66" s="68"/>
      <c r="E66" s="16"/>
    </row>
    <row r="67" spans="3:5" x14ac:dyDescent="0.35">
      <c r="C67" s="64"/>
      <c r="D67" s="68"/>
      <c r="E67" s="16"/>
    </row>
    <row r="68" spans="3:5" x14ac:dyDescent="0.35">
      <c r="C68" s="64"/>
      <c r="D68" s="68"/>
      <c r="E68" s="16"/>
    </row>
    <row r="69" spans="3:5" x14ac:dyDescent="0.35">
      <c r="C69" s="64"/>
      <c r="D69" s="68"/>
      <c r="E69" s="16"/>
    </row>
    <row r="70" spans="3:5" x14ac:dyDescent="0.35">
      <c r="C70" s="64"/>
      <c r="D70" s="68"/>
      <c r="E70" s="1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62F57-B9D9-49BD-8D1C-3B76BED4B040}">
  <dimension ref="B2:F16"/>
  <sheetViews>
    <sheetView workbookViewId="0"/>
  </sheetViews>
  <sheetFormatPr defaultRowHeight="14.5" x14ac:dyDescent="0.35"/>
  <cols>
    <col min="2" max="2" width="39.6328125" customWidth="1"/>
    <col min="3" max="3" width="100" customWidth="1"/>
  </cols>
  <sheetData>
    <row r="2" spans="2:6" ht="22" x14ac:dyDescent="0.5">
      <c r="B2" s="13" t="s">
        <v>234</v>
      </c>
      <c r="C2" s="14"/>
      <c r="D2" s="14"/>
      <c r="E2" s="14"/>
      <c r="F2" s="14"/>
    </row>
    <row r="3" spans="2:6" x14ac:dyDescent="0.35">
      <c r="B3" s="22" t="s">
        <v>235</v>
      </c>
      <c r="C3" s="17" t="s">
        <v>236</v>
      </c>
    </row>
    <row r="4" spans="2:6" x14ac:dyDescent="0.35">
      <c r="B4" s="22" t="s">
        <v>237</v>
      </c>
      <c r="C4" s="18" t="s">
        <v>238</v>
      </c>
      <c r="D4" s="15"/>
      <c r="E4" s="15"/>
      <c r="F4" s="15"/>
    </row>
    <row r="5" spans="2:6" x14ac:dyDescent="0.35">
      <c r="B5" s="22" t="s">
        <v>239</v>
      </c>
      <c r="C5" s="18" t="s">
        <v>240</v>
      </c>
      <c r="D5" s="15"/>
      <c r="E5" s="15"/>
      <c r="F5" s="15"/>
    </row>
    <row r="6" spans="2:6" x14ac:dyDescent="0.35">
      <c r="B6" s="22" t="s">
        <v>241</v>
      </c>
      <c r="C6" s="17" t="s">
        <v>242</v>
      </c>
    </row>
    <row r="7" spans="2:6" x14ac:dyDescent="0.35">
      <c r="B7" s="22" t="s">
        <v>243</v>
      </c>
      <c r="C7" s="17" t="s">
        <v>244</v>
      </c>
    </row>
    <row r="8" spans="2:6" x14ac:dyDescent="0.35">
      <c r="B8" s="22" t="s">
        <v>245</v>
      </c>
      <c r="C8" s="17" t="s">
        <v>246</v>
      </c>
    </row>
    <row r="9" spans="2:6" ht="29" x14ac:dyDescent="0.35">
      <c r="B9" s="22" t="s">
        <v>247</v>
      </c>
      <c r="C9" s="17" t="s">
        <v>248</v>
      </c>
    </row>
    <row r="10" spans="2:6" x14ac:dyDescent="0.35">
      <c r="B10" s="75" t="s">
        <v>249</v>
      </c>
      <c r="C10" s="99">
        <f>'Pivot - måned'!C18</f>
        <v>11337237</v>
      </c>
    </row>
    <row r="11" spans="2:6" x14ac:dyDescent="0.35">
      <c r="B11" s="75" t="s">
        <v>250</v>
      </c>
      <c r="C11" s="100">
        <f>'Pivot - måned'!D18</f>
        <v>12622851.42</v>
      </c>
    </row>
    <row r="12" spans="2:6" x14ac:dyDescent="0.35">
      <c r="B12" s="75" t="s">
        <v>251</v>
      </c>
      <c r="C12" s="98">
        <f>'Pivot - måned'!E18</f>
        <v>1285614.4200000002</v>
      </c>
    </row>
    <row r="13" spans="2:6" x14ac:dyDescent="0.35">
      <c r="B13" s="75" t="s">
        <v>252</v>
      </c>
      <c r="C13" s="98">
        <f>SUMIFS(tbl_BoMiljo[Merforbruk],tbl_BoMiljo[Status],"Bokført")</f>
        <v>1285614.4200000004</v>
      </c>
    </row>
    <row r="14" spans="2:6" x14ac:dyDescent="0.35">
      <c r="B14" s="75" t="s">
        <v>253</v>
      </c>
      <c r="C14" s="108">
        <f>C12-C13</f>
        <v>0</v>
      </c>
    </row>
    <row r="15" spans="2:6" x14ac:dyDescent="0.35">
      <c r="B15" s="75" t="s">
        <v>254</v>
      </c>
      <c r="C15">
        <f>COUNTIF(tbl_BoMiljo[Status],"Bokført")</f>
        <v>704</v>
      </c>
    </row>
    <row r="16" spans="2:6" x14ac:dyDescent="0.35">
      <c r="B16" s="75" t="s">
        <v>255</v>
      </c>
      <c r="C16">
        <f>COUNTIF(tbl_BoMiljo[Status],"Gjenstående budsjett")</f>
        <v>352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F5597"/>
  </sheetPr>
  <dimension ref="B2:L40"/>
  <sheetViews>
    <sheetView showGridLines="0" zoomScale="90" zoomScaleNormal="90" workbookViewId="0"/>
  </sheetViews>
  <sheetFormatPr defaultRowHeight="14.5" x14ac:dyDescent="0.35"/>
  <cols>
    <col min="1" max="13" width="14" customWidth="1"/>
  </cols>
  <sheetData>
    <row r="2" spans="2:12" x14ac:dyDescent="0.35">
      <c r="B2" s="49" t="s">
        <v>69</v>
      </c>
      <c r="C2" s="48"/>
      <c r="D2" s="48"/>
      <c r="E2" s="48"/>
      <c r="F2" s="48"/>
      <c r="G2" s="48"/>
      <c r="H2" s="48"/>
      <c r="I2" s="48"/>
      <c r="J2" s="48"/>
      <c r="K2" s="48"/>
      <c r="L2" s="48"/>
    </row>
    <row r="3" spans="2:12" x14ac:dyDescent="0.35">
      <c r="B3" s="48"/>
      <c r="C3" s="48"/>
      <c r="D3" s="48"/>
      <c r="E3" s="48"/>
      <c r="F3" s="48"/>
      <c r="G3" s="48"/>
      <c r="H3" s="48"/>
      <c r="I3" s="48"/>
      <c r="J3" s="48"/>
      <c r="K3" s="48"/>
      <c r="L3" s="48"/>
    </row>
    <row r="6" spans="2:12" x14ac:dyDescent="0.35">
      <c r="B6" s="90" t="s">
        <v>70</v>
      </c>
      <c r="C6" s="84"/>
      <c r="D6" s="84"/>
      <c r="F6" s="91" t="s">
        <v>71</v>
      </c>
      <c r="G6" s="48"/>
      <c r="H6" s="48"/>
      <c r="I6" s="48"/>
      <c r="K6" s="92" t="s">
        <v>72</v>
      </c>
      <c r="L6" s="88"/>
    </row>
    <row r="7" spans="2:12" x14ac:dyDescent="0.35">
      <c r="B7" s="84"/>
      <c r="C7" s="84"/>
      <c r="D7" s="84"/>
      <c r="F7" s="48"/>
      <c r="G7" s="48"/>
      <c r="H7" s="48"/>
      <c r="I7" s="48"/>
      <c r="K7" s="88"/>
      <c r="L7" s="88"/>
    </row>
    <row r="8" spans="2:12" x14ac:dyDescent="0.35">
      <c r="B8" s="84"/>
      <c r="C8" s="84"/>
      <c r="D8" s="84"/>
      <c r="F8" s="48"/>
      <c r="G8" s="48"/>
      <c r="H8" s="48"/>
      <c r="I8" s="48"/>
      <c r="K8" s="88"/>
      <c r="L8" s="88"/>
    </row>
    <row r="9" spans="2:12" ht="23.5" x14ac:dyDescent="0.55000000000000004">
      <c r="B9" s="84"/>
      <c r="C9" s="84"/>
      <c r="D9" s="84"/>
      <c r="E9" s="4" t="s">
        <v>73</v>
      </c>
      <c r="F9" s="48"/>
      <c r="G9" s="48"/>
      <c r="H9" s="48"/>
      <c r="I9" s="48"/>
      <c r="J9" s="4" t="s">
        <v>73</v>
      </c>
      <c r="K9" s="88"/>
      <c r="L9" s="88"/>
    </row>
    <row r="10" spans="2:12" x14ac:dyDescent="0.35">
      <c r="B10" s="84"/>
      <c r="C10" s="84"/>
      <c r="D10" s="84"/>
      <c r="F10" s="48"/>
      <c r="G10" s="48"/>
      <c r="H10" s="48"/>
      <c r="I10" s="48"/>
      <c r="K10" s="88"/>
      <c r="L10" s="88"/>
    </row>
    <row r="11" spans="2:12" x14ac:dyDescent="0.35">
      <c r="B11" s="84"/>
      <c r="C11" s="84"/>
      <c r="D11" s="84"/>
      <c r="F11" s="48"/>
      <c r="G11" s="48"/>
      <c r="H11" s="48"/>
      <c r="I11" s="48"/>
      <c r="K11" s="88"/>
      <c r="L11" s="88"/>
    </row>
    <row r="12" spans="2:12" x14ac:dyDescent="0.35">
      <c r="B12" s="84"/>
      <c r="C12" s="84"/>
      <c r="D12" s="84"/>
      <c r="F12" s="48"/>
      <c r="G12" s="48"/>
      <c r="H12" s="48"/>
      <c r="I12" s="48"/>
      <c r="K12" s="88"/>
      <c r="L12" s="88"/>
    </row>
    <row r="15" spans="2:12" x14ac:dyDescent="0.35">
      <c r="K15" s="93" t="s">
        <v>74</v>
      </c>
      <c r="L15" s="94"/>
    </row>
    <row r="16" spans="2:12" x14ac:dyDescent="0.35">
      <c r="K16" s="94"/>
      <c r="L16" s="94"/>
    </row>
    <row r="17" spans="2:12" x14ac:dyDescent="0.35">
      <c r="K17" s="94"/>
      <c r="L17" s="94"/>
    </row>
    <row r="18" spans="2:12" x14ac:dyDescent="0.35">
      <c r="K18" s="94"/>
      <c r="L18" s="94"/>
    </row>
    <row r="19" spans="2:12" x14ac:dyDescent="0.35">
      <c r="K19" s="94"/>
      <c r="L19" s="94"/>
    </row>
    <row r="20" spans="2:12" x14ac:dyDescent="0.35">
      <c r="K20" s="94"/>
      <c r="L20" s="94"/>
    </row>
    <row r="24" spans="2:12" x14ac:dyDescent="0.35">
      <c r="B24" s="90" t="s">
        <v>75</v>
      </c>
      <c r="C24" s="84"/>
      <c r="D24" s="84"/>
      <c r="F24" s="91" t="s">
        <v>76</v>
      </c>
      <c r="G24" s="48"/>
      <c r="H24" s="48"/>
      <c r="I24" s="48"/>
      <c r="K24" s="95" t="s">
        <v>77</v>
      </c>
      <c r="L24" s="86"/>
    </row>
    <row r="25" spans="2:12" x14ac:dyDescent="0.35">
      <c r="B25" s="84"/>
      <c r="C25" s="84"/>
      <c r="D25" s="84"/>
      <c r="F25" s="48"/>
      <c r="G25" s="48"/>
      <c r="H25" s="48"/>
      <c r="I25" s="48"/>
      <c r="K25" s="86"/>
      <c r="L25" s="86"/>
    </row>
    <row r="26" spans="2:12" x14ac:dyDescent="0.35">
      <c r="B26" s="84"/>
      <c r="C26" s="84"/>
      <c r="D26" s="84"/>
      <c r="F26" s="48"/>
      <c r="G26" s="48"/>
      <c r="H26" s="48"/>
      <c r="I26" s="48"/>
      <c r="K26" s="86"/>
      <c r="L26" s="86"/>
    </row>
    <row r="27" spans="2:12" ht="23.5" x14ac:dyDescent="0.55000000000000004">
      <c r="B27" s="84"/>
      <c r="C27" s="84"/>
      <c r="D27" s="84"/>
      <c r="F27" s="48"/>
      <c r="G27" s="48"/>
      <c r="H27" s="48"/>
      <c r="I27" s="48"/>
      <c r="J27" s="4" t="s">
        <v>73</v>
      </c>
      <c r="K27" s="86"/>
      <c r="L27" s="86"/>
    </row>
    <row r="28" spans="2:12" x14ac:dyDescent="0.35">
      <c r="B28" s="84"/>
      <c r="C28" s="84"/>
      <c r="D28" s="84"/>
      <c r="F28" s="48"/>
      <c r="G28" s="48"/>
      <c r="H28" s="48"/>
      <c r="I28" s="48"/>
      <c r="K28" s="86"/>
      <c r="L28" s="86"/>
    </row>
    <row r="29" spans="2:12" x14ac:dyDescent="0.35">
      <c r="B29" s="84"/>
      <c r="C29" s="84"/>
      <c r="D29" s="84"/>
      <c r="F29" s="48"/>
      <c r="G29" s="48"/>
      <c r="H29" s="48"/>
      <c r="I29" s="48"/>
      <c r="K29" s="86"/>
      <c r="L29" s="86"/>
    </row>
    <row r="30" spans="2:12" x14ac:dyDescent="0.35">
      <c r="B30" s="84"/>
      <c r="C30" s="84"/>
      <c r="D30" s="84"/>
      <c r="F30" s="48"/>
      <c r="G30" s="48"/>
      <c r="H30" s="48"/>
      <c r="I30" s="48"/>
      <c r="K30" s="86"/>
      <c r="L30" s="86"/>
    </row>
    <row r="34" spans="2:12" x14ac:dyDescent="0.35">
      <c r="B34" s="92" t="s">
        <v>78</v>
      </c>
      <c r="C34" s="88"/>
      <c r="D34" s="88"/>
      <c r="F34" s="93" t="s">
        <v>79</v>
      </c>
      <c r="G34" s="94"/>
      <c r="H34" s="94"/>
      <c r="I34" s="94"/>
      <c r="K34" s="90" t="s">
        <v>80</v>
      </c>
      <c r="L34" s="84"/>
    </row>
    <row r="35" spans="2:12" x14ac:dyDescent="0.35">
      <c r="B35" s="88"/>
      <c r="C35" s="88"/>
      <c r="D35" s="88"/>
      <c r="F35" s="94"/>
      <c r="G35" s="94"/>
      <c r="H35" s="94"/>
      <c r="I35" s="94"/>
      <c r="K35" s="84"/>
      <c r="L35" s="84"/>
    </row>
    <row r="36" spans="2:12" x14ac:dyDescent="0.35">
      <c r="B36" s="88"/>
      <c r="C36" s="88"/>
      <c r="D36" s="88"/>
      <c r="F36" s="94"/>
      <c r="G36" s="94"/>
      <c r="H36" s="94"/>
      <c r="I36" s="94"/>
      <c r="K36" s="84"/>
      <c r="L36" s="84"/>
    </row>
    <row r="37" spans="2:12" ht="23.5" x14ac:dyDescent="0.55000000000000004">
      <c r="B37" s="88"/>
      <c r="C37" s="88"/>
      <c r="D37" s="88"/>
      <c r="E37" s="4" t="s">
        <v>73</v>
      </c>
      <c r="F37" s="94"/>
      <c r="G37" s="94"/>
      <c r="H37" s="94"/>
      <c r="I37" s="94"/>
      <c r="J37" s="4" t="s">
        <v>73</v>
      </c>
      <c r="K37" s="84"/>
      <c r="L37" s="84"/>
    </row>
    <row r="38" spans="2:12" x14ac:dyDescent="0.35">
      <c r="B38" s="88"/>
      <c r="C38" s="88"/>
      <c r="D38" s="88"/>
      <c r="F38" s="94"/>
      <c r="G38" s="94"/>
      <c r="H38" s="94"/>
      <c r="I38" s="94"/>
      <c r="K38" s="84"/>
      <c r="L38" s="84"/>
    </row>
    <row r="39" spans="2:12" x14ac:dyDescent="0.35">
      <c r="B39" s="88"/>
      <c r="C39" s="88"/>
      <c r="D39" s="88"/>
      <c r="F39" s="94"/>
      <c r="G39" s="94"/>
      <c r="H39" s="94"/>
      <c r="I39" s="94"/>
      <c r="K39" s="84"/>
      <c r="L39" s="84"/>
    </row>
    <row r="40" spans="2:12" x14ac:dyDescent="0.35">
      <c r="B40" s="88"/>
      <c r="C40" s="88"/>
      <c r="D40" s="88"/>
      <c r="F40" s="94"/>
      <c r="G40" s="94"/>
      <c r="H40" s="94"/>
      <c r="I40" s="94"/>
      <c r="K40" s="84"/>
      <c r="L40" s="84"/>
    </row>
  </sheetData>
  <mergeCells count="11">
    <mergeCell ref="B2:L3"/>
    <mergeCell ref="K6:L12"/>
    <mergeCell ref="K24:L30"/>
    <mergeCell ref="F34:I40"/>
    <mergeCell ref="B24:D30"/>
    <mergeCell ref="F6:I12"/>
    <mergeCell ref="F24:I30"/>
    <mergeCell ref="B34:D40"/>
    <mergeCell ref="B6:D12"/>
    <mergeCell ref="K15:L20"/>
    <mergeCell ref="K34:L40"/>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057"/>
  <sheetViews>
    <sheetView showGridLines="0" workbookViewId="0">
      <pane ySplit="1" topLeftCell="A2" activePane="bottomLeft" state="frozen"/>
      <selection pane="bottomLeft" activeCell="N956" sqref="N956"/>
    </sheetView>
  </sheetViews>
  <sheetFormatPr defaultRowHeight="14.5" x14ac:dyDescent="0.35"/>
  <cols>
    <col min="1" max="1" width="9.90625" bestFit="1" customWidth="1"/>
    <col min="2" max="2" width="10.36328125" bestFit="1" customWidth="1"/>
    <col min="3" max="3" width="12.26953125" bestFit="1" customWidth="1"/>
    <col min="4" max="4" width="8.7265625" bestFit="1" customWidth="1"/>
    <col min="5" max="5" width="28.1796875" customWidth="1"/>
    <col min="6" max="6" width="26.90625" customWidth="1"/>
    <col min="7" max="7" width="16.90625" customWidth="1"/>
    <col min="8" max="10" width="24.54296875" customWidth="1"/>
    <col min="11" max="11" width="13.453125" bestFit="1" customWidth="1"/>
    <col min="12" max="12" width="12.54296875" bestFit="1" customWidth="1"/>
    <col min="13" max="13" width="41.81640625" customWidth="1"/>
    <col min="14" max="14" width="18.1796875" customWidth="1"/>
    <col min="15" max="17" width="19.6328125" customWidth="1"/>
  </cols>
  <sheetData>
    <row r="1" spans="1:17" ht="30" customHeight="1" x14ac:dyDescent="0.35">
      <c r="A1" s="60" t="s">
        <v>81</v>
      </c>
      <c r="B1" s="60" t="s">
        <v>82</v>
      </c>
      <c r="C1" s="60" t="s">
        <v>83</v>
      </c>
      <c r="D1" s="60" t="s">
        <v>84</v>
      </c>
      <c r="E1" s="60" t="s">
        <v>85</v>
      </c>
      <c r="F1" s="60" t="s">
        <v>86</v>
      </c>
      <c r="G1" s="60" t="s">
        <v>87</v>
      </c>
      <c r="H1" s="60" t="s">
        <v>88</v>
      </c>
      <c r="I1" s="60" t="s">
        <v>89</v>
      </c>
      <c r="J1" s="60" t="s">
        <v>90</v>
      </c>
      <c r="K1" s="60" t="s">
        <v>91</v>
      </c>
      <c r="L1" s="60" t="s">
        <v>92</v>
      </c>
      <c r="M1" s="60" t="s">
        <v>93</v>
      </c>
      <c r="N1" s="60" t="s">
        <v>94</v>
      </c>
      <c r="O1" s="60" t="s">
        <v>95</v>
      </c>
      <c r="P1" s="60" t="s">
        <v>96</v>
      </c>
      <c r="Q1" s="60" t="s">
        <v>97</v>
      </c>
    </row>
    <row r="2" spans="1:17" x14ac:dyDescent="0.35">
      <c r="A2" t="s">
        <v>98</v>
      </c>
      <c r="B2" t="s">
        <v>99</v>
      </c>
      <c r="C2">
        <v>1</v>
      </c>
      <c r="D2" t="s">
        <v>23</v>
      </c>
      <c r="E2" t="s">
        <v>100</v>
      </c>
      <c r="F2" t="s">
        <v>101</v>
      </c>
      <c r="G2">
        <v>254</v>
      </c>
      <c r="H2" t="s">
        <v>102</v>
      </c>
      <c r="I2" t="s">
        <v>103</v>
      </c>
      <c r="J2" t="s">
        <v>104</v>
      </c>
      <c r="K2">
        <v>1010</v>
      </c>
      <c r="L2">
        <v>101000</v>
      </c>
      <c r="M2" t="s">
        <v>105</v>
      </c>
      <c r="N2" s="98">
        <v>821676</v>
      </c>
      <c r="O2" s="98">
        <v>659882.34</v>
      </c>
      <c r="P2" s="98">
        <v>161793.66</v>
      </c>
      <c r="Q2" s="98">
        <v>-161793.66</v>
      </c>
    </row>
    <row r="3" spans="1:17" x14ac:dyDescent="0.35">
      <c r="A3" t="s">
        <v>106</v>
      </c>
      <c r="B3" t="s">
        <v>107</v>
      </c>
      <c r="C3">
        <v>2</v>
      </c>
      <c r="D3" t="s">
        <v>23</v>
      </c>
      <c r="E3" t="s">
        <v>100</v>
      </c>
      <c r="F3" t="s">
        <v>101</v>
      </c>
      <c r="G3">
        <v>254</v>
      </c>
      <c r="H3" t="s">
        <v>102</v>
      </c>
      <c r="I3" t="s">
        <v>103</v>
      </c>
      <c r="J3" t="s">
        <v>104</v>
      </c>
      <c r="K3">
        <v>1010</v>
      </c>
      <c r="L3">
        <v>101000</v>
      </c>
      <c r="M3" t="s">
        <v>105</v>
      </c>
      <c r="N3" s="98">
        <v>821676</v>
      </c>
      <c r="O3" s="98">
        <v>956490.83</v>
      </c>
      <c r="P3" s="98">
        <v>-134814.82999999999</v>
      </c>
      <c r="Q3" s="98">
        <v>134814.82999999999</v>
      </c>
    </row>
    <row r="4" spans="1:17" x14ac:dyDescent="0.35">
      <c r="A4" t="s">
        <v>108</v>
      </c>
      <c r="B4" t="s">
        <v>109</v>
      </c>
      <c r="C4">
        <v>3</v>
      </c>
      <c r="D4" t="s">
        <v>23</v>
      </c>
      <c r="E4" t="s">
        <v>100</v>
      </c>
      <c r="F4" t="s">
        <v>101</v>
      </c>
      <c r="G4">
        <v>254</v>
      </c>
      <c r="H4" t="s">
        <v>102</v>
      </c>
      <c r="I4" t="s">
        <v>103</v>
      </c>
      <c r="J4" t="s">
        <v>104</v>
      </c>
      <c r="K4">
        <v>1010</v>
      </c>
      <c r="L4">
        <v>101000</v>
      </c>
      <c r="M4" t="s">
        <v>105</v>
      </c>
      <c r="N4" s="98">
        <v>821676</v>
      </c>
      <c r="O4" s="98">
        <v>923021.33</v>
      </c>
      <c r="P4" s="98">
        <v>-101345.33</v>
      </c>
      <c r="Q4" s="98">
        <v>101345.33</v>
      </c>
    </row>
    <row r="5" spans="1:17" x14ac:dyDescent="0.35">
      <c r="A5" t="s">
        <v>110</v>
      </c>
      <c r="B5" t="s">
        <v>111</v>
      </c>
      <c r="C5">
        <v>4</v>
      </c>
      <c r="D5" t="s">
        <v>23</v>
      </c>
      <c r="E5" t="s">
        <v>100</v>
      </c>
      <c r="F5" t="s">
        <v>101</v>
      </c>
      <c r="G5">
        <v>254</v>
      </c>
      <c r="H5" t="s">
        <v>102</v>
      </c>
      <c r="I5" t="s">
        <v>103</v>
      </c>
      <c r="J5" t="s">
        <v>104</v>
      </c>
      <c r="K5">
        <v>1010</v>
      </c>
      <c r="L5">
        <v>101000</v>
      </c>
      <c r="M5" t="s">
        <v>105</v>
      </c>
      <c r="N5" s="98">
        <v>821676</v>
      </c>
      <c r="O5" s="98">
        <v>804796.85</v>
      </c>
      <c r="P5" s="98">
        <v>16879.150000000001</v>
      </c>
      <c r="Q5" s="98">
        <v>-16879.150000000001</v>
      </c>
    </row>
    <row r="6" spans="1:17" x14ac:dyDescent="0.35">
      <c r="A6" t="s">
        <v>112</v>
      </c>
      <c r="B6" t="s">
        <v>113</v>
      </c>
      <c r="C6">
        <v>5</v>
      </c>
      <c r="D6" t="s">
        <v>27</v>
      </c>
      <c r="E6" t="s">
        <v>100</v>
      </c>
      <c r="F6" t="s">
        <v>101</v>
      </c>
      <c r="G6">
        <v>254</v>
      </c>
      <c r="H6" t="s">
        <v>102</v>
      </c>
      <c r="I6" t="s">
        <v>103</v>
      </c>
      <c r="J6" t="s">
        <v>104</v>
      </c>
      <c r="K6">
        <v>1010</v>
      </c>
      <c r="L6">
        <v>101000</v>
      </c>
      <c r="M6" t="s">
        <v>105</v>
      </c>
      <c r="N6" s="98">
        <v>857162</v>
      </c>
      <c r="O6" s="98">
        <v>920235.95</v>
      </c>
      <c r="P6" s="98">
        <v>-63073.95</v>
      </c>
      <c r="Q6" s="98">
        <v>63073.95</v>
      </c>
    </row>
    <row r="7" spans="1:17" x14ac:dyDescent="0.35">
      <c r="A7" t="s">
        <v>114</v>
      </c>
      <c r="B7" t="s">
        <v>115</v>
      </c>
      <c r="C7">
        <v>6</v>
      </c>
      <c r="D7" t="s">
        <v>27</v>
      </c>
      <c r="E7" t="s">
        <v>100</v>
      </c>
      <c r="F7" t="s">
        <v>101</v>
      </c>
      <c r="G7">
        <v>254</v>
      </c>
      <c r="H7" t="s">
        <v>102</v>
      </c>
      <c r="I7" t="s">
        <v>103</v>
      </c>
      <c r="J7" t="s">
        <v>104</v>
      </c>
      <c r="K7">
        <v>1010</v>
      </c>
      <c r="L7">
        <v>101000</v>
      </c>
      <c r="M7" t="s">
        <v>105</v>
      </c>
      <c r="N7" s="98">
        <v>-126322</v>
      </c>
      <c r="O7" s="98">
        <v>111858.5</v>
      </c>
      <c r="P7" s="98">
        <v>-238180.5</v>
      </c>
      <c r="Q7" s="98">
        <v>238180.5</v>
      </c>
    </row>
    <row r="8" spans="1:17" x14ac:dyDescent="0.35">
      <c r="A8" t="s">
        <v>116</v>
      </c>
      <c r="B8" t="s">
        <v>117</v>
      </c>
      <c r="C8">
        <v>7</v>
      </c>
      <c r="D8" t="s">
        <v>27</v>
      </c>
      <c r="E8" t="s">
        <v>100</v>
      </c>
      <c r="F8" t="s">
        <v>101</v>
      </c>
      <c r="G8">
        <v>254</v>
      </c>
      <c r="H8" t="s">
        <v>102</v>
      </c>
      <c r="I8" t="s">
        <v>103</v>
      </c>
      <c r="J8" t="s">
        <v>104</v>
      </c>
      <c r="K8">
        <v>1010</v>
      </c>
      <c r="L8">
        <v>101000</v>
      </c>
      <c r="M8" t="s">
        <v>105</v>
      </c>
      <c r="N8" s="98">
        <v>857144</v>
      </c>
      <c r="O8" s="98">
        <v>953189.12</v>
      </c>
      <c r="P8" s="98">
        <v>-96045.119999999995</v>
      </c>
      <c r="Q8" s="98">
        <v>96045.119999999995</v>
      </c>
    </row>
    <row r="9" spans="1:17" x14ac:dyDescent="0.35">
      <c r="A9" t="s">
        <v>118</v>
      </c>
      <c r="B9" t="s">
        <v>119</v>
      </c>
      <c r="C9">
        <v>8</v>
      </c>
      <c r="D9" t="s">
        <v>27</v>
      </c>
      <c r="E9" t="s">
        <v>100</v>
      </c>
      <c r="F9" t="s">
        <v>101</v>
      </c>
      <c r="G9">
        <v>254</v>
      </c>
      <c r="H9" t="s">
        <v>102</v>
      </c>
      <c r="I9" t="s">
        <v>103</v>
      </c>
      <c r="J9" t="s">
        <v>104</v>
      </c>
      <c r="K9">
        <v>1010</v>
      </c>
      <c r="L9">
        <v>101000</v>
      </c>
      <c r="M9" t="s">
        <v>105</v>
      </c>
      <c r="N9" s="98">
        <v>857162</v>
      </c>
      <c r="O9" s="98">
        <v>877293.69</v>
      </c>
      <c r="P9" s="98">
        <v>-20131.689999999999</v>
      </c>
      <c r="Q9" s="98">
        <v>20131.689999999999</v>
      </c>
    </row>
    <row r="10" spans="1:17" x14ac:dyDescent="0.35">
      <c r="A10" t="s">
        <v>120</v>
      </c>
      <c r="B10" t="s">
        <v>121</v>
      </c>
      <c r="C10">
        <v>9</v>
      </c>
      <c r="D10" t="s">
        <v>30</v>
      </c>
      <c r="E10" t="s">
        <v>5</v>
      </c>
      <c r="F10" t="s">
        <v>101</v>
      </c>
      <c r="G10">
        <v>254</v>
      </c>
      <c r="H10" t="s">
        <v>102</v>
      </c>
      <c r="I10" t="s">
        <v>103</v>
      </c>
      <c r="J10" t="s">
        <v>104</v>
      </c>
      <c r="K10">
        <v>1010</v>
      </c>
      <c r="L10">
        <v>101000</v>
      </c>
      <c r="M10" t="s">
        <v>105</v>
      </c>
      <c r="N10" s="98">
        <v>857162</v>
      </c>
      <c r="O10" s="98">
        <v>0</v>
      </c>
      <c r="P10" s="98">
        <v>0</v>
      </c>
      <c r="Q10" s="98">
        <v>-857162</v>
      </c>
    </row>
    <row r="11" spans="1:17" x14ac:dyDescent="0.35">
      <c r="A11" t="s">
        <v>122</v>
      </c>
      <c r="B11" t="s">
        <v>123</v>
      </c>
      <c r="C11">
        <v>10</v>
      </c>
      <c r="D11" t="s">
        <v>30</v>
      </c>
      <c r="E11" t="s">
        <v>5</v>
      </c>
      <c r="F11" t="s">
        <v>101</v>
      </c>
      <c r="G11">
        <v>254</v>
      </c>
      <c r="H11" t="s">
        <v>102</v>
      </c>
      <c r="I11" t="s">
        <v>103</v>
      </c>
      <c r="J11" t="s">
        <v>104</v>
      </c>
      <c r="K11">
        <v>1010</v>
      </c>
      <c r="L11">
        <v>101000</v>
      </c>
      <c r="M11" t="s">
        <v>105</v>
      </c>
      <c r="N11" s="98">
        <v>857162</v>
      </c>
      <c r="O11" s="98">
        <v>0</v>
      </c>
      <c r="P11" s="98">
        <v>0</v>
      </c>
      <c r="Q11" s="98">
        <v>-857162</v>
      </c>
    </row>
    <row r="12" spans="1:17" x14ac:dyDescent="0.35">
      <c r="A12" t="s">
        <v>124</v>
      </c>
      <c r="B12" t="s">
        <v>125</v>
      </c>
      <c r="C12">
        <v>11</v>
      </c>
      <c r="D12" t="s">
        <v>30</v>
      </c>
      <c r="E12" t="s">
        <v>5</v>
      </c>
      <c r="F12" t="s">
        <v>101</v>
      </c>
      <c r="G12">
        <v>254</v>
      </c>
      <c r="H12" t="s">
        <v>102</v>
      </c>
      <c r="I12" t="s">
        <v>103</v>
      </c>
      <c r="J12" t="s">
        <v>104</v>
      </c>
      <c r="K12">
        <v>1010</v>
      </c>
      <c r="L12">
        <v>101000</v>
      </c>
      <c r="M12" t="s">
        <v>105</v>
      </c>
      <c r="N12" s="98">
        <v>857162</v>
      </c>
      <c r="O12" s="98">
        <v>0</v>
      </c>
      <c r="P12" s="98">
        <v>0</v>
      </c>
      <c r="Q12" s="98">
        <v>-857162</v>
      </c>
    </row>
    <row r="13" spans="1:17" x14ac:dyDescent="0.35">
      <c r="A13" t="s">
        <v>126</v>
      </c>
      <c r="B13" t="s">
        <v>127</v>
      </c>
      <c r="C13">
        <v>12</v>
      </c>
      <c r="D13" t="s">
        <v>30</v>
      </c>
      <c r="E13" t="s">
        <v>5</v>
      </c>
      <c r="F13" t="s">
        <v>101</v>
      </c>
      <c r="G13">
        <v>254</v>
      </c>
      <c r="H13" t="s">
        <v>102</v>
      </c>
      <c r="I13" t="s">
        <v>103</v>
      </c>
      <c r="J13" t="s">
        <v>104</v>
      </c>
      <c r="K13">
        <v>1010</v>
      </c>
      <c r="L13">
        <v>101000</v>
      </c>
      <c r="M13" t="s">
        <v>105</v>
      </c>
      <c r="N13" s="98">
        <v>857364</v>
      </c>
      <c r="O13" s="98">
        <v>0</v>
      </c>
      <c r="P13" s="98">
        <v>0</v>
      </c>
      <c r="Q13" s="98">
        <v>-857364</v>
      </c>
    </row>
    <row r="14" spans="1:17" x14ac:dyDescent="0.35">
      <c r="A14" t="s">
        <v>98</v>
      </c>
      <c r="B14" t="s">
        <v>99</v>
      </c>
      <c r="C14">
        <v>1</v>
      </c>
      <c r="D14" t="s">
        <v>23</v>
      </c>
      <c r="E14" t="s">
        <v>100</v>
      </c>
      <c r="F14" t="s">
        <v>101</v>
      </c>
      <c r="G14">
        <v>254</v>
      </c>
      <c r="H14" t="s">
        <v>102</v>
      </c>
      <c r="I14" t="s">
        <v>103</v>
      </c>
      <c r="J14" t="s">
        <v>104</v>
      </c>
      <c r="K14">
        <v>1010</v>
      </c>
      <c r="L14">
        <v>101030</v>
      </c>
      <c r="M14" t="s">
        <v>128</v>
      </c>
      <c r="N14" s="98">
        <v>56644</v>
      </c>
      <c r="O14" s="98">
        <v>36599.82</v>
      </c>
      <c r="P14" s="98">
        <v>20044.18</v>
      </c>
      <c r="Q14" s="98">
        <v>-20044.18</v>
      </c>
    </row>
    <row r="15" spans="1:17" x14ac:dyDescent="0.35">
      <c r="A15" t="s">
        <v>106</v>
      </c>
      <c r="B15" t="s">
        <v>107</v>
      </c>
      <c r="C15">
        <v>2</v>
      </c>
      <c r="D15" t="s">
        <v>23</v>
      </c>
      <c r="E15" t="s">
        <v>100</v>
      </c>
      <c r="F15" t="s">
        <v>101</v>
      </c>
      <c r="G15">
        <v>254</v>
      </c>
      <c r="H15" t="s">
        <v>102</v>
      </c>
      <c r="I15" t="s">
        <v>103</v>
      </c>
      <c r="J15" t="s">
        <v>104</v>
      </c>
      <c r="K15">
        <v>1010</v>
      </c>
      <c r="L15">
        <v>101030</v>
      </c>
      <c r="M15" t="s">
        <v>128</v>
      </c>
      <c r="N15" s="98">
        <v>56644</v>
      </c>
      <c r="O15" s="98">
        <v>70150.5</v>
      </c>
      <c r="P15" s="98">
        <v>-13506.5</v>
      </c>
      <c r="Q15" s="98">
        <v>13506.5</v>
      </c>
    </row>
    <row r="16" spans="1:17" x14ac:dyDescent="0.35">
      <c r="A16" t="s">
        <v>108</v>
      </c>
      <c r="B16" t="s">
        <v>109</v>
      </c>
      <c r="C16">
        <v>3</v>
      </c>
      <c r="D16" t="s">
        <v>23</v>
      </c>
      <c r="E16" t="s">
        <v>100</v>
      </c>
      <c r="F16" t="s">
        <v>101</v>
      </c>
      <c r="G16">
        <v>254</v>
      </c>
      <c r="H16" t="s">
        <v>102</v>
      </c>
      <c r="I16" t="s">
        <v>103</v>
      </c>
      <c r="J16" t="s">
        <v>104</v>
      </c>
      <c r="K16">
        <v>1010</v>
      </c>
      <c r="L16">
        <v>101030</v>
      </c>
      <c r="M16" t="s">
        <v>128</v>
      </c>
      <c r="N16" s="98">
        <v>56644</v>
      </c>
      <c r="O16" s="98">
        <v>39979.31</v>
      </c>
      <c r="P16" s="98">
        <v>16664.689999999999</v>
      </c>
      <c r="Q16" s="98">
        <v>-16664.689999999999</v>
      </c>
    </row>
    <row r="17" spans="1:17" x14ac:dyDescent="0.35">
      <c r="A17" t="s">
        <v>110</v>
      </c>
      <c r="B17" t="s">
        <v>111</v>
      </c>
      <c r="C17">
        <v>4</v>
      </c>
      <c r="D17" t="s">
        <v>23</v>
      </c>
      <c r="E17" t="s">
        <v>100</v>
      </c>
      <c r="F17" t="s">
        <v>101</v>
      </c>
      <c r="G17">
        <v>254</v>
      </c>
      <c r="H17" t="s">
        <v>102</v>
      </c>
      <c r="I17" t="s">
        <v>103</v>
      </c>
      <c r="J17" t="s">
        <v>104</v>
      </c>
      <c r="K17">
        <v>1010</v>
      </c>
      <c r="L17">
        <v>101030</v>
      </c>
      <c r="M17" t="s">
        <v>128</v>
      </c>
      <c r="N17" s="98">
        <v>56644</v>
      </c>
      <c r="O17" s="98">
        <v>48274.93</v>
      </c>
      <c r="P17" s="98">
        <v>8369.07</v>
      </c>
      <c r="Q17" s="98">
        <v>-8369.07</v>
      </c>
    </row>
    <row r="18" spans="1:17" x14ac:dyDescent="0.35">
      <c r="A18" t="s">
        <v>112</v>
      </c>
      <c r="B18" t="s">
        <v>113</v>
      </c>
      <c r="C18">
        <v>5</v>
      </c>
      <c r="D18" t="s">
        <v>27</v>
      </c>
      <c r="E18" t="s">
        <v>100</v>
      </c>
      <c r="F18" t="s">
        <v>101</v>
      </c>
      <c r="G18">
        <v>254</v>
      </c>
      <c r="H18" t="s">
        <v>102</v>
      </c>
      <c r="I18" t="s">
        <v>103</v>
      </c>
      <c r="J18" t="s">
        <v>104</v>
      </c>
      <c r="K18">
        <v>1010</v>
      </c>
      <c r="L18">
        <v>101030</v>
      </c>
      <c r="M18" t="s">
        <v>128</v>
      </c>
      <c r="N18" s="98">
        <v>56644</v>
      </c>
      <c r="O18" s="98">
        <v>47870.48</v>
      </c>
      <c r="P18" s="98">
        <v>8773.52</v>
      </c>
      <c r="Q18" s="98">
        <v>-8773.52</v>
      </c>
    </row>
    <row r="19" spans="1:17" x14ac:dyDescent="0.35">
      <c r="A19" t="s">
        <v>114</v>
      </c>
      <c r="B19" t="s">
        <v>115</v>
      </c>
      <c r="C19">
        <v>6</v>
      </c>
      <c r="D19" t="s">
        <v>27</v>
      </c>
      <c r="E19" t="s">
        <v>100</v>
      </c>
      <c r="F19" t="s">
        <v>101</v>
      </c>
      <c r="G19">
        <v>254</v>
      </c>
      <c r="H19" t="s">
        <v>102</v>
      </c>
      <c r="I19" t="s">
        <v>103</v>
      </c>
      <c r="J19" t="s">
        <v>104</v>
      </c>
      <c r="K19">
        <v>1010</v>
      </c>
      <c r="L19">
        <v>101030</v>
      </c>
      <c r="M19" t="s">
        <v>128</v>
      </c>
      <c r="N19" s="98">
        <v>56644</v>
      </c>
      <c r="O19" s="98">
        <v>-6962.54</v>
      </c>
      <c r="P19" s="98">
        <v>63606.54</v>
      </c>
      <c r="Q19" s="98">
        <v>-63606.54</v>
      </c>
    </row>
    <row r="20" spans="1:17" x14ac:dyDescent="0.35">
      <c r="A20" t="s">
        <v>116</v>
      </c>
      <c r="B20" t="s">
        <v>117</v>
      </c>
      <c r="C20">
        <v>7</v>
      </c>
      <c r="D20" t="s">
        <v>27</v>
      </c>
      <c r="E20" t="s">
        <v>100</v>
      </c>
      <c r="F20" t="s">
        <v>101</v>
      </c>
      <c r="G20">
        <v>254</v>
      </c>
      <c r="H20" t="s">
        <v>102</v>
      </c>
      <c r="I20" t="s">
        <v>103</v>
      </c>
      <c r="J20" t="s">
        <v>104</v>
      </c>
      <c r="K20">
        <v>1010</v>
      </c>
      <c r="L20">
        <v>101030</v>
      </c>
      <c r="M20" t="s">
        <v>128</v>
      </c>
      <c r="N20" s="98">
        <v>56644</v>
      </c>
      <c r="O20" s="98">
        <v>43842.94</v>
      </c>
      <c r="P20" s="98">
        <v>12801.06</v>
      </c>
      <c r="Q20" s="98">
        <v>-12801.06</v>
      </c>
    </row>
    <row r="21" spans="1:17" x14ac:dyDescent="0.35">
      <c r="A21" t="s">
        <v>118</v>
      </c>
      <c r="B21" t="s">
        <v>119</v>
      </c>
      <c r="C21">
        <v>8</v>
      </c>
      <c r="D21" t="s">
        <v>27</v>
      </c>
      <c r="E21" t="s">
        <v>100</v>
      </c>
      <c r="F21" t="s">
        <v>101</v>
      </c>
      <c r="G21">
        <v>254</v>
      </c>
      <c r="H21" t="s">
        <v>102</v>
      </c>
      <c r="I21" t="s">
        <v>103</v>
      </c>
      <c r="J21" t="s">
        <v>104</v>
      </c>
      <c r="K21">
        <v>1010</v>
      </c>
      <c r="L21">
        <v>101030</v>
      </c>
      <c r="M21" t="s">
        <v>128</v>
      </c>
      <c r="N21" s="98">
        <v>56644</v>
      </c>
      <c r="O21" s="98">
        <v>44006.01</v>
      </c>
      <c r="P21" s="98">
        <v>12637.99</v>
      </c>
      <c r="Q21" s="98">
        <v>-12637.99</v>
      </c>
    </row>
    <row r="22" spans="1:17" x14ac:dyDescent="0.35">
      <c r="A22" t="s">
        <v>120</v>
      </c>
      <c r="B22" t="s">
        <v>121</v>
      </c>
      <c r="C22">
        <v>9</v>
      </c>
      <c r="D22" t="s">
        <v>30</v>
      </c>
      <c r="E22" t="s">
        <v>5</v>
      </c>
      <c r="F22" t="s">
        <v>101</v>
      </c>
      <c r="G22">
        <v>254</v>
      </c>
      <c r="H22" t="s">
        <v>102</v>
      </c>
      <c r="I22" t="s">
        <v>103</v>
      </c>
      <c r="J22" t="s">
        <v>104</v>
      </c>
      <c r="K22">
        <v>1010</v>
      </c>
      <c r="L22">
        <v>101030</v>
      </c>
      <c r="M22" t="s">
        <v>128</v>
      </c>
      <c r="N22" s="98">
        <v>56644</v>
      </c>
      <c r="O22" s="98">
        <v>0</v>
      </c>
      <c r="P22" s="98">
        <v>0</v>
      </c>
      <c r="Q22" s="98">
        <v>-56644</v>
      </c>
    </row>
    <row r="23" spans="1:17" x14ac:dyDescent="0.35">
      <c r="A23" t="s">
        <v>122</v>
      </c>
      <c r="B23" t="s">
        <v>123</v>
      </c>
      <c r="C23">
        <v>10</v>
      </c>
      <c r="D23" t="s">
        <v>30</v>
      </c>
      <c r="E23" t="s">
        <v>5</v>
      </c>
      <c r="F23" t="s">
        <v>101</v>
      </c>
      <c r="G23">
        <v>254</v>
      </c>
      <c r="H23" t="s">
        <v>102</v>
      </c>
      <c r="I23" t="s">
        <v>103</v>
      </c>
      <c r="J23" t="s">
        <v>104</v>
      </c>
      <c r="K23">
        <v>1010</v>
      </c>
      <c r="L23">
        <v>101030</v>
      </c>
      <c r="M23" t="s">
        <v>128</v>
      </c>
      <c r="N23" s="98">
        <v>56644</v>
      </c>
      <c r="O23" s="98">
        <v>0</v>
      </c>
      <c r="P23" s="98">
        <v>0</v>
      </c>
      <c r="Q23" s="98">
        <v>-56644</v>
      </c>
    </row>
    <row r="24" spans="1:17" x14ac:dyDescent="0.35">
      <c r="A24" t="s">
        <v>124</v>
      </c>
      <c r="B24" t="s">
        <v>125</v>
      </c>
      <c r="C24">
        <v>11</v>
      </c>
      <c r="D24" t="s">
        <v>30</v>
      </c>
      <c r="E24" t="s">
        <v>5</v>
      </c>
      <c r="F24" t="s">
        <v>101</v>
      </c>
      <c r="G24">
        <v>254</v>
      </c>
      <c r="H24" t="s">
        <v>102</v>
      </c>
      <c r="I24" t="s">
        <v>103</v>
      </c>
      <c r="J24" t="s">
        <v>104</v>
      </c>
      <c r="K24">
        <v>1010</v>
      </c>
      <c r="L24">
        <v>101030</v>
      </c>
      <c r="M24" t="s">
        <v>128</v>
      </c>
      <c r="N24" s="98">
        <v>56644</v>
      </c>
      <c r="O24" s="98">
        <v>0</v>
      </c>
      <c r="P24" s="98">
        <v>0</v>
      </c>
      <c r="Q24" s="98">
        <v>-56644</v>
      </c>
    </row>
    <row r="25" spans="1:17" x14ac:dyDescent="0.35">
      <c r="A25" t="s">
        <v>126</v>
      </c>
      <c r="B25" t="s">
        <v>127</v>
      </c>
      <c r="C25">
        <v>12</v>
      </c>
      <c r="D25" t="s">
        <v>30</v>
      </c>
      <c r="E25" t="s">
        <v>5</v>
      </c>
      <c r="F25" t="s">
        <v>101</v>
      </c>
      <c r="G25">
        <v>254</v>
      </c>
      <c r="H25" t="s">
        <v>102</v>
      </c>
      <c r="I25" t="s">
        <v>103</v>
      </c>
      <c r="J25" t="s">
        <v>104</v>
      </c>
      <c r="K25">
        <v>1010</v>
      </c>
      <c r="L25">
        <v>101030</v>
      </c>
      <c r="M25" t="s">
        <v>128</v>
      </c>
      <c r="N25" s="98">
        <v>56916</v>
      </c>
      <c r="O25" s="98">
        <v>0</v>
      </c>
      <c r="P25" s="98">
        <v>0</v>
      </c>
      <c r="Q25" s="98">
        <v>-56916</v>
      </c>
    </row>
    <row r="26" spans="1:17" x14ac:dyDescent="0.35">
      <c r="A26" t="s">
        <v>98</v>
      </c>
      <c r="B26" t="s">
        <v>99</v>
      </c>
      <c r="C26">
        <v>1</v>
      </c>
      <c r="D26" t="s">
        <v>23</v>
      </c>
      <c r="E26" t="s">
        <v>100</v>
      </c>
      <c r="F26" t="s">
        <v>101</v>
      </c>
      <c r="G26">
        <v>254</v>
      </c>
      <c r="H26" t="s">
        <v>102</v>
      </c>
      <c r="I26" t="s">
        <v>103</v>
      </c>
      <c r="J26" t="s">
        <v>104</v>
      </c>
      <c r="K26">
        <v>1010</v>
      </c>
      <c r="L26">
        <v>101031</v>
      </c>
      <c r="M26" t="s">
        <v>129</v>
      </c>
      <c r="N26" s="98">
        <v>70447</v>
      </c>
      <c r="O26" s="98">
        <v>63095.38</v>
      </c>
      <c r="P26" s="98">
        <v>7351.62</v>
      </c>
      <c r="Q26" s="98">
        <v>-7351.62</v>
      </c>
    </row>
    <row r="27" spans="1:17" x14ac:dyDescent="0.35">
      <c r="A27" t="s">
        <v>106</v>
      </c>
      <c r="B27" t="s">
        <v>107</v>
      </c>
      <c r="C27">
        <v>2</v>
      </c>
      <c r="D27" t="s">
        <v>23</v>
      </c>
      <c r="E27" t="s">
        <v>100</v>
      </c>
      <c r="F27" t="s">
        <v>101</v>
      </c>
      <c r="G27">
        <v>254</v>
      </c>
      <c r="H27" t="s">
        <v>102</v>
      </c>
      <c r="I27" t="s">
        <v>103</v>
      </c>
      <c r="J27" t="s">
        <v>104</v>
      </c>
      <c r="K27">
        <v>1010</v>
      </c>
      <c r="L27">
        <v>101031</v>
      </c>
      <c r="M27" t="s">
        <v>129</v>
      </c>
      <c r="N27" s="98">
        <v>70447</v>
      </c>
      <c r="O27" s="98">
        <v>70583.67</v>
      </c>
      <c r="P27" s="98">
        <v>-136.66999999999999</v>
      </c>
      <c r="Q27" s="98">
        <v>136.66999999999999</v>
      </c>
    </row>
    <row r="28" spans="1:17" x14ac:dyDescent="0.35">
      <c r="A28" t="s">
        <v>108</v>
      </c>
      <c r="B28" t="s">
        <v>109</v>
      </c>
      <c r="C28">
        <v>3</v>
      </c>
      <c r="D28" t="s">
        <v>23</v>
      </c>
      <c r="E28" t="s">
        <v>100</v>
      </c>
      <c r="F28" t="s">
        <v>101</v>
      </c>
      <c r="G28">
        <v>254</v>
      </c>
      <c r="H28" t="s">
        <v>102</v>
      </c>
      <c r="I28" t="s">
        <v>103</v>
      </c>
      <c r="J28" t="s">
        <v>104</v>
      </c>
      <c r="K28">
        <v>1010</v>
      </c>
      <c r="L28">
        <v>101031</v>
      </c>
      <c r="M28" t="s">
        <v>129</v>
      </c>
      <c r="N28" s="98">
        <v>70447</v>
      </c>
      <c r="O28" s="98">
        <v>64251.839999999997</v>
      </c>
      <c r="P28" s="98">
        <v>6195.16</v>
      </c>
      <c r="Q28" s="98">
        <v>-6195.16</v>
      </c>
    </row>
    <row r="29" spans="1:17" x14ac:dyDescent="0.35">
      <c r="A29" t="s">
        <v>110</v>
      </c>
      <c r="B29" t="s">
        <v>111</v>
      </c>
      <c r="C29">
        <v>4</v>
      </c>
      <c r="D29" t="s">
        <v>23</v>
      </c>
      <c r="E29" t="s">
        <v>100</v>
      </c>
      <c r="F29" t="s">
        <v>101</v>
      </c>
      <c r="G29">
        <v>254</v>
      </c>
      <c r="H29" t="s">
        <v>102</v>
      </c>
      <c r="I29" t="s">
        <v>103</v>
      </c>
      <c r="J29" t="s">
        <v>104</v>
      </c>
      <c r="K29">
        <v>1010</v>
      </c>
      <c r="L29">
        <v>101031</v>
      </c>
      <c r="M29" t="s">
        <v>129</v>
      </c>
      <c r="N29" s="98">
        <v>70447</v>
      </c>
      <c r="O29" s="98">
        <v>84135.94</v>
      </c>
      <c r="P29" s="98">
        <v>-13688.94</v>
      </c>
      <c r="Q29" s="98">
        <v>13688.94</v>
      </c>
    </row>
    <row r="30" spans="1:17" x14ac:dyDescent="0.35">
      <c r="A30" t="s">
        <v>112</v>
      </c>
      <c r="B30" t="s">
        <v>113</v>
      </c>
      <c r="C30">
        <v>5</v>
      </c>
      <c r="D30" t="s">
        <v>27</v>
      </c>
      <c r="E30" t="s">
        <v>100</v>
      </c>
      <c r="F30" t="s">
        <v>101</v>
      </c>
      <c r="G30">
        <v>254</v>
      </c>
      <c r="H30" t="s">
        <v>102</v>
      </c>
      <c r="I30" t="s">
        <v>103</v>
      </c>
      <c r="J30" t="s">
        <v>104</v>
      </c>
      <c r="K30">
        <v>1010</v>
      </c>
      <c r="L30">
        <v>101031</v>
      </c>
      <c r="M30" t="s">
        <v>129</v>
      </c>
      <c r="N30" s="98">
        <v>70447</v>
      </c>
      <c r="O30" s="98">
        <v>79057.960000000006</v>
      </c>
      <c r="P30" s="98">
        <v>-8610.9599999999991</v>
      </c>
      <c r="Q30" s="98">
        <v>8610.9599999999991</v>
      </c>
    </row>
    <row r="31" spans="1:17" x14ac:dyDescent="0.35">
      <c r="A31" t="s">
        <v>114</v>
      </c>
      <c r="B31" t="s">
        <v>115</v>
      </c>
      <c r="C31">
        <v>6</v>
      </c>
      <c r="D31" t="s">
        <v>27</v>
      </c>
      <c r="E31" t="s">
        <v>100</v>
      </c>
      <c r="F31" t="s">
        <v>101</v>
      </c>
      <c r="G31">
        <v>254</v>
      </c>
      <c r="H31" t="s">
        <v>102</v>
      </c>
      <c r="I31" t="s">
        <v>103</v>
      </c>
      <c r="J31" t="s">
        <v>104</v>
      </c>
      <c r="K31">
        <v>1010</v>
      </c>
      <c r="L31">
        <v>101031</v>
      </c>
      <c r="M31" t="s">
        <v>129</v>
      </c>
      <c r="N31" s="98">
        <v>70447</v>
      </c>
      <c r="O31" s="98">
        <v>-14989.09</v>
      </c>
      <c r="P31" s="98">
        <v>85436.09</v>
      </c>
      <c r="Q31" s="98">
        <v>-85436.09</v>
      </c>
    </row>
    <row r="32" spans="1:17" x14ac:dyDescent="0.35">
      <c r="A32" t="s">
        <v>116</v>
      </c>
      <c r="B32" t="s">
        <v>117</v>
      </c>
      <c r="C32">
        <v>7</v>
      </c>
      <c r="D32" t="s">
        <v>27</v>
      </c>
      <c r="E32" t="s">
        <v>100</v>
      </c>
      <c r="F32" t="s">
        <v>101</v>
      </c>
      <c r="G32">
        <v>254</v>
      </c>
      <c r="H32" t="s">
        <v>102</v>
      </c>
      <c r="I32" t="s">
        <v>103</v>
      </c>
      <c r="J32" t="s">
        <v>104</v>
      </c>
      <c r="K32">
        <v>1010</v>
      </c>
      <c r="L32">
        <v>101031</v>
      </c>
      <c r="M32" t="s">
        <v>129</v>
      </c>
      <c r="N32" s="98">
        <v>70447</v>
      </c>
      <c r="O32" s="98">
        <v>66994.64</v>
      </c>
      <c r="P32" s="98">
        <v>3452.36</v>
      </c>
      <c r="Q32" s="98">
        <v>-3452.36</v>
      </c>
    </row>
    <row r="33" spans="1:17" x14ac:dyDescent="0.35">
      <c r="A33" t="s">
        <v>118</v>
      </c>
      <c r="B33" t="s">
        <v>119</v>
      </c>
      <c r="C33">
        <v>8</v>
      </c>
      <c r="D33" t="s">
        <v>27</v>
      </c>
      <c r="E33" t="s">
        <v>100</v>
      </c>
      <c r="F33" t="s">
        <v>101</v>
      </c>
      <c r="G33">
        <v>254</v>
      </c>
      <c r="H33" t="s">
        <v>102</v>
      </c>
      <c r="I33" t="s">
        <v>103</v>
      </c>
      <c r="J33" t="s">
        <v>104</v>
      </c>
      <c r="K33">
        <v>1010</v>
      </c>
      <c r="L33">
        <v>101031</v>
      </c>
      <c r="M33" t="s">
        <v>129</v>
      </c>
      <c r="N33" s="98">
        <v>70447</v>
      </c>
      <c r="O33" s="98">
        <v>68899.92</v>
      </c>
      <c r="P33" s="98">
        <v>1547.08</v>
      </c>
      <c r="Q33" s="98">
        <v>-1547.08</v>
      </c>
    </row>
    <row r="34" spans="1:17" x14ac:dyDescent="0.35">
      <c r="A34" t="s">
        <v>120</v>
      </c>
      <c r="B34" t="s">
        <v>121</v>
      </c>
      <c r="C34">
        <v>9</v>
      </c>
      <c r="D34" t="s">
        <v>30</v>
      </c>
      <c r="E34" t="s">
        <v>5</v>
      </c>
      <c r="F34" t="s">
        <v>101</v>
      </c>
      <c r="G34">
        <v>254</v>
      </c>
      <c r="H34" t="s">
        <v>102</v>
      </c>
      <c r="I34" t="s">
        <v>103</v>
      </c>
      <c r="J34" t="s">
        <v>104</v>
      </c>
      <c r="K34">
        <v>1010</v>
      </c>
      <c r="L34">
        <v>101031</v>
      </c>
      <c r="M34" t="s">
        <v>129</v>
      </c>
      <c r="N34" s="98">
        <v>70447</v>
      </c>
      <c r="O34" s="98">
        <v>0</v>
      </c>
      <c r="P34" s="98">
        <v>0</v>
      </c>
      <c r="Q34" s="98">
        <v>-70447</v>
      </c>
    </row>
    <row r="35" spans="1:17" x14ac:dyDescent="0.35">
      <c r="A35" t="s">
        <v>122</v>
      </c>
      <c r="B35" t="s">
        <v>123</v>
      </c>
      <c r="C35">
        <v>10</v>
      </c>
      <c r="D35" t="s">
        <v>30</v>
      </c>
      <c r="E35" t="s">
        <v>5</v>
      </c>
      <c r="F35" t="s">
        <v>101</v>
      </c>
      <c r="G35">
        <v>254</v>
      </c>
      <c r="H35" t="s">
        <v>102</v>
      </c>
      <c r="I35" t="s">
        <v>103</v>
      </c>
      <c r="J35" t="s">
        <v>104</v>
      </c>
      <c r="K35">
        <v>1010</v>
      </c>
      <c r="L35">
        <v>101031</v>
      </c>
      <c r="M35" t="s">
        <v>129</v>
      </c>
      <c r="N35" s="98">
        <v>70447</v>
      </c>
      <c r="O35" s="98">
        <v>0</v>
      </c>
      <c r="P35" s="98">
        <v>0</v>
      </c>
      <c r="Q35" s="98">
        <v>-70447</v>
      </c>
    </row>
    <row r="36" spans="1:17" x14ac:dyDescent="0.35">
      <c r="A36" t="s">
        <v>124</v>
      </c>
      <c r="B36" t="s">
        <v>125</v>
      </c>
      <c r="C36">
        <v>11</v>
      </c>
      <c r="D36" t="s">
        <v>30</v>
      </c>
      <c r="E36" t="s">
        <v>5</v>
      </c>
      <c r="F36" t="s">
        <v>101</v>
      </c>
      <c r="G36">
        <v>254</v>
      </c>
      <c r="H36" t="s">
        <v>102</v>
      </c>
      <c r="I36" t="s">
        <v>103</v>
      </c>
      <c r="J36" t="s">
        <v>104</v>
      </c>
      <c r="K36">
        <v>1010</v>
      </c>
      <c r="L36">
        <v>101031</v>
      </c>
      <c r="M36" t="s">
        <v>129</v>
      </c>
      <c r="N36" s="98">
        <v>70447</v>
      </c>
      <c r="O36" s="98">
        <v>0</v>
      </c>
      <c r="P36" s="98">
        <v>0</v>
      </c>
      <c r="Q36" s="98">
        <v>-70447</v>
      </c>
    </row>
    <row r="37" spans="1:17" x14ac:dyDescent="0.35">
      <c r="A37" t="s">
        <v>126</v>
      </c>
      <c r="B37" t="s">
        <v>127</v>
      </c>
      <c r="C37">
        <v>12</v>
      </c>
      <c r="D37" t="s">
        <v>30</v>
      </c>
      <c r="E37" t="s">
        <v>5</v>
      </c>
      <c r="F37" t="s">
        <v>101</v>
      </c>
      <c r="G37">
        <v>254</v>
      </c>
      <c r="H37" t="s">
        <v>102</v>
      </c>
      <c r="I37" t="s">
        <v>103</v>
      </c>
      <c r="J37" t="s">
        <v>104</v>
      </c>
      <c r="K37">
        <v>1010</v>
      </c>
      <c r="L37">
        <v>101031</v>
      </c>
      <c r="M37" t="s">
        <v>129</v>
      </c>
      <c r="N37" s="98">
        <v>70783</v>
      </c>
      <c r="O37" s="98">
        <v>0</v>
      </c>
      <c r="P37" s="98">
        <v>0</v>
      </c>
      <c r="Q37" s="98">
        <v>-70783</v>
      </c>
    </row>
    <row r="38" spans="1:17" x14ac:dyDescent="0.35">
      <c r="A38" t="s">
        <v>98</v>
      </c>
      <c r="B38" t="s">
        <v>99</v>
      </c>
      <c r="C38">
        <v>1</v>
      </c>
      <c r="D38" t="s">
        <v>23</v>
      </c>
      <c r="E38" t="s">
        <v>100</v>
      </c>
      <c r="F38" t="s">
        <v>101</v>
      </c>
      <c r="G38">
        <v>254</v>
      </c>
      <c r="H38" t="s">
        <v>102</v>
      </c>
      <c r="I38" t="s">
        <v>103</v>
      </c>
      <c r="J38" t="s">
        <v>104</v>
      </c>
      <c r="K38">
        <v>1010</v>
      </c>
      <c r="L38">
        <v>101032</v>
      </c>
      <c r="M38" t="s">
        <v>130</v>
      </c>
      <c r="N38" s="98">
        <v>41400</v>
      </c>
      <c r="O38" s="98">
        <v>0</v>
      </c>
      <c r="P38" s="98">
        <v>41400</v>
      </c>
      <c r="Q38" s="98">
        <v>-41400</v>
      </c>
    </row>
    <row r="39" spans="1:17" x14ac:dyDescent="0.35">
      <c r="A39" t="s">
        <v>106</v>
      </c>
      <c r="B39" t="s">
        <v>107</v>
      </c>
      <c r="C39">
        <v>2</v>
      </c>
      <c r="D39" t="s">
        <v>23</v>
      </c>
      <c r="E39" t="s">
        <v>100</v>
      </c>
      <c r="F39" t="s">
        <v>101</v>
      </c>
      <c r="G39">
        <v>254</v>
      </c>
      <c r="H39" t="s">
        <v>102</v>
      </c>
      <c r="I39" t="s">
        <v>103</v>
      </c>
      <c r="J39" t="s">
        <v>104</v>
      </c>
      <c r="K39">
        <v>1010</v>
      </c>
      <c r="L39">
        <v>101032</v>
      </c>
      <c r="M39" t="s">
        <v>130</v>
      </c>
      <c r="N39" s="98">
        <v>69138</v>
      </c>
      <c r="O39" s="98">
        <v>68846.149999999994</v>
      </c>
      <c r="P39" s="98">
        <v>291.85000000000002</v>
      </c>
      <c r="Q39" s="98">
        <v>-291.85000000000002</v>
      </c>
    </row>
    <row r="40" spans="1:17" x14ac:dyDescent="0.35">
      <c r="A40" t="s">
        <v>108</v>
      </c>
      <c r="B40" t="s">
        <v>109</v>
      </c>
      <c r="C40">
        <v>3</v>
      </c>
      <c r="D40" t="s">
        <v>23</v>
      </c>
      <c r="E40" t="s">
        <v>100</v>
      </c>
      <c r="F40" t="s">
        <v>101</v>
      </c>
      <c r="G40">
        <v>254</v>
      </c>
      <c r="H40" t="s">
        <v>102</v>
      </c>
      <c r="I40" t="s">
        <v>103</v>
      </c>
      <c r="J40" t="s">
        <v>104</v>
      </c>
      <c r="K40">
        <v>1010</v>
      </c>
      <c r="L40">
        <v>101032</v>
      </c>
      <c r="M40" t="s">
        <v>130</v>
      </c>
      <c r="N40" s="98">
        <v>0</v>
      </c>
      <c r="O40" s="98">
        <v>0</v>
      </c>
      <c r="P40" s="98">
        <v>0</v>
      </c>
      <c r="Q40" s="98">
        <v>0</v>
      </c>
    </row>
    <row r="41" spans="1:17" x14ac:dyDescent="0.35">
      <c r="A41" t="s">
        <v>110</v>
      </c>
      <c r="B41" t="s">
        <v>111</v>
      </c>
      <c r="C41">
        <v>4</v>
      </c>
      <c r="D41" t="s">
        <v>23</v>
      </c>
      <c r="E41" t="s">
        <v>100</v>
      </c>
      <c r="F41" t="s">
        <v>101</v>
      </c>
      <c r="G41">
        <v>254</v>
      </c>
      <c r="H41" t="s">
        <v>102</v>
      </c>
      <c r="I41" t="s">
        <v>103</v>
      </c>
      <c r="J41" t="s">
        <v>104</v>
      </c>
      <c r="K41">
        <v>1010</v>
      </c>
      <c r="L41">
        <v>101032</v>
      </c>
      <c r="M41" t="s">
        <v>130</v>
      </c>
      <c r="N41" s="98">
        <v>0</v>
      </c>
      <c r="O41" s="98">
        <v>0</v>
      </c>
      <c r="P41" s="98">
        <v>0</v>
      </c>
      <c r="Q41" s="98">
        <v>0</v>
      </c>
    </row>
    <row r="42" spans="1:17" x14ac:dyDescent="0.35">
      <c r="A42" t="s">
        <v>112</v>
      </c>
      <c r="B42" t="s">
        <v>113</v>
      </c>
      <c r="C42">
        <v>5</v>
      </c>
      <c r="D42" t="s">
        <v>27</v>
      </c>
      <c r="E42" t="s">
        <v>100</v>
      </c>
      <c r="F42" t="s">
        <v>101</v>
      </c>
      <c r="G42">
        <v>254</v>
      </c>
      <c r="H42" t="s">
        <v>102</v>
      </c>
      <c r="I42" t="s">
        <v>103</v>
      </c>
      <c r="J42" t="s">
        <v>104</v>
      </c>
      <c r="K42">
        <v>1010</v>
      </c>
      <c r="L42">
        <v>101032</v>
      </c>
      <c r="M42" t="s">
        <v>130</v>
      </c>
      <c r="N42" s="98">
        <v>151524</v>
      </c>
      <c r="O42" s="98">
        <v>124415.44</v>
      </c>
      <c r="P42" s="98">
        <v>27108.560000000001</v>
      </c>
      <c r="Q42" s="98">
        <v>-27108.560000000001</v>
      </c>
    </row>
    <row r="43" spans="1:17" x14ac:dyDescent="0.35">
      <c r="A43" t="s">
        <v>114</v>
      </c>
      <c r="B43" t="s">
        <v>115</v>
      </c>
      <c r="C43">
        <v>6</v>
      </c>
      <c r="D43" t="s">
        <v>27</v>
      </c>
      <c r="E43" t="s">
        <v>100</v>
      </c>
      <c r="F43" t="s">
        <v>101</v>
      </c>
      <c r="G43">
        <v>254</v>
      </c>
      <c r="H43" t="s">
        <v>102</v>
      </c>
      <c r="I43" t="s">
        <v>103</v>
      </c>
      <c r="J43" t="s">
        <v>104</v>
      </c>
      <c r="K43">
        <v>1010</v>
      </c>
      <c r="L43">
        <v>101032</v>
      </c>
      <c r="M43" t="s">
        <v>130</v>
      </c>
      <c r="N43" s="98">
        <v>82800</v>
      </c>
      <c r="O43" s="98">
        <v>83030.13</v>
      </c>
      <c r="P43" s="98">
        <v>-230.13</v>
      </c>
      <c r="Q43" s="98">
        <v>230.13</v>
      </c>
    </row>
    <row r="44" spans="1:17" x14ac:dyDescent="0.35">
      <c r="A44" t="s">
        <v>116</v>
      </c>
      <c r="B44" t="s">
        <v>117</v>
      </c>
      <c r="C44">
        <v>7</v>
      </c>
      <c r="D44" t="s">
        <v>27</v>
      </c>
      <c r="E44" t="s">
        <v>100</v>
      </c>
      <c r="F44" t="s">
        <v>101</v>
      </c>
      <c r="G44">
        <v>254</v>
      </c>
      <c r="H44" t="s">
        <v>102</v>
      </c>
      <c r="I44" t="s">
        <v>103</v>
      </c>
      <c r="J44" t="s">
        <v>104</v>
      </c>
      <c r="K44">
        <v>1010</v>
      </c>
      <c r="L44">
        <v>101032</v>
      </c>
      <c r="M44" t="s">
        <v>130</v>
      </c>
      <c r="N44" s="98">
        <v>69138</v>
      </c>
      <c r="O44" s="98">
        <v>74223.33</v>
      </c>
      <c r="P44" s="98">
        <v>-5085.33</v>
      </c>
      <c r="Q44" s="98">
        <v>5085.33</v>
      </c>
    </row>
    <row r="45" spans="1:17" x14ac:dyDescent="0.35">
      <c r="A45" t="s">
        <v>118</v>
      </c>
      <c r="B45" t="s">
        <v>119</v>
      </c>
      <c r="C45">
        <v>8</v>
      </c>
      <c r="D45" t="s">
        <v>27</v>
      </c>
      <c r="E45" t="s">
        <v>100</v>
      </c>
      <c r="F45" t="s">
        <v>101</v>
      </c>
      <c r="G45">
        <v>254</v>
      </c>
      <c r="H45" t="s">
        <v>102</v>
      </c>
      <c r="I45" t="s">
        <v>103</v>
      </c>
      <c r="J45" t="s">
        <v>104</v>
      </c>
      <c r="K45">
        <v>1010</v>
      </c>
      <c r="L45">
        <v>101032</v>
      </c>
      <c r="M45" t="s">
        <v>130</v>
      </c>
      <c r="N45" s="98">
        <v>0</v>
      </c>
      <c r="O45" s="98">
        <v>0</v>
      </c>
      <c r="P45" s="98">
        <v>0</v>
      </c>
      <c r="Q45" s="98">
        <v>0</v>
      </c>
    </row>
    <row r="46" spans="1:17" x14ac:dyDescent="0.35">
      <c r="A46" t="s">
        <v>120</v>
      </c>
      <c r="B46" t="s">
        <v>121</v>
      </c>
      <c r="C46">
        <v>9</v>
      </c>
      <c r="D46" t="s">
        <v>30</v>
      </c>
      <c r="E46" t="s">
        <v>5</v>
      </c>
      <c r="F46" t="s">
        <v>101</v>
      </c>
      <c r="G46">
        <v>254</v>
      </c>
      <c r="H46" t="s">
        <v>102</v>
      </c>
      <c r="I46" t="s">
        <v>103</v>
      </c>
      <c r="J46" t="s">
        <v>104</v>
      </c>
      <c r="K46">
        <v>1010</v>
      </c>
      <c r="L46">
        <v>101032</v>
      </c>
      <c r="M46" t="s">
        <v>130</v>
      </c>
      <c r="N46" s="98">
        <v>0</v>
      </c>
      <c r="O46" s="98">
        <v>0</v>
      </c>
      <c r="P46" s="98">
        <v>0</v>
      </c>
      <c r="Q46" s="98">
        <v>0</v>
      </c>
    </row>
    <row r="47" spans="1:17" x14ac:dyDescent="0.35">
      <c r="A47" t="s">
        <v>122</v>
      </c>
      <c r="B47" t="s">
        <v>123</v>
      </c>
      <c r="C47">
        <v>10</v>
      </c>
      <c r="D47" t="s">
        <v>30</v>
      </c>
      <c r="E47" t="s">
        <v>5</v>
      </c>
      <c r="F47" t="s">
        <v>101</v>
      </c>
      <c r="G47">
        <v>254</v>
      </c>
      <c r="H47" t="s">
        <v>102</v>
      </c>
      <c r="I47" t="s">
        <v>103</v>
      </c>
      <c r="J47" t="s">
        <v>104</v>
      </c>
      <c r="K47">
        <v>1010</v>
      </c>
      <c r="L47">
        <v>101032</v>
      </c>
      <c r="M47" t="s">
        <v>130</v>
      </c>
      <c r="N47" s="98">
        <v>0</v>
      </c>
      <c r="O47" s="98">
        <v>0</v>
      </c>
      <c r="P47" s="98">
        <v>0</v>
      </c>
      <c r="Q47" s="98">
        <v>0</v>
      </c>
    </row>
    <row r="48" spans="1:17" x14ac:dyDescent="0.35">
      <c r="A48" t="s">
        <v>124</v>
      </c>
      <c r="B48" t="s">
        <v>125</v>
      </c>
      <c r="C48">
        <v>11</v>
      </c>
      <c r="D48" t="s">
        <v>30</v>
      </c>
      <c r="E48" t="s">
        <v>5</v>
      </c>
      <c r="F48" t="s">
        <v>101</v>
      </c>
      <c r="G48">
        <v>254</v>
      </c>
      <c r="H48" t="s">
        <v>102</v>
      </c>
      <c r="I48" t="s">
        <v>103</v>
      </c>
      <c r="J48" t="s">
        <v>104</v>
      </c>
      <c r="K48">
        <v>1010</v>
      </c>
      <c r="L48">
        <v>101032</v>
      </c>
      <c r="M48" t="s">
        <v>130</v>
      </c>
      <c r="N48" s="98">
        <v>0</v>
      </c>
      <c r="O48" s="98">
        <v>0</v>
      </c>
      <c r="P48" s="98">
        <v>0</v>
      </c>
      <c r="Q48" s="98">
        <v>0</v>
      </c>
    </row>
    <row r="49" spans="1:17" x14ac:dyDescent="0.35">
      <c r="A49" t="s">
        <v>126</v>
      </c>
      <c r="B49" t="s">
        <v>127</v>
      </c>
      <c r="C49">
        <v>12</v>
      </c>
      <c r="D49" t="s">
        <v>30</v>
      </c>
      <c r="E49" t="s">
        <v>5</v>
      </c>
      <c r="F49" t="s">
        <v>101</v>
      </c>
      <c r="G49">
        <v>254</v>
      </c>
      <c r="H49" t="s">
        <v>102</v>
      </c>
      <c r="I49" t="s">
        <v>103</v>
      </c>
      <c r="J49" t="s">
        <v>104</v>
      </c>
      <c r="K49">
        <v>1010</v>
      </c>
      <c r="L49">
        <v>101032</v>
      </c>
      <c r="M49" t="s">
        <v>130</v>
      </c>
      <c r="N49" s="98">
        <v>0</v>
      </c>
      <c r="O49" s="98">
        <v>0</v>
      </c>
      <c r="P49" s="98">
        <v>0</v>
      </c>
      <c r="Q49" s="98">
        <v>0</v>
      </c>
    </row>
    <row r="50" spans="1:17" x14ac:dyDescent="0.35">
      <c r="A50" t="s">
        <v>98</v>
      </c>
      <c r="B50" t="s">
        <v>99</v>
      </c>
      <c r="C50">
        <v>1</v>
      </c>
      <c r="D50" t="s">
        <v>23</v>
      </c>
      <c r="E50" t="s">
        <v>100</v>
      </c>
      <c r="F50" t="s">
        <v>101</v>
      </c>
      <c r="G50">
        <v>254</v>
      </c>
      <c r="H50" t="s">
        <v>102</v>
      </c>
      <c r="I50" t="s">
        <v>103</v>
      </c>
      <c r="J50" t="s">
        <v>104</v>
      </c>
      <c r="K50">
        <v>1010</v>
      </c>
      <c r="L50">
        <v>101040</v>
      </c>
      <c r="M50" t="s">
        <v>131</v>
      </c>
      <c r="N50" s="98">
        <v>1292</v>
      </c>
      <c r="O50" s="98">
        <v>0</v>
      </c>
      <c r="P50" s="98">
        <v>1292</v>
      </c>
      <c r="Q50" s="98">
        <v>-1292</v>
      </c>
    </row>
    <row r="51" spans="1:17" x14ac:dyDescent="0.35">
      <c r="A51" t="s">
        <v>106</v>
      </c>
      <c r="B51" t="s">
        <v>107</v>
      </c>
      <c r="C51">
        <v>2</v>
      </c>
      <c r="D51" t="s">
        <v>23</v>
      </c>
      <c r="E51" t="s">
        <v>100</v>
      </c>
      <c r="F51" t="s">
        <v>101</v>
      </c>
      <c r="G51">
        <v>254</v>
      </c>
      <c r="H51" t="s">
        <v>102</v>
      </c>
      <c r="I51" t="s">
        <v>103</v>
      </c>
      <c r="J51" t="s">
        <v>104</v>
      </c>
      <c r="K51">
        <v>1010</v>
      </c>
      <c r="L51">
        <v>101040</v>
      </c>
      <c r="M51" t="s">
        <v>131</v>
      </c>
      <c r="N51" s="98">
        <v>1292</v>
      </c>
      <c r="O51" s="98">
        <v>0</v>
      </c>
      <c r="P51" s="98">
        <v>1292</v>
      </c>
      <c r="Q51" s="98">
        <v>-1292</v>
      </c>
    </row>
    <row r="52" spans="1:17" x14ac:dyDescent="0.35">
      <c r="A52" t="s">
        <v>108</v>
      </c>
      <c r="B52" t="s">
        <v>109</v>
      </c>
      <c r="C52">
        <v>3</v>
      </c>
      <c r="D52" t="s">
        <v>23</v>
      </c>
      <c r="E52" t="s">
        <v>100</v>
      </c>
      <c r="F52" t="s">
        <v>101</v>
      </c>
      <c r="G52">
        <v>254</v>
      </c>
      <c r="H52" t="s">
        <v>102</v>
      </c>
      <c r="I52" t="s">
        <v>103</v>
      </c>
      <c r="J52" t="s">
        <v>104</v>
      </c>
      <c r="K52">
        <v>1010</v>
      </c>
      <c r="L52">
        <v>101040</v>
      </c>
      <c r="M52" t="s">
        <v>131</v>
      </c>
      <c r="N52" s="98">
        <v>1292</v>
      </c>
      <c r="O52" s="98">
        <v>686.45</v>
      </c>
      <c r="P52" s="98">
        <v>605.54999999999995</v>
      </c>
      <c r="Q52" s="98">
        <v>-605.54999999999995</v>
      </c>
    </row>
    <row r="53" spans="1:17" x14ac:dyDescent="0.35">
      <c r="A53" t="s">
        <v>110</v>
      </c>
      <c r="B53" t="s">
        <v>111</v>
      </c>
      <c r="C53">
        <v>4</v>
      </c>
      <c r="D53" t="s">
        <v>23</v>
      </c>
      <c r="E53" t="s">
        <v>100</v>
      </c>
      <c r="F53" t="s">
        <v>101</v>
      </c>
      <c r="G53">
        <v>254</v>
      </c>
      <c r="H53" t="s">
        <v>102</v>
      </c>
      <c r="I53" t="s">
        <v>103</v>
      </c>
      <c r="J53" t="s">
        <v>104</v>
      </c>
      <c r="K53">
        <v>1010</v>
      </c>
      <c r="L53">
        <v>101040</v>
      </c>
      <c r="M53" t="s">
        <v>131</v>
      </c>
      <c r="N53" s="98">
        <v>1292</v>
      </c>
      <c r="O53" s="98">
        <v>1120</v>
      </c>
      <c r="P53" s="98">
        <v>172</v>
      </c>
      <c r="Q53" s="98">
        <v>-172</v>
      </c>
    </row>
    <row r="54" spans="1:17" x14ac:dyDescent="0.35">
      <c r="A54" t="s">
        <v>112</v>
      </c>
      <c r="B54" t="s">
        <v>113</v>
      </c>
      <c r="C54">
        <v>5</v>
      </c>
      <c r="D54" t="s">
        <v>27</v>
      </c>
      <c r="E54" t="s">
        <v>100</v>
      </c>
      <c r="F54" t="s">
        <v>101</v>
      </c>
      <c r="G54">
        <v>254</v>
      </c>
      <c r="H54" t="s">
        <v>102</v>
      </c>
      <c r="I54" t="s">
        <v>103</v>
      </c>
      <c r="J54" t="s">
        <v>104</v>
      </c>
      <c r="K54">
        <v>1010</v>
      </c>
      <c r="L54">
        <v>101040</v>
      </c>
      <c r="M54" t="s">
        <v>131</v>
      </c>
      <c r="N54" s="98">
        <v>1292</v>
      </c>
      <c r="O54" s="98">
        <v>1120</v>
      </c>
      <c r="P54" s="98">
        <v>172</v>
      </c>
      <c r="Q54" s="98">
        <v>-172</v>
      </c>
    </row>
    <row r="55" spans="1:17" x14ac:dyDescent="0.35">
      <c r="A55" t="s">
        <v>114</v>
      </c>
      <c r="B55" t="s">
        <v>115</v>
      </c>
      <c r="C55">
        <v>6</v>
      </c>
      <c r="D55" t="s">
        <v>27</v>
      </c>
      <c r="E55" t="s">
        <v>100</v>
      </c>
      <c r="F55" t="s">
        <v>101</v>
      </c>
      <c r="G55">
        <v>254</v>
      </c>
      <c r="H55" t="s">
        <v>102</v>
      </c>
      <c r="I55" t="s">
        <v>103</v>
      </c>
      <c r="J55" t="s">
        <v>104</v>
      </c>
      <c r="K55">
        <v>1010</v>
      </c>
      <c r="L55">
        <v>101040</v>
      </c>
      <c r="M55" t="s">
        <v>131</v>
      </c>
      <c r="N55" s="98">
        <v>1292</v>
      </c>
      <c r="O55" s="98">
        <v>-172.31</v>
      </c>
      <c r="P55" s="98">
        <v>1464.31</v>
      </c>
      <c r="Q55" s="98">
        <v>-1464.31</v>
      </c>
    </row>
    <row r="56" spans="1:17" x14ac:dyDescent="0.35">
      <c r="A56" t="s">
        <v>116</v>
      </c>
      <c r="B56" t="s">
        <v>117</v>
      </c>
      <c r="C56">
        <v>7</v>
      </c>
      <c r="D56" t="s">
        <v>27</v>
      </c>
      <c r="E56" t="s">
        <v>100</v>
      </c>
      <c r="F56" t="s">
        <v>101</v>
      </c>
      <c r="G56">
        <v>254</v>
      </c>
      <c r="H56" t="s">
        <v>102</v>
      </c>
      <c r="I56" t="s">
        <v>103</v>
      </c>
      <c r="J56" t="s">
        <v>104</v>
      </c>
      <c r="K56">
        <v>1010</v>
      </c>
      <c r="L56">
        <v>101040</v>
      </c>
      <c r="M56" t="s">
        <v>131</v>
      </c>
      <c r="N56" s="98">
        <v>1292</v>
      </c>
      <c r="O56" s="98">
        <v>1120</v>
      </c>
      <c r="P56" s="98">
        <v>172</v>
      </c>
      <c r="Q56" s="98">
        <v>-172</v>
      </c>
    </row>
    <row r="57" spans="1:17" x14ac:dyDescent="0.35">
      <c r="A57" t="s">
        <v>118</v>
      </c>
      <c r="B57" t="s">
        <v>119</v>
      </c>
      <c r="C57">
        <v>8</v>
      </c>
      <c r="D57" t="s">
        <v>27</v>
      </c>
      <c r="E57" t="s">
        <v>100</v>
      </c>
      <c r="F57" t="s">
        <v>101</v>
      </c>
      <c r="G57">
        <v>254</v>
      </c>
      <c r="H57" t="s">
        <v>102</v>
      </c>
      <c r="I57" t="s">
        <v>103</v>
      </c>
      <c r="J57" t="s">
        <v>104</v>
      </c>
      <c r="K57">
        <v>1010</v>
      </c>
      <c r="L57">
        <v>101040</v>
      </c>
      <c r="M57" t="s">
        <v>131</v>
      </c>
      <c r="N57" s="98">
        <v>1292</v>
      </c>
      <c r="O57" s="98">
        <v>1120</v>
      </c>
      <c r="P57" s="98">
        <v>172</v>
      </c>
      <c r="Q57" s="98">
        <v>-172</v>
      </c>
    </row>
    <row r="58" spans="1:17" x14ac:dyDescent="0.35">
      <c r="A58" t="s">
        <v>120</v>
      </c>
      <c r="B58" t="s">
        <v>121</v>
      </c>
      <c r="C58">
        <v>9</v>
      </c>
      <c r="D58" t="s">
        <v>30</v>
      </c>
      <c r="E58" t="s">
        <v>5</v>
      </c>
      <c r="F58" t="s">
        <v>101</v>
      </c>
      <c r="G58">
        <v>254</v>
      </c>
      <c r="H58" t="s">
        <v>102</v>
      </c>
      <c r="I58" t="s">
        <v>103</v>
      </c>
      <c r="J58" t="s">
        <v>104</v>
      </c>
      <c r="K58">
        <v>1010</v>
      </c>
      <c r="L58">
        <v>101040</v>
      </c>
      <c r="M58" t="s">
        <v>131</v>
      </c>
      <c r="N58" s="98">
        <v>1292</v>
      </c>
      <c r="O58" s="98">
        <v>0</v>
      </c>
      <c r="P58" s="98">
        <v>0</v>
      </c>
      <c r="Q58" s="98">
        <v>-1292</v>
      </c>
    </row>
    <row r="59" spans="1:17" x14ac:dyDescent="0.35">
      <c r="A59" t="s">
        <v>122</v>
      </c>
      <c r="B59" t="s">
        <v>123</v>
      </c>
      <c r="C59">
        <v>10</v>
      </c>
      <c r="D59" t="s">
        <v>30</v>
      </c>
      <c r="E59" t="s">
        <v>5</v>
      </c>
      <c r="F59" t="s">
        <v>101</v>
      </c>
      <c r="G59">
        <v>254</v>
      </c>
      <c r="H59" t="s">
        <v>102</v>
      </c>
      <c r="I59" t="s">
        <v>103</v>
      </c>
      <c r="J59" t="s">
        <v>104</v>
      </c>
      <c r="K59">
        <v>1010</v>
      </c>
      <c r="L59">
        <v>101040</v>
      </c>
      <c r="M59" t="s">
        <v>131</v>
      </c>
      <c r="N59" s="98">
        <v>1292</v>
      </c>
      <c r="O59" s="98">
        <v>0</v>
      </c>
      <c r="P59" s="98">
        <v>0</v>
      </c>
      <c r="Q59" s="98">
        <v>-1292</v>
      </c>
    </row>
    <row r="60" spans="1:17" x14ac:dyDescent="0.35">
      <c r="A60" t="s">
        <v>124</v>
      </c>
      <c r="B60" t="s">
        <v>125</v>
      </c>
      <c r="C60">
        <v>11</v>
      </c>
      <c r="D60" t="s">
        <v>30</v>
      </c>
      <c r="E60" t="s">
        <v>5</v>
      </c>
      <c r="F60" t="s">
        <v>101</v>
      </c>
      <c r="G60">
        <v>254</v>
      </c>
      <c r="H60" t="s">
        <v>102</v>
      </c>
      <c r="I60" t="s">
        <v>103</v>
      </c>
      <c r="J60" t="s">
        <v>104</v>
      </c>
      <c r="K60">
        <v>1010</v>
      </c>
      <c r="L60">
        <v>101040</v>
      </c>
      <c r="M60" t="s">
        <v>131</v>
      </c>
      <c r="N60" s="98">
        <v>1292</v>
      </c>
      <c r="O60" s="98">
        <v>0</v>
      </c>
      <c r="P60" s="98">
        <v>0</v>
      </c>
      <c r="Q60" s="98">
        <v>-1292</v>
      </c>
    </row>
    <row r="61" spans="1:17" x14ac:dyDescent="0.35">
      <c r="A61" t="s">
        <v>126</v>
      </c>
      <c r="B61" t="s">
        <v>127</v>
      </c>
      <c r="C61">
        <v>12</v>
      </c>
      <c r="D61" t="s">
        <v>30</v>
      </c>
      <c r="E61" t="s">
        <v>5</v>
      </c>
      <c r="F61" t="s">
        <v>101</v>
      </c>
      <c r="G61">
        <v>254</v>
      </c>
      <c r="H61" t="s">
        <v>102</v>
      </c>
      <c r="I61" t="s">
        <v>103</v>
      </c>
      <c r="J61" t="s">
        <v>104</v>
      </c>
      <c r="K61">
        <v>1010</v>
      </c>
      <c r="L61">
        <v>101040</v>
      </c>
      <c r="M61" t="s">
        <v>131</v>
      </c>
      <c r="N61" s="98">
        <v>1788</v>
      </c>
      <c r="O61" s="98">
        <v>0</v>
      </c>
      <c r="P61" s="98">
        <v>0</v>
      </c>
      <c r="Q61" s="98">
        <v>-1788</v>
      </c>
    </row>
    <row r="62" spans="1:17" x14ac:dyDescent="0.35">
      <c r="A62" t="s">
        <v>98</v>
      </c>
      <c r="B62" t="s">
        <v>99</v>
      </c>
      <c r="C62">
        <v>1</v>
      </c>
      <c r="D62" t="s">
        <v>23</v>
      </c>
      <c r="E62" t="s">
        <v>100</v>
      </c>
      <c r="F62" t="s">
        <v>101</v>
      </c>
      <c r="G62">
        <v>254</v>
      </c>
      <c r="H62" t="s">
        <v>102</v>
      </c>
      <c r="I62" t="s">
        <v>103</v>
      </c>
      <c r="J62" t="s">
        <v>104</v>
      </c>
      <c r="K62">
        <v>1020</v>
      </c>
      <c r="L62">
        <v>102000</v>
      </c>
      <c r="M62" t="s">
        <v>132</v>
      </c>
      <c r="N62" s="98">
        <v>16660</v>
      </c>
      <c r="O62" s="98">
        <v>0</v>
      </c>
      <c r="P62" s="98">
        <v>16660</v>
      </c>
      <c r="Q62" s="98">
        <v>-16660</v>
      </c>
    </row>
    <row r="63" spans="1:17" x14ac:dyDescent="0.35">
      <c r="A63" t="s">
        <v>106</v>
      </c>
      <c r="B63" t="s">
        <v>107</v>
      </c>
      <c r="C63">
        <v>2</v>
      </c>
      <c r="D63" t="s">
        <v>23</v>
      </c>
      <c r="E63" t="s">
        <v>100</v>
      </c>
      <c r="F63" t="s">
        <v>101</v>
      </c>
      <c r="G63">
        <v>254</v>
      </c>
      <c r="H63" t="s">
        <v>102</v>
      </c>
      <c r="I63" t="s">
        <v>103</v>
      </c>
      <c r="J63" t="s">
        <v>104</v>
      </c>
      <c r="K63">
        <v>1020</v>
      </c>
      <c r="L63">
        <v>102000</v>
      </c>
      <c r="M63" t="s">
        <v>132</v>
      </c>
      <c r="N63" s="98">
        <v>16660</v>
      </c>
      <c r="O63" s="98">
        <v>96432.33</v>
      </c>
      <c r="P63" s="98">
        <v>-79772.33</v>
      </c>
      <c r="Q63" s="98">
        <v>79772.33</v>
      </c>
    </row>
    <row r="64" spans="1:17" x14ac:dyDescent="0.35">
      <c r="A64" t="s">
        <v>108</v>
      </c>
      <c r="B64" t="s">
        <v>109</v>
      </c>
      <c r="C64">
        <v>3</v>
      </c>
      <c r="D64" t="s">
        <v>23</v>
      </c>
      <c r="E64" t="s">
        <v>100</v>
      </c>
      <c r="F64" t="s">
        <v>101</v>
      </c>
      <c r="G64">
        <v>254</v>
      </c>
      <c r="H64" t="s">
        <v>102</v>
      </c>
      <c r="I64" t="s">
        <v>103</v>
      </c>
      <c r="J64" t="s">
        <v>104</v>
      </c>
      <c r="K64">
        <v>1020</v>
      </c>
      <c r="L64">
        <v>102000</v>
      </c>
      <c r="M64" t="s">
        <v>132</v>
      </c>
      <c r="N64" s="98">
        <v>16660</v>
      </c>
      <c r="O64" s="98">
        <v>35833.75</v>
      </c>
      <c r="P64" s="98">
        <v>-19173.75</v>
      </c>
      <c r="Q64" s="98">
        <v>19173.75</v>
      </c>
    </row>
    <row r="65" spans="1:17" x14ac:dyDescent="0.35">
      <c r="A65" t="s">
        <v>110</v>
      </c>
      <c r="B65" t="s">
        <v>111</v>
      </c>
      <c r="C65">
        <v>4</v>
      </c>
      <c r="D65" t="s">
        <v>23</v>
      </c>
      <c r="E65" t="s">
        <v>100</v>
      </c>
      <c r="F65" t="s">
        <v>101</v>
      </c>
      <c r="G65">
        <v>254</v>
      </c>
      <c r="H65" t="s">
        <v>102</v>
      </c>
      <c r="I65" t="s">
        <v>103</v>
      </c>
      <c r="J65" t="s">
        <v>104</v>
      </c>
      <c r="K65">
        <v>1020</v>
      </c>
      <c r="L65">
        <v>102000</v>
      </c>
      <c r="M65" t="s">
        <v>132</v>
      </c>
      <c r="N65" s="98">
        <v>16660</v>
      </c>
      <c r="O65" s="98">
        <v>34855.64</v>
      </c>
      <c r="P65" s="98">
        <v>-18195.64</v>
      </c>
      <c r="Q65" s="98">
        <v>18195.64</v>
      </c>
    </row>
    <row r="66" spans="1:17" x14ac:dyDescent="0.35">
      <c r="A66" t="s">
        <v>112</v>
      </c>
      <c r="B66" t="s">
        <v>113</v>
      </c>
      <c r="C66">
        <v>5</v>
      </c>
      <c r="D66" t="s">
        <v>27</v>
      </c>
      <c r="E66" t="s">
        <v>100</v>
      </c>
      <c r="F66" t="s">
        <v>101</v>
      </c>
      <c r="G66">
        <v>254</v>
      </c>
      <c r="H66" t="s">
        <v>102</v>
      </c>
      <c r="I66" t="s">
        <v>103</v>
      </c>
      <c r="J66" t="s">
        <v>104</v>
      </c>
      <c r="K66">
        <v>1020</v>
      </c>
      <c r="L66">
        <v>102000</v>
      </c>
      <c r="M66" t="s">
        <v>132</v>
      </c>
      <c r="N66" s="98">
        <v>16660</v>
      </c>
      <c r="O66" s="98">
        <v>13105.85</v>
      </c>
      <c r="P66" s="98">
        <v>3554.15</v>
      </c>
      <c r="Q66" s="98">
        <v>-3554.15</v>
      </c>
    </row>
    <row r="67" spans="1:17" x14ac:dyDescent="0.35">
      <c r="A67" t="s">
        <v>114</v>
      </c>
      <c r="B67" t="s">
        <v>115</v>
      </c>
      <c r="C67">
        <v>6</v>
      </c>
      <c r="D67" t="s">
        <v>27</v>
      </c>
      <c r="E67" t="s">
        <v>100</v>
      </c>
      <c r="F67" t="s">
        <v>101</v>
      </c>
      <c r="G67">
        <v>254</v>
      </c>
      <c r="H67" t="s">
        <v>102</v>
      </c>
      <c r="I67" t="s">
        <v>103</v>
      </c>
      <c r="J67" t="s">
        <v>104</v>
      </c>
      <c r="K67">
        <v>1020</v>
      </c>
      <c r="L67">
        <v>102000</v>
      </c>
      <c r="M67" t="s">
        <v>132</v>
      </c>
      <c r="N67" s="98">
        <v>16660</v>
      </c>
      <c r="O67" s="98">
        <v>3417.85</v>
      </c>
      <c r="P67" s="98">
        <v>13242.15</v>
      </c>
      <c r="Q67" s="98">
        <v>-13242.15</v>
      </c>
    </row>
    <row r="68" spans="1:17" x14ac:dyDescent="0.35">
      <c r="A68" t="s">
        <v>116</v>
      </c>
      <c r="B68" t="s">
        <v>117</v>
      </c>
      <c r="C68">
        <v>7</v>
      </c>
      <c r="D68" t="s">
        <v>27</v>
      </c>
      <c r="E68" t="s">
        <v>100</v>
      </c>
      <c r="F68" t="s">
        <v>101</v>
      </c>
      <c r="G68">
        <v>254</v>
      </c>
      <c r="H68" t="s">
        <v>102</v>
      </c>
      <c r="I68" t="s">
        <v>103</v>
      </c>
      <c r="J68" t="s">
        <v>104</v>
      </c>
      <c r="K68">
        <v>1020</v>
      </c>
      <c r="L68">
        <v>102000</v>
      </c>
      <c r="M68" t="s">
        <v>132</v>
      </c>
      <c r="N68" s="98">
        <v>16660</v>
      </c>
      <c r="O68" s="98">
        <v>13415.11</v>
      </c>
      <c r="P68" s="98">
        <v>3244.89</v>
      </c>
      <c r="Q68" s="98">
        <v>-3244.89</v>
      </c>
    </row>
    <row r="69" spans="1:17" x14ac:dyDescent="0.35">
      <c r="A69" t="s">
        <v>118</v>
      </c>
      <c r="B69" t="s">
        <v>119</v>
      </c>
      <c r="C69">
        <v>8</v>
      </c>
      <c r="D69" t="s">
        <v>27</v>
      </c>
      <c r="E69" t="s">
        <v>100</v>
      </c>
      <c r="F69" t="s">
        <v>101</v>
      </c>
      <c r="G69">
        <v>254</v>
      </c>
      <c r="H69" t="s">
        <v>102</v>
      </c>
      <c r="I69" t="s">
        <v>103</v>
      </c>
      <c r="J69" t="s">
        <v>104</v>
      </c>
      <c r="K69">
        <v>1020</v>
      </c>
      <c r="L69">
        <v>102000</v>
      </c>
      <c r="M69" t="s">
        <v>132</v>
      </c>
      <c r="N69" s="98">
        <v>16660</v>
      </c>
      <c r="O69" s="98">
        <v>15319.5</v>
      </c>
      <c r="P69" s="98">
        <v>1340.5</v>
      </c>
      <c r="Q69" s="98">
        <v>-1340.5</v>
      </c>
    </row>
    <row r="70" spans="1:17" x14ac:dyDescent="0.35">
      <c r="A70" t="s">
        <v>120</v>
      </c>
      <c r="B70" t="s">
        <v>121</v>
      </c>
      <c r="C70">
        <v>9</v>
      </c>
      <c r="D70" t="s">
        <v>30</v>
      </c>
      <c r="E70" t="s">
        <v>5</v>
      </c>
      <c r="F70" t="s">
        <v>101</v>
      </c>
      <c r="G70">
        <v>254</v>
      </c>
      <c r="H70" t="s">
        <v>102</v>
      </c>
      <c r="I70" t="s">
        <v>103</v>
      </c>
      <c r="J70" t="s">
        <v>104</v>
      </c>
      <c r="K70">
        <v>1020</v>
      </c>
      <c r="L70">
        <v>102000</v>
      </c>
      <c r="M70" t="s">
        <v>132</v>
      </c>
      <c r="N70" s="98">
        <v>16660</v>
      </c>
      <c r="O70" s="98">
        <v>0</v>
      </c>
      <c r="P70" s="98">
        <v>0</v>
      </c>
      <c r="Q70" s="98">
        <v>-16660</v>
      </c>
    </row>
    <row r="71" spans="1:17" x14ac:dyDescent="0.35">
      <c r="A71" t="s">
        <v>122</v>
      </c>
      <c r="B71" t="s">
        <v>123</v>
      </c>
      <c r="C71">
        <v>10</v>
      </c>
      <c r="D71" t="s">
        <v>30</v>
      </c>
      <c r="E71" t="s">
        <v>5</v>
      </c>
      <c r="F71" t="s">
        <v>101</v>
      </c>
      <c r="G71">
        <v>254</v>
      </c>
      <c r="H71" t="s">
        <v>102</v>
      </c>
      <c r="I71" t="s">
        <v>103</v>
      </c>
      <c r="J71" t="s">
        <v>104</v>
      </c>
      <c r="K71">
        <v>1020</v>
      </c>
      <c r="L71">
        <v>102000</v>
      </c>
      <c r="M71" t="s">
        <v>132</v>
      </c>
      <c r="N71" s="98">
        <v>16660</v>
      </c>
      <c r="O71" s="98">
        <v>0</v>
      </c>
      <c r="P71" s="98">
        <v>0</v>
      </c>
      <c r="Q71" s="98">
        <v>-16660</v>
      </c>
    </row>
    <row r="72" spans="1:17" x14ac:dyDescent="0.35">
      <c r="A72" t="s">
        <v>124</v>
      </c>
      <c r="B72" t="s">
        <v>125</v>
      </c>
      <c r="C72">
        <v>11</v>
      </c>
      <c r="D72" t="s">
        <v>30</v>
      </c>
      <c r="E72" t="s">
        <v>5</v>
      </c>
      <c r="F72" t="s">
        <v>101</v>
      </c>
      <c r="G72">
        <v>254</v>
      </c>
      <c r="H72" t="s">
        <v>102</v>
      </c>
      <c r="I72" t="s">
        <v>103</v>
      </c>
      <c r="J72" t="s">
        <v>104</v>
      </c>
      <c r="K72">
        <v>1020</v>
      </c>
      <c r="L72">
        <v>102000</v>
      </c>
      <c r="M72" t="s">
        <v>132</v>
      </c>
      <c r="N72" s="98">
        <v>16660</v>
      </c>
      <c r="O72" s="98">
        <v>0</v>
      </c>
      <c r="P72" s="98">
        <v>0</v>
      </c>
      <c r="Q72" s="98">
        <v>-16660</v>
      </c>
    </row>
    <row r="73" spans="1:17" x14ac:dyDescent="0.35">
      <c r="A73" t="s">
        <v>126</v>
      </c>
      <c r="B73" t="s">
        <v>127</v>
      </c>
      <c r="C73">
        <v>12</v>
      </c>
      <c r="D73" t="s">
        <v>30</v>
      </c>
      <c r="E73" t="s">
        <v>5</v>
      </c>
      <c r="F73" t="s">
        <v>101</v>
      </c>
      <c r="G73">
        <v>254</v>
      </c>
      <c r="H73" t="s">
        <v>102</v>
      </c>
      <c r="I73" t="s">
        <v>103</v>
      </c>
      <c r="J73" t="s">
        <v>104</v>
      </c>
      <c r="K73">
        <v>1020</v>
      </c>
      <c r="L73">
        <v>102000</v>
      </c>
      <c r="M73" t="s">
        <v>132</v>
      </c>
      <c r="N73" s="98">
        <v>16740</v>
      </c>
      <c r="O73" s="98">
        <v>0</v>
      </c>
      <c r="P73" s="98">
        <v>0</v>
      </c>
      <c r="Q73" s="98">
        <v>-16740</v>
      </c>
    </row>
    <row r="74" spans="1:17" x14ac:dyDescent="0.35">
      <c r="A74" t="s">
        <v>98</v>
      </c>
      <c r="B74" t="s">
        <v>99</v>
      </c>
      <c r="C74">
        <v>1</v>
      </c>
      <c r="D74" t="s">
        <v>23</v>
      </c>
      <c r="E74" t="s">
        <v>100</v>
      </c>
      <c r="F74" t="s">
        <v>101</v>
      </c>
      <c r="G74">
        <v>254</v>
      </c>
      <c r="H74" t="s">
        <v>102</v>
      </c>
      <c r="I74" t="s">
        <v>103</v>
      </c>
      <c r="J74" t="s">
        <v>104</v>
      </c>
      <c r="K74">
        <v>1020</v>
      </c>
      <c r="L74">
        <v>102001</v>
      </c>
      <c r="M74" t="s">
        <v>133</v>
      </c>
      <c r="N74" s="98">
        <v>21809</v>
      </c>
      <c r="O74" s="98">
        <v>0</v>
      </c>
      <c r="P74" s="98">
        <v>21809</v>
      </c>
      <c r="Q74" s="98">
        <v>-21809</v>
      </c>
    </row>
    <row r="75" spans="1:17" x14ac:dyDescent="0.35">
      <c r="A75" t="s">
        <v>106</v>
      </c>
      <c r="B75" t="s">
        <v>107</v>
      </c>
      <c r="C75">
        <v>2</v>
      </c>
      <c r="D75" t="s">
        <v>23</v>
      </c>
      <c r="E75" t="s">
        <v>100</v>
      </c>
      <c r="F75" t="s">
        <v>101</v>
      </c>
      <c r="G75">
        <v>254</v>
      </c>
      <c r="H75" t="s">
        <v>102</v>
      </c>
      <c r="I75" t="s">
        <v>103</v>
      </c>
      <c r="J75" t="s">
        <v>104</v>
      </c>
      <c r="K75">
        <v>1020</v>
      </c>
      <c r="L75">
        <v>102001</v>
      </c>
      <c r="M75" t="s">
        <v>133</v>
      </c>
      <c r="N75" s="98">
        <v>21809</v>
      </c>
      <c r="O75" s="98">
        <v>39187.82</v>
      </c>
      <c r="P75" s="98">
        <v>-17378.82</v>
      </c>
      <c r="Q75" s="98">
        <v>17378.82</v>
      </c>
    </row>
    <row r="76" spans="1:17" x14ac:dyDescent="0.35">
      <c r="A76" t="s">
        <v>108</v>
      </c>
      <c r="B76" t="s">
        <v>109</v>
      </c>
      <c r="C76">
        <v>3</v>
      </c>
      <c r="D76" t="s">
        <v>23</v>
      </c>
      <c r="E76" t="s">
        <v>100</v>
      </c>
      <c r="F76" t="s">
        <v>101</v>
      </c>
      <c r="G76">
        <v>254</v>
      </c>
      <c r="H76" t="s">
        <v>102</v>
      </c>
      <c r="I76" t="s">
        <v>103</v>
      </c>
      <c r="J76" t="s">
        <v>104</v>
      </c>
      <c r="K76">
        <v>1020</v>
      </c>
      <c r="L76">
        <v>102001</v>
      </c>
      <c r="M76" t="s">
        <v>133</v>
      </c>
      <c r="N76" s="98">
        <v>21809</v>
      </c>
      <c r="O76" s="98">
        <v>3729.89</v>
      </c>
      <c r="P76" s="98">
        <v>18079.11</v>
      </c>
      <c r="Q76" s="98">
        <v>-18079.11</v>
      </c>
    </row>
    <row r="77" spans="1:17" x14ac:dyDescent="0.35">
      <c r="A77" t="s">
        <v>110</v>
      </c>
      <c r="B77" t="s">
        <v>111</v>
      </c>
      <c r="C77">
        <v>4</v>
      </c>
      <c r="D77" t="s">
        <v>23</v>
      </c>
      <c r="E77" t="s">
        <v>100</v>
      </c>
      <c r="F77" t="s">
        <v>101</v>
      </c>
      <c r="G77">
        <v>254</v>
      </c>
      <c r="H77" t="s">
        <v>102</v>
      </c>
      <c r="I77" t="s">
        <v>103</v>
      </c>
      <c r="J77" t="s">
        <v>104</v>
      </c>
      <c r="K77">
        <v>1020</v>
      </c>
      <c r="L77">
        <v>102001</v>
      </c>
      <c r="M77" t="s">
        <v>133</v>
      </c>
      <c r="N77" s="98">
        <v>21809</v>
      </c>
      <c r="O77" s="98">
        <v>1558.23</v>
      </c>
      <c r="P77" s="98">
        <v>20250.77</v>
      </c>
      <c r="Q77" s="98">
        <v>-20250.77</v>
      </c>
    </row>
    <row r="78" spans="1:17" x14ac:dyDescent="0.35">
      <c r="A78" t="s">
        <v>112</v>
      </c>
      <c r="B78" t="s">
        <v>113</v>
      </c>
      <c r="C78">
        <v>5</v>
      </c>
      <c r="D78" t="s">
        <v>27</v>
      </c>
      <c r="E78" t="s">
        <v>100</v>
      </c>
      <c r="F78" t="s">
        <v>101</v>
      </c>
      <c r="G78">
        <v>254</v>
      </c>
      <c r="H78" t="s">
        <v>102</v>
      </c>
      <c r="I78" t="s">
        <v>103</v>
      </c>
      <c r="J78" t="s">
        <v>104</v>
      </c>
      <c r="K78">
        <v>1020</v>
      </c>
      <c r="L78">
        <v>102001</v>
      </c>
      <c r="M78" t="s">
        <v>133</v>
      </c>
      <c r="N78" s="98">
        <v>21809</v>
      </c>
      <c r="O78" s="98">
        <v>13647.27</v>
      </c>
      <c r="P78" s="98">
        <v>8161.73</v>
      </c>
      <c r="Q78" s="98">
        <v>-8161.73</v>
      </c>
    </row>
    <row r="79" spans="1:17" x14ac:dyDescent="0.35">
      <c r="A79" t="s">
        <v>114</v>
      </c>
      <c r="B79" t="s">
        <v>115</v>
      </c>
      <c r="C79">
        <v>6</v>
      </c>
      <c r="D79" t="s">
        <v>27</v>
      </c>
      <c r="E79" t="s">
        <v>100</v>
      </c>
      <c r="F79" t="s">
        <v>101</v>
      </c>
      <c r="G79">
        <v>254</v>
      </c>
      <c r="H79" t="s">
        <v>102</v>
      </c>
      <c r="I79" t="s">
        <v>103</v>
      </c>
      <c r="J79" t="s">
        <v>104</v>
      </c>
      <c r="K79">
        <v>1020</v>
      </c>
      <c r="L79">
        <v>102001</v>
      </c>
      <c r="M79" t="s">
        <v>133</v>
      </c>
      <c r="N79" s="98">
        <v>21807</v>
      </c>
      <c r="O79" s="98">
        <v>18359.38</v>
      </c>
      <c r="P79" s="98">
        <v>3447.62</v>
      </c>
      <c r="Q79" s="98">
        <v>-3447.62</v>
      </c>
    </row>
    <row r="80" spans="1:17" x14ac:dyDescent="0.35">
      <c r="A80" t="s">
        <v>116</v>
      </c>
      <c r="B80" t="s">
        <v>117</v>
      </c>
      <c r="C80">
        <v>7</v>
      </c>
      <c r="D80" t="s">
        <v>27</v>
      </c>
      <c r="E80" t="s">
        <v>100</v>
      </c>
      <c r="F80" t="s">
        <v>101</v>
      </c>
      <c r="G80">
        <v>254</v>
      </c>
      <c r="H80" t="s">
        <v>102</v>
      </c>
      <c r="I80" t="s">
        <v>103</v>
      </c>
      <c r="J80" t="s">
        <v>104</v>
      </c>
      <c r="K80">
        <v>1020</v>
      </c>
      <c r="L80">
        <v>102001</v>
      </c>
      <c r="M80" t="s">
        <v>133</v>
      </c>
      <c r="N80" s="98">
        <v>21809</v>
      </c>
      <c r="O80" s="98">
        <v>33861.46</v>
      </c>
      <c r="P80" s="98">
        <v>-12052.46</v>
      </c>
      <c r="Q80" s="98">
        <v>12052.46</v>
      </c>
    </row>
    <row r="81" spans="1:17" x14ac:dyDescent="0.35">
      <c r="A81" t="s">
        <v>118</v>
      </c>
      <c r="B81" t="s">
        <v>119</v>
      </c>
      <c r="C81">
        <v>8</v>
      </c>
      <c r="D81" t="s">
        <v>27</v>
      </c>
      <c r="E81" t="s">
        <v>100</v>
      </c>
      <c r="F81" t="s">
        <v>101</v>
      </c>
      <c r="G81">
        <v>254</v>
      </c>
      <c r="H81" t="s">
        <v>102</v>
      </c>
      <c r="I81" t="s">
        <v>103</v>
      </c>
      <c r="J81" t="s">
        <v>104</v>
      </c>
      <c r="K81">
        <v>1020</v>
      </c>
      <c r="L81">
        <v>102001</v>
      </c>
      <c r="M81" t="s">
        <v>133</v>
      </c>
      <c r="N81" s="98">
        <v>21809</v>
      </c>
      <c r="O81" s="98">
        <v>18868.990000000002</v>
      </c>
      <c r="P81" s="98">
        <v>2940.01</v>
      </c>
      <c r="Q81" s="98">
        <v>-2940.01</v>
      </c>
    </row>
    <row r="82" spans="1:17" x14ac:dyDescent="0.35">
      <c r="A82" t="s">
        <v>120</v>
      </c>
      <c r="B82" t="s">
        <v>121</v>
      </c>
      <c r="C82">
        <v>9</v>
      </c>
      <c r="D82" t="s">
        <v>30</v>
      </c>
      <c r="E82" t="s">
        <v>5</v>
      </c>
      <c r="F82" t="s">
        <v>101</v>
      </c>
      <c r="G82">
        <v>254</v>
      </c>
      <c r="H82" t="s">
        <v>102</v>
      </c>
      <c r="I82" t="s">
        <v>103</v>
      </c>
      <c r="J82" t="s">
        <v>104</v>
      </c>
      <c r="K82">
        <v>1020</v>
      </c>
      <c r="L82">
        <v>102001</v>
      </c>
      <c r="M82" t="s">
        <v>133</v>
      </c>
      <c r="N82" s="98">
        <v>21809</v>
      </c>
      <c r="O82" s="98">
        <v>0</v>
      </c>
      <c r="P82" s="98">
        <v>0</v>
      </c>
      <c r="Q82" s="98">
        <v>-21809</v>
      </c>
    </row>
    <row r="83" spans="1:17" x14ac:dyDescent="0.35">
      <c r="A83" t="s">
        <v>122</v>
      </c>
      <c r="B83" t="s">
        <v>123</v>
      </c>
      <c r="C83">
        <v>10</v>
      </c>
      <c r="D83" t="s">
        <v>30</v>
      </c>
      <c r="E83" t="s">
        <v>5</v>
      </c>
      <c r="F83" t="s">
        <v>101</v>
      </c>
      <c r="G83">
        <v>254</v>
      </c>
      <c r="H83" t="s">
        <v>102</v>
      </c>
      <c r="I83" t="s">
        <v>103</v>
      </c>
      <c r="J83" t="s">
        <v>104</v>
      </c>
      <c r="K83">
        <v>1020</v>
      </c>
      <c r="L83">
        <v>102001</v>
      </c>
      <c r="M83" t="s">
        <v>133</v>
      </c>
      <c r="N83" s="98">
        <v>21809</v>
      </c>
      <c r="O83" s="98">
        <v>0</v>
      </c>
      <c r="P83" s="98">
        <v>0</v>
      </c>
      <c r="Q83" s="98">
        <v>-21809</v>
      </c>
    </row>
    <row r="84" spans="1:17" x14ac:dyDescent="0.35">
      <c r="A84" t="s">
        <v>124</v>
      </c>
      <c r="B84" t="s">
        <v>125</v>
      </c>
      <c r="C84">
        <v>11</v>
      </c>
      <c r="D84" t="s">
        <v>30</v>
      </c>
      <c r="E84" t="s">
        <v>5</v>
      </c>
      <c r="F84" t="s">
        <v>101</v>
      </c>
      <c r="G84">
        <v>254</v>
      </c>
      <c r="H84" t="s">
        <v>102</v>
      </c>
      <c r="I84" t="s">
        <v>103</v>
      </c>
      <c r="J84" t="s">
        <v>104</v>
      </c>
      <c r="K84">
        <v>1020</v>
      </c>
      <c r="L84">
        <v>102001</v>
      </c>
      <c r="M84" t="s">
        <v>133</v>
      </c>
      <c r="N84" s="98">
        <v>21809</v>
      </c>
      <c r="O84" s="98">
        <v>0</v>
      </c>
      <c r="P84" s="98">
        <v>0</v>
      </c>
      <c r="Q84" s="98">
        <v>-21809</v>
      </c>
    </row>
    <row r="85" spans="1:17" x14ac:dyDescent="0.35">
      <c r="A85" t="s">
        <v>126</v>
      </c>
      <c r="B85" t="s">
        <v>127</v>
      </c>
      <c r="C85">
        <v>12</v>
      </c>
      <c r="D85" t="s">
        <v>30</v>
      </c>
      <c r="E85" t="s">
        <v>5</v>
      </c>
      <c r="F85" t="s">
        <v>101</v>
      </c>
      <c r="G85">
        <v>254</v>
      </c>
      <c r="H85" t="s">
        <v>102</v>
      </c>
      <c r="I85" t="s">
        <v>103</v>
      </c>
      <c r="J85" t="s">
        <v>104</v>
      </c>
      <c r="K85">
        <v>1020</v>
      </c>
      <c r="L85">
        <v>102001</v>
      </c>
      <c r="M85" t="s">
        <v>133</v>
      </c>
      <c r="N85" s="98">
        <v>22103</v>
      </c>
      <c r="O85" s="98">
        <v>0</v>
      </c>
      <c r="P85" s="98">
        <v>0</v>
      </c>
      <c r="Q85" s="98">
        <v>-22103</v>
      </c>
    </row>
    <row r="86" spans="1:17" x14ac:dyDescent="0.35">
      <c r="A86" t="s">
        <v>98</v>
      </c>
      <c r="B86" t="s">
        <v>99</v>
      </c>
      <c r="C86">
        <v>1</v>
      </c>
      <c r="D86" t="s">
        <v>23</v>
      </c>
      <c r="E86" t="s">
        <v>100</v>
      </c>
      <c r="F86" t="s">
        <v>101</v>
      </c>
      <c r="G86">
        <v>254</v>
      </c>
      <c r="H86" t="s">
        <v>102</v>
      </c>
      <c r="I86" t="s">
        <v>103</v>
      </c>
      <c r="J86" t="s">
        <v>104</v>
      </c>
      <c r="K86">
        <v>1020</v>
      </c>
      <c r="L86">
        <v>102002</v>
      </c>
      <c r="M86" t="s">
        <v>134</v>
      </c>
      <c r="N86" s="98">
        <v>23741</v>
      </c>
      <c r="O86" s="98">
        <v>0</v>
      </c>
      <c r="P86" s="98">
        <v>23741</v>
      </c>
      <c r="Q86" s="98">
        <v>-23741</v>
      </c>
    </row>
    <row r="87" spans="1:17" x14ac:dyDescent="0.35">
      <c r="A87" t="s">
        <v>106</v>
      </c>
      <c r="B87" t="s">
        <v>107</v>
      </c>
      <c r="C87">
        <v>2</v>
      </c>
      <c r="D87" t="s">
        <v>23</v>
      </c>
      <c r="E87" t="s">
        <v>100</v>
      </c>
      <c r="F87" t="s">
        <v>101</v>
      </c>
      <c r="G87">
        <v>254</v>
      </c>
      <c r="H87" t="s">
        <v>102</v>
      </c>
      <c r="I87" t="s">
        <v>103</v>
      </c>
      <c r="J87" t="s">
        <v>104</v>
      </c>
      <c r="K87">
        <v>1020</v>
      </c>
      <c r="L87">
        <v>102002</v>
      </c>
      <c r="M87" t="s">
        <v>134</v>
      </c>
      <c r="N87" s="98">
        <v>23741</v>
      </c>
      <c r="O87" s="98">
        <v>0</v>
      </c>
      <c r="P87" s="98">
        <v>23741</v>
      </c>
      <c r="Q87" s="98">
        <v>-23741</v>
      </c>
    </row>
    <row r="88" spans="1:17" x14ac:dyDescent="0.35">
      <c r="A88" t="s">
        <v>108</v>
      </c>
      <c r="B88" t="s">
        <v>109</v>
      </c>
      <c r="C88">
        <v>3</v>
      </c>
      <c r="D88" t="s">
        <v>23</v>
      </c>
      <c r="E88" t="s">
        <v>100</v>
      </c>
      <c r="F88" t="s">
        <v>101</v>
      </c>
      <c r="G88">
        <v>254</v>
      </c>
      <c r="H88" t="s">
        <v>102</v>
      </c>
      <c r="I88" t="s">
        <v>103</v>
      </c>
      <c r="J88" t="s">
        <v>104</v>
      </c>
      <c r="K88">
        <v>1020</v>
      </c>
      <c r="L88">
        <v>102002</v>
      </c>
      <c r="M88" t="s">
        <v>134</v>
      </c>
      <c r="N88" s="98">
        <v>23741</v>
      </c>
      <c r="O88" s="98">
        <v>0</v>
      </c>
      <c r="P88" s="98">
        <v>23741</v>
      </c>
      <c r="Q88" s="98">
        <v>-23741</v>
      </c>
    </row>
    <row r="89" spans="1:17" x14ac:dyDescent="0.35">
      <c r="A89" t="s">
        <v>110</v>
      </c>
      <c r="B89" t="s">
        <v>111</v>
      </c>
      <c r="C89">
        <v>4</v>
      </c>
      <c r="D89" t="s">
        <v>23</v>
      </c>
      <c r="E89" t="s">
        <v>100</v>
      </c>
      <c r="F89" t="s">
        <v>101</v>
      </c>
      <c r="G89">
        <v>254</v>
      </c>
      <c r="H89" t="s">
        <v>102</v>
      </c>
      <c r="I89" t="s">
        <v>103</v>
      </c>
      <c r="J89" t="s">
        <v>104</v>
      </c>
      <c r="K89">
        <v>1020</v>
      </c>
      <c r="L89">
        <v>102002</v>
      </c>
      <c r="M89" t="s">
        <v>134</v>
      </c>
      <c r="N89" s="98">
        <v>23741</v>
      </c>
      <c r="O89" s="98">
        <v>0</v>
      </c>
      <c r="P89" s="98">
        <v>23741</v>
      </c>
      <c r="Q89" s="98">
        <v>-23741</v>
      </c>
    </row>
    <row r="90" spans="1:17" x14ac:dyDescent="0.35">
      <c r="A90" t="s">
        <v>112</v>
      </c>
      <c r="B90" t="s">
        <v>113</v>
      </c>
      <c r="C90">
        <v>5</v>
      </c>
      <c r="D90" t="s">
        <v>27</v>
      </c>
      <c r="E90" t="s">
        <v>100</v>
      </c>
      <c r="F90" t="s">
        <v>101</v>
      </c>
      <c r="G90">
        <v>254</v>
      </c>
      <c r="H90" t="s">
        <v>102</v>
      </c>
      <c r="I90" t="s">
        <v>103</v>
      </c>
      <c r="J90" t="s">
        <v>104</v>
      </c>
      <c r="K90">
        <v>1020</v>
      </c>
      <c r="L90">
        <v>102002</v>
      </c>
      <c r="M90" t="s">
        <v>134</v>
      </c>
      <c r="N90" s="98">
        <v>23741</v>
      </c>
      <c r="O90" s="98">
        <v>0</v>
      </c>
      <c r="P90" s="98">
        <v>23741</v>
      </c>
      <c r="Q90" s="98">
        <v>-23741</v>
      </c>
    </row>
    <row r="91" spans="1:17" x14ac:dyDescent="0.35">
      <c r="A91" t="s">
        <v>114</v>
      </c>
      <c r="B91" t="s">
        <v>115</v>
      </c>
      <c r="C91">
        <v>6</v>
      </c>
      <c r="D91" t="s">
        <v>27</v>
      </c>
      <c r="E91" t="s">
        <v>100</v>
      </c>
      <c r="F91" t="s">
        <v>101</v>
      </c>
      <c r="G91">
        <v>254</v>
      </c>
      <c r="H91" t="s">
        <v>102</v>
      </c>
      <c r="I91" t="s">
        <v>103</v>
      </c>
      <c r="J91" t="s">
        <v>104</v>
      </c>
      <c r="K91">
        <v>1020</v>
      </c>
      <c r="L91">
        <v>102002</v>
      </c>
      <c r="M91" t="s">
        <v>134</v>
      </c>
      <c r="N91" s="98">
        <v>23741</v>
      </c>
      <c r="O91" s="98">
        <v>0</v>
      </c>
      <c r="P91" s="98">
        <v>23741</v>
      </c>
      <c r="Q91" s="98">
        <v>-23741</v>
      </c>
    </row>
    <row r="92" spans="1:17" x14ac:dyDescent="0.35">
      <c r="A92" t="s">
        <v>116</v>
      </c>
      <c r="B92" t="s">
        <v>117</v>
      </c>
      <c r="C92">
        <v>7</v>
      </c>
      <c r="D92" t="s">
        <v>27</v>
      </c>
      <c r="E92" t="s">
        <v>100</v>
      </c>
      <c r="F92" t="s">
        <v>101</v>
      </c>
      <c r="G92">
        <v>254</v>
      </c>
      <c r="H92" t="s">
        <v>102</v>
      </c>
      <c r="I92" t="s">
        <v>103</v>
      </c>
      <c r="J92" t="s">
        <v>104</v>
      </c>
      <c r="K92">
        <v>1020</v>
      </c>
      <c r="L92">
        <v>102002</v>
      </c>
      <c r="M92" t="s">
        <v>134</v>
      </c>
      <c r="N92" s="98">
        <v>23741</v>
      </c>
      <c r="O92" s="98">
        <v>0</v>
      </c>
      <c r="P92" s="98">
        <v>23741</v>
      </c>
      <c r="Q92" s="98">
        <v>-23741</v>
      </c>
    </row>
    <row r="93" spans="1:17" x14ac:dyDescent="0.35">
      <c r="A93" t="s">
        <v>118</v>
      </c>
      <c r="B93" t="s">
        <v>119</v>
      </c>
      <c r="C93">
        <v>8</v>
      </c>
      <c r="D93" t="s">
        <v>27</v>
      </c>
      <c r="E93" t="s">
        <v>100</v>
      </c>
      <c r="F93" t="s">
        <v>101</v>
      </c>
      <c r="G93">
        <v>254</v>
      </c>
      <c r="H93" t="s">
        <v>102</v>
      </c>
      <c r="I93" t="s">
        <v>103</v>
      </c>
      <c r="J93" t="s">
        <v>104</v>
      </c>
      <c r="K93">
        <v>1020</v>
      </c>
      <c r="L93">
        <v>102002</v>
      </c>
      <c r="M93" t="s">
        <v>134</v>
      </c>
      <c r="N93" s="98">
        <v>23741</v>
      </c>
      <c r="O93" s="98">
        <v>0</v>
      </c>
      <c r="P93" s="98">
        <v>23741</v>
      </c>
      <c r="Q93" s="98">
        <v>-23741</v>
      </c>
    </row>
    <row r="94" spans="1:17" x14ac:dyDescent="0.35">
      <c r="A94" t="s">
        <v>120</v>
      </c>
      <c r="B94" t="s">
        <v>121</v>
      </c>
      <c r="C94">
        <v>9</v>
      </c>
      <c r="D94" t="s">
        <v>30</v>
      </c>
      <c r="E94" t="s">
        <v>5</v>
      </c>
      <c r="F94" t="s">
        <v>101</v>
      </c>
      <c r="G94">
        <v>254</v>
      </c>
      <c r="H94" t="s">
        <v>102</v>
      </c>
      <c r="I94" t="s">
        <v>103</v>
      </c>
      <c r="J94" t="s">
        <v>104</v>
      </c>
      <c r="K94">
        <v>1020</v>
      </c>
      <c r="L94">
        <v>102002</v>
      </c>
      <c r="M94" t="s">
        <v>134</v>
      </c>
      <c r="N94" s="98">
        <v>23741</v>
      </c>
      <c r="O94" s="98">
        <v>0</v>
      </c>
      <c r="P94" s="98">
        <v>0</v>
      </c>
      <c r="Q94" s="98">
        <v>-23741</v>
      </c>
    </row>
    <row r="95" spans="1:17" x14ac:dyDescent="0.35">
      <c r="A95" t="s">
        <v>122</v>
      </c>
      <c r="B95" t="s">
        <v>123</v>
      </c>
      <c r="C95">
        <v>10</v>
      </c>
      <c r="D95" t="s">
        <v>30</v>
      </c>
      <c r="E95" t="s">
        <v>5</v>
      </c>
      <c r="F95" t="s">
        <v>101</v>
      </c>
      <c r="G95">
        <v>254</v>
      </c>
      <c r="H95" t="s">
        <v>102</v>
      </c>
      <c r="I95" t="s">
        <v>103</v>
      </c>
      <c r="J95" t="s">
        <v>104</v>
      </c>
      <c r="K95">
        <v>1020</v>
      </c>
      <c r="L95">
        <v>102002</v>
      </c>
      <c r="M95" t="s">
        <v>134</v>
      </c>
      <c r="N95" s="98">
        <v>23741</v>
      </c>
      <c r="O95" s="98">
        <v>0</v>
      </c>
      <c r="P95" s="98">
        <v>0</v>
      </c>
      <c r="Q95" s="98">
        <v>-23741</v>
      </c>
    </row>
    <row r="96" spans="1:17" x14ac:dyDescent="0.35">
      <c r="A96" t="s">
        <v>124</v>
      </c>
      <c r="B96" t="s">
        <v>125</v>
      </c>
      <c r="C96">
        <v>11</v>
      </c>
      <c r="D96" t="s">
        <v>30</v>
      </c>
      <c r="E96" t="s">
        <v>5</v>
      </c>
      <c r="F96" t="s">
        <v>101</v>
      </c>
      <c r="G96">
        <v>254</v>
      </c>
      <c r="H96" t="s">
        <v>102</v>
      </c>
      <c r="I96" t="s">
        <v>103</v>
      </c>
      <c r="J96" t="s">
        <v>104</v>
      </c>
      <c r="K96">
        <v>1020</v>
      </c>
      <c r="L96">
        <v>102002</v>
      </c>
      <c r="M96" t="s">
        <v>134</v>
      </c>
      <c r="N96" s="98">
        <v>23741</v>
      </c>
      <c r="O96" s="98">
        <v>0</v>
      </c>
      <c r="P96" s="98">
        <v>0</v>
      </c>
      <c r="Q96" s="98">
        <v>-23741</v>
      </c>
    </row>
    <row r="97" spans="1:17" x14ac:dyDescent="0.35">
      <c r="A97" t="s">
        <v>126</v>
      </c>
      <c r="B97" t="s">
        <v>127</v>
      </c>
      <c r="C97">
        <v>12</v>
      </c>
      <c r="D97" t="s">
        <v>30</v>
      </c>
      <c r="E97" t="s">
        <v>5</v>
      </c>
      <c r="F97" t="s">
        <v>101</v>
      </c>
      <c r="G97">
        <v>254</v>
      </c>
      <c r="H97" t="s">
        <v>102</v>
      </c>
      <c r="I97" t="s">
        <v>103</v>
      </c>
      <c r="J97" t="s">
        <v>104</v>
      </c>
      <c r="K97">
        <v>1020</v>
      </c>
      <c r="L97">
        <v>102002</v>
      </c>
      <c r="M97" t="s">
        <v>134</v>
      </c>
      <c r="N97" s="98">
        <v>23849</v>
      </c>
      <c r="O97" s="98">
        <v>0</v>
      </c>
      <c r="P97" s="98">
        <v>0</v>
      </c>
      <c r="Q97" s="98">
        <v>-23849</v>
      </c>
    </row>
    <row r="98" spans="1:17" x14ac:dyDescent="0.35">
      <c r="A98" t="s">
        <v>98</v>
      </c>
      <c r="B98" t="s">
        <v>99</v>
      </c>
      <c r="C98">
        <v>1</v>
      </c>
      <c r="D98" t="s">
        <v>23</v>
      </c>
      <c r="E98" t="s">
        <v>100</v>
      </c>
      <c r="F98" t="s">
        <v>101</v>
      </c>
      <c r="G98">
        <v>254</v>
      </c>
      <c r="H98" t="s">
        <v>102</v>
      </c>
      <c r="I98" t="s">
        <v>103</v>
      </c>
      <c r="J98" t="s">
        <v>104</v>
      </c>
      <c r="K98">
        <v>1020</v>
      </c>
      <c r="L98">
        <v>102010</v>
      </c>
      <c r="M98" t="s">
        <v>135</v>
      </c>
      <c r="N98" s="98">
        <v>4738</v>
      </c>
      <c r="O98" s="98">
        <v>0</v>
      </c>
      <c r="P98" s="98">
        <v>4738</v>
      </c>
      <c r="Q98" s="98">
        <v>-4738</v>
      </c>
    </row>
    <row r="99" spans="1:17" x14ac:dyDescent="0.35">
      <c r="A99" t="s">
        <v>106</v>
      </c>
      <c r="B99" t="s">
        <v>107</v>
      </c>
      <c r="C99">
        <v>2</v>
      </c>
      <c r="D99" t="s">
        <v>23</v>
      </c>
      <c r="E99" t="s">
        <v>100</v>
      </c>
      <c r="F99" t="s">
        <v>101</v>
      </c>
      <c r="G99">
        <v>254</v>
      </c>
      <c r="H99" t="s">
        <v>102</v>
      </c>
      <c r="I99" t="s">
        <v>103</v>
      </c>
      <c r="J99" t="s">
        <v>104</v>
      </c>
      <c r="K99">
        <v>1020</v>
      </c>
      <c r="L99">
        <v>102010</v>
      </c>
      <c r="M99" t="s">
        <v>135</v>
      </c>
      <c r="N99" s="98">
        <v>4738</v>
      </c>
      <c r="O99" s="98">
        <v>8996.59</v>
      </c>
      <c r="P99" s="98">
        <v>-4258.59</v>
      </c>
      <c r="Q99" s="98">
        <v>4258.59</v>
      </c>
    </row>
    <row r="100" spans="1:17" x14ac:dyDescent="0.35">
      <c r="A100" t="s">
        <v>108</v>
      </c>
      <c r="B100" t="s">
        <v>109</v>
      </c>
      <c r="C100">
        <v>3</v>
      </c>
      <c r="D100" t="s">
        <v>23</v>
      </c>
      <c r="E100" t="s">
        <v>100</v>
      </c>
      <c r="F100" t="s">
        <v>101</v>
      </c>
      <c r="G100">
        <v>254</v>
      </c>
      <c r="H100" t="s">
        <v>102</v>
      </c>
      <c r="I100" t="s">
        <v>103</v>
      </c>
      <c r="J100" t="s">
        <v>104</v>
      </c>
      <c r="K100">
        <v>1020</v>
      </c>
      <c r="L100">
        <v>102010</v>
      </c>
      <c r="M100" t="s">
        <v>135</v>
      </c>
      <c r="N100" s="98">
        <v>4738</v>
      </c>
      <c r="O100" s="98">
        <v>0</v>
      </c>
      <c r="P100" s="98">
        <v>4738</v>
      </c>
      <c r="Q100" s="98">
        <v>-4738</v>
      </c>
    </row>
    <row r="101" spans="1:17" x14ac:dyDescent="0.35">
      <c r="A101" t="s">
        <v>110</v>
      </c>
      <c r="B101" t="s">
        <v>111</v>
      </c>
      <c r="C101">
        <v>4</v>
      </c>
      <c r="D101" t="s">
        <v>23</v>
      </c>
      <c r="E101" t="s">
        <v>100</v>
      </c>
      <c r="F101" t="s">
        <v>101</v>
      </c>
      <c r="G101">
        <v>254</v>
      </c>
      <c r="H101" t="s">
        <v>102</v>
      </c>
      <c r="I101" t="s">
        <v>103</v>
      </c>
      <c r="J101" t="s">
        <v>104</v>
      </c>
      <c r="K101">
        <v>1020</v>
      </c>
      <c r="L101">
        <v>102010</v>
      </c>
      <c r="M101" t="s">
        <v>135</v>
      </c>
      <c r="N101" s="98">
        <v>4738</v>
      </c>
      <c r="O101" s="98">
        <v>5110.7299999999996</v>
      </c>
      <c r="P101" s="98">
        <v>-372.73</v>
      </c>
      <c r="Q101" s="98">
        <v>372.73</v>
      </c>
    </row>
    <row r="102" spans="1:17" x14ac:dyDescent="0.35">
      <c r="A102" t="s">
        <v>112</v>
      </c>
      <c r="B102" t="s">
        <v>113</v>
      </c>
      <c r="C102">
        <v>5</v>
      </c>
      <c r="D102" t="s">
        <v>27</v>
      </c>
      <c r="E102" t="s">
        <v>100</v>
      </c>
      <c r="F102" t="s">
        <v>101</v>
      </c>
      <c r="G102">
        <v>254</v>
      </c>
      <c r="H102" t="s">
        <v>102</v>
      </c>
      <c r="I102" t="s">
        <v>103</v>
      </c>
      <c r="J102" t="s">
        <v>104</v>
      </c>
      <c r="K102">
        <v>1020</v>
      </c>
      <c r="L102">
        <v>102010</v>
      </c>
      <c r="M102" t="s">
        <v>135</v>
      </c>
      <c r="N102" s="98">
        <v>4738</v>
      </c>
      <c r="O102" s="98">
        <v>3351.87</v>
      </c>
      <c r="P102" s="98">
        <v>1386.13</v>
      </c>
      <c r="Q102" s="98">
        <v>-1386.13</v>
      </c>
    </row>
    <row r="103" spans="1:17" x14ac:dyDescent="0.35">
      <c r="A103" t="s">
        <v>114</v>
      </c>
      <c r="B103" t="s">
        <v>115</v>
      </c>
      <c r="C103">
        <v>6</v>
      </c>
      <c r="D103" t="s">
        <v>27</v>
      </c>
      <c r="E103" t="s">
        <v>100</v>
      </c>
      <c r="F103" t="s">
        <v>101</v>
      </c>
      <c r="G103">
        <v>254</v>
      </c>
      <c r="H103" t="s">
        <v>102</v>
      </c>
      <c r="I103" t="s">
        <v>103</v>
      </c>
      <c r="J103" t="s">
        <v>104</v>
      </c>
      <c r="K103">
        <v>1020</v>
      </c>
      <c r="L103">
        <v>102010</v>
      </c>
      <c r="M103" t="s">
        <v>135</v>
      </c>
      <c r="N103" s="98">
        <v>4738</v>
      </c>
      <c r="O103" s="98">
        <v>2130.8000000000002</v>
      </c>
      <c r="P103" s="98">
        <v>2607.1999999999998</v>
      </c>
      <c r="Q103" s="98">
        <v>-2607.1999999999998</v>
      </c>
    </row>
    <row r="104" spans="1:17" x14ac:dyDescent="0.35">
      <c r="A104" t="s">
        <v>116</v>
      </c>
      <c r="B104" t="s">
        <v>117</v>
      </c>
      <c r="C104">
        <v>7</v>
      </c>
      <c r="D104" t="s">
        <v>27</v>
      </c>
      <c r="E104" t="s">
        <v>100</v>
      </c>
      <c r="F104" t="s">
        <v>101</v>
      </c>
      <c r="G104">
        <v>254</v>
      </c>
      <c r="H104" t="s">
        <v>102</v>
      </c>
      <c r="I104" t="s">
        <v>103</v>
      </c>
      <c r="J104" t="s">
        <v>104</v>
      </c>
      <c r="K104">
        <v>1020</v>
      </c>
      <c r="L104">
        <v>102010</v>
      </c>
      <c r="M104" t="s">
        <v>135</v>
      </c>
      <c r="N104" s="98">
        <v>4738</v>
      </c>
      <c r="O104" s="98">
        <v>964.38</v>
      </c>
      <c r="P104" s="98">
        <v>3773.62</v>
      </c>
      <c r="Q104" s="98">
        <v>-3773.62</v>
      </c>
    </row>
    <row r="105" spans="1:17" x14ac:dyDescent="0.35">
      <c r="A105" t="s">
        <v>118</v>
      </c>
      <c r="B105" t="s">
        <v>119</v>
      </c>
      <c r="C105">
        <v>8</v>
      </c>
      <c r="D105" t="s">
        <v>27</v>
      </c>
      <c r="E105" t="s">
        <v>100</v>
      </c>
      <c r="F105" t="s">
        <v>101</v>
      </c>
      <c r="G105">
        <v>254</v>
      </c>
      <c r="H105" t="s">
        <v>102</v>
      </c>
      <c r="I105" t="s">
        <v>103</v>
      </c>
      <c r="J105" t="s">
        <v>104</v>
      </c>
      <c r="K105">
        <v>1020</v>
      </c>
      <c r="L105">
        <v>102010</v>
      </c>
      <c r="M105" t="s">
        <v>135</v>
      </c>
      <c r="N105" s="98">
        <v>4738</v>
      </c>
      <c r="O105" s="98">
        <v>3854.21</v>
      </c>
      <c r="P105" s="98">
        <v>883.79</v>
      </c>
      <c r="Q105" s="98">
        <v>-883.79</v>
      </c>
    </row>
    <row r="106" spans="1:17" x14ac:dyDescent="0.35">
      <c r="A106" t="s">
        <v>120</v>
      </c>
      <c r="B106" t="s">
        <v>121</v>
      </c>
      <c r="C106">
        <v>9</v>
      </c>
      <c r="D106" t="s">
        <v>30</v>
      </c>
      <c r="E106" t="s">
        <v>5</v>
      </c>
      <c r="F106" t="s">
        <v>101</v>
      </c>
      <c r="G106">
        <v>254</v>
      </c>
      <c r="H106" t="s">
        <v>102</v>
      </c>
      <c r="I106" t="s">
        <v>103</v>
      </c>
      <c r="J106" t="s">
        <v>104</v>
      </c>
      <c r="K106">
        <v>1020</v>
      </c>
      <c r="L106">
        <v>102010</v>
      </c>
      <c r="M106" t="s">
        <v>135</v>
      </c>
      <c r="N106" s="98">
        <v>4738</v>
      </c>
      <c r="O106" s="98">
        <v>0</v>
      </c>
      <c r="P106" s="98">
        <v>0</v>
      </c>
      <c r="Q106" s="98">
        <v>-4738</v>
      </c>
    </row>
    <row r="107" spans="1:17" x14ac:dyDescent="0.35">
      <c r="A107" t="s">
        <v>122</v>
      </c>
      <c r="B107" t="s">
        <v>123</v>
      </c>
      <c r="C107">
        <v>10</v>
      </c>
      <c r="D107" t="s">
        <v>30</v>
      </c>
      <c r="E107" t="s">
        <v>5</v>
      </c>
      <c r="F107" t="s">
        <v>101</v>
      </c>
      <c r="G107">
        <v>254</v>
      </c>
      <c r="H107" t="s">
        <v>102</v>
      </c>
      <c r="I107" t="s">
        <v>103</v>
      </c>
      <c r="J107" t="s">
        <v>104</v>
      </c>
      <c r="K107">
        <v>1020</v>
      </c>
      <c r="L107">
        <v>102010</v>
      </c>
      <c r="M107" t="s">
        <v>135</v>
      </c>
      <c r="N107" s="98">
        <v>4738</v>
      </c>
      <c r="O107" s="98">
        <v>0</v>
      </c>
      <c r="P107" s="98">
        <v>0</v>
      </c>
      <c r="Q107" s="98">
        <v>-4738</v>
      </c>
    </row>
    <row r="108" spans="1:17" x14ac:dyDescent="0.35">
      <c r="A108" t="s">
        <v>124</v>
      </c>
      <c r="B108" t="s">
        <v>125</v>
      </c>
      <c r="C108">
        <v>11</v>
      </c>
      <c r="D108" t="s">
        <v>30</v>
      </c>
      <c r="E108" t="s">
        <v>5</v>
      </c>
      <c r="F108" t="s">
        <v>101</v>
      </c>
      <c r="G108">
        <v>254</v>
      </c>
      <c r="H108" t="s">
        <v>102</v>
      </c>
      <c r="I108" t="s">
        <v>103</v>
      </c>
      <c r="J108" t="s">
        <v>104</v>
      </c>
      <c r="K108">
        <v>1020</v>
      </c>
      <c r="L108">
        <v>102010</v>
      </c>
      <c r="M108" t="s">
        <v>135</v>
      </c>
      <c r="N108" s="98">
        <v>4738</v>
      </c>
      <c r="O108" s="98">
        <v>0</v>
      </c>
      <c r="P108" s="98">
        <v>0</v>
      </c>
      <c r="Q108" s="98">
        <v>-4738</v>
      </c>
    </row>
    <row r="109" spans="1:17" x14ac:dyDescent="0.35">
      <c r="A109" t="s">
        <v>126</v>
      </c>
      <c r="B109" t="s">
        <v>127</v>
      </c>
      <c r="C109">
        <v>12</v>
      </c>
      <c r="D109" t="s">
        <v>30</v>
      </c>
      <c r="E109" t="s">
        <v>5</v>
      </c>
      <c r="F109" t="s">
        <v>101</v>
      </c>
      <c r="G109">
        <v>254</v>
      </c>
      <c r="H109" t="s">
        <v>102</v>
      </c>
      <c r="I109" t="s">
        <v>103</v>
      </c>
      <c r="J109" t="s">
        <v>104</v>
      </c>
      <c r="K109">
        <v>1020</v>
      </c>
      <c r="L109">
        <v>102010</v>
      </c>
      <c r="M109" t="s">
        <v>135</v>
      </c>
      <c r="N109" s="98">
        <v>4882</v>
      </c>
      <c r="O109" s="98">
        <v>0</v>
      </c>
      <c r="P109" s="98">
        <v>0</v>
      </c>
      <c r="Q109" s="98">
        <v>-4882</v>
      </c>
    </row>
    <row r="110" spans="1:17" x14ac:dyDescent="0.35">
      <c r="A110" t="s">
        <v>98</v>
      </c>
      <c r="B110" t="s">
        <v>99</v>
      </c>
      <c r="C110">
        <v>1</v>
      </c>
      <c r="D110" t="s">
        <v>23</v>
      </c>
      <c r="E110" t="s">
        <v>100</v>
      </c>
      <c r="F110" t="s">
        <v>101</v>
      </c>
      <c r="G110">
        <v>254</v>
      </c>
      <c r="H110" t="s">
        <v>102</v>
      </c>
      <c r="I110" t="s">
        <v>103</v>
      </c>
      <c r="J110" t="s">
        <v>104</v>
      </c>
      <c r="K110">
        <v>1020</v>
      </c>
      <c r="L110">
        <v>102011</v>
      </c>
      <c r="M110" t="s">
        <v>136</v>
      </c>
      <c r="N110" s="98">
        <v>31172</v>
      </c>
      <c r="O110" s="98">
        <v>0</v>
      </c>
      <c r="P110" s="98">
        <v>31172</v>
      </c>
      <c r="Q110" s="98">
        <v>-31172</v>
      </c>
    </row>
    <row r="111" spans="1:17" x14ac:dyDescent="0.35">
      <c r="A111" t="s">
        <v>106</v>
      </c>
      <c r="B111" t="s">
        <v>107</v>
      </c>
      <c r="C111">
        <v>2</v>
      </c>
      <c r="D111" t="s">
        <v>23</v>
      </c>
      <c r="E111" t="s">
        <v>100</v>
      </c>
      <c r="F111" t="s">
        <v>101</v>
      </c>
      <c r="G111">
        <v>254</v>
      </c>
      <c r="H111" t="s">
        <v>102</v>
      </c>
      <c r="I111" t="s">
        <v>103</v>
      </c>
      <c r="J111" t="s">
        <v>104</v>
      </c>
      <c r="K111">
        <v>1020</v>
      </c>
      <c r="L111">
        <v>102011</v>
      </c>
      <c r="M111" t="s">
        <v>136</v>
      </c>
      <c r="N111" s="98">
        <v>10992</v>
      </c>
      <c r="O111" s="98">
        <v>95936.89</v>
      </c>
      <c r="P111" s="98">
        <v>-84944.89</v>
      </c>
      <c r="Q111" s="98">
        <v>84944.89</v>
      </c>
    </row>
    <row r="112" spans="1:17" x14ac:dyDescent="0.35">
      <c r="A112" t="s">
        <v>108</v>
      </c>
      <c r="B112" t="s">
        <v>109</v>
      </c>
      <c r="C112">
        <v>3</v>
      </c>
      <c r="D112" t="s">
        <v>23</v>
      </c>
      <c r="E112" t="s">
        <v>100</v>
      </c>
      <c r="F112" t="s">
        <v>101</v>
      </c>
      <c r="G112">
        <v>254</v>
      </c>
      <c r="H112" t="s">
        <v>102</v>
      </c>
      <c r="I112" t="s">
        <v>103</v>
      </c>
      <c r="J112" t="s">
        <v>104</v>
      </c>
      <c r="K112">
        <v>1020</v>
      </c>
      <c r="L112">
        <v>102011</v>
      </c>
      <c r="M112" t="s">
        <v>136</v>
      </c>
      <c r="N112" s="98">
        <v>11621</v>
      </c>
      <c r="O112" s="98">
        <v>17258.03</v>
      </c>
      <c r="P112" s="98">
        <v>-5637.03</v>
      </c>
      <c r="Q112" s="98">
        <v>5637.03</v>
      </c>
    </row>
    <row r="113" spans="1:17" x14ac:dyDescent="0.35">
      <c r="A113" t="s">
        <v>110</v>
      </c>
      <c r="B113" t="s">
        <v>111</v>
      </c>
      <c r="C113">
        <v>4</v>
      </c>
      <c r="D113" t="s">
        <v>23</v>
      </c>
      <c r="E113" t="s">
        <v>100</v>
      </c>
      <c r="F113" t="s">
        <v>101</v>
      </c>
      <c r="G113">
        <v>254</v>
      </c>
      <c r="H113" t="s">
        <v>102</v>
      </c>
      <c r="I113" t="s">
        <v>103</v>
      </c>
      <c r="J113" t="s">
        <v>104</v>
      </c>
      <c r="K113">
        <v>1020</v>
      </c>
      <c r="L113">
        <v>102011</v>
      </c>
      <c r="M113" t="s">
        <v>136</v>
      </c>
      <c r="N113" s="98">
        <v>17299</v>
      </c>
      <c r="O113" s="98">
        <v>8563.2999999999993</v>
      </c>
      <c r="P113" s="98">
        <v>8735.7000000000007</v>
      </c>
      <c r="Q113" s="98">
        <v>-8735.7000000000007</v>
      </c>
    </row>
    <row r="114" spans="1:17" x14ac:dyDescent="0.35">
      <c r="A114" t="s">
        <v>112</v>
      </c>
      <c r="B114" t="s">
        <v>113</v>
      </c>
      <c r="C114">
        <v>5</v>
      </c>
      <c r="D114" t="s">
        <v>27</v>
      </c>
      <c r="E114" t="s">
        <v>100</v>
      </c>
      <c r="F114" t="s">
        <v>101</v>
      </c>
      <c r="G114">
        <v>254</v>
      </c>
      <c r="H114" t="s">
        <v>102</v>
      </c>
      <c r="I114" t="s">
        <v>103</v>
      </c>
      <c r="J114" t="s">
        <v>104</v>
      </c>
      <c r="K114">
        <v>1020</v>
      </c>
      <c r="L114">
        <v>102011</v>
      </c>
      <c r="M114" t="s">
        <v>136</v>
      </c>
      <c r="N114" s="98">
        <v>14760</v>
      </c>
      <c r="O114" s="98">
        <v>5394.12</v>
      </c>
      <c r="P114" s="98">
        <v>9365.8799999999992</v>
      </c>
      <c r="Q114" s="98">
        <v>-9365.8799999999992</v>
      </c>
    </row>
    <row r="115" spans="1:17" x14ac:dyDescent="0.35">
      <c r="A115" t="s">
        <v>114</v>
      </c>
      <c r="B115" t="s">
        <v>115</v>
      </c>
      <c r="C115">
        <v>6</v>
      </c>
      <c r="D115" t="s">
        <v>27</v>
      </c>
      <c r="E115" t="s">
        <v>100</v>
      </c>
      <c r="F115" t="s">
        <v>101</v>
      </c>
      <c r="G115">
        <v>254</v>
      </c>
      <c r="H115" t="s">
        <v>102</v>
      </c>
      <c r="I115" t="s">
        <v>103</v>
      </c>
      <c r="J115" t="s">
        <v>104</v>
      </c>
      <c r="K115">
        <v>1020</v>
      </c>
      <c r="L115">
        <v>102011</v>
      </c>
      <c r="M115" t="s">
        <v>136</v>
      </c>
      <c r="N115" s="98">
        <v>21311</v>
      </c>
      <c r="O115" s="98">
        <v>2111.58</v>
      </c>
      <c r="P115" s="98">
        <v>19199.419999999998</v>
      </c>
      <c r="Q115" s="98">
        <v>-19199.419999999998</v>
      </c>
    </row>
    <row r="116" spans="1:17" x14ac:dyDescent="0.35">
      <c r="A116" t="s">
        <v>116</v>
      </c>
      <c r="B116" t="s">
        <v>117</v>
      </c>
      <c r="C116">
        <v>7</v>
      </c>
      <c r="D116" t="s">
        <v>27</v>
      </c>
      <c r="E116" t="s">
        <v>100</v>
      </c>
      <c r="F116" t="s">
        <v>101</v>
      </c>
      <c r="G116">
        <v>254</v>
      </c>
      <c r="H116" t="s">
        <v>102</v>
      </c>
      <c r="I116" t="s">
        <v>103</v>
      </c>
      <c r="J116" t="s">
        <v>104</v>
      </c>
      <c r="K116">
        <v>1020</v>
      </c>
      <c r="L116">
        <v>102011</v>
      </c>
      <c r="M116" t="s">
        <v>136</v>
      </c>
      <c r="N116" s="98">
        <v>66668</v>
      </c>
      <c r="O116" s="98">
        <v>43393.77</v>
      </c>
      <c r="P116" s="98">
        <v>23274.23</v>
      </c>
      <c r="Q116" s="98">
        <v>-23274.23</v>
      </c>
    </row>
    <row r="117" spans="1:17" x14ac:dyDescent="0.35">
      <c r="A117" t="s">
        <v>118</v>
      </c>
      <c r="B117" t="s">
        <v>119</v>
      </c>
      <c r="C117">
        <v>8</v>
      </c>
      <c r="D117" t="s">
        <v>27</v>
      </c>
      <c r="E117" t="s">
        <v>100</v>
      </c>
      <c r="F117" t="s">
        <v>101</v>
      </c>
      <c r="G117">
        <v>254</v>
      </c>
      <c r="H117" t="s">
        <v>102</v>
      </c>
      <c r="I117" t="s">
        <v>103</v>
      </c>
      <c r="J117" t="s">
        <v>104</v>
      </c>
      <c r="K117">
        <v>1020</v>
      </c>
      <c r="L117">
        <v>102011</v>
      </c>
      <c r="M117" t="s">
        <v>136</v>
      </c>
      <c r="N117" s="98">
        <v>147227</v>
      </c>
      <c r="O117" s="98">
        <v>131265.74</v>
      </c>
      <c r="P117" s="98">
        <v>15961.26</v>
      </c>
      <c r="Q117" s="98">
        <v>-15961.26</v>
      </c>
    </row>
    <row r="118" spans="1:17" x14ac:dyDescent="0.35">
      <c r="A118" t="s">
        <v>120</v>
      </c>
      <c r="B118" t="s">
        <v>121</v>
      </c>
      <c r="C118">
        <v>9</v>
      </c>
      <c r="D118" t="s">
        <v>30</v>
      </c>
      <c r="E118" t="s">
        <v>5</v>
      </c>
      <c r="F118" t="s">
        <v>101</v>
      </c>
      <c r="G118">
        <v>254</v>
      </c>
      <c r="H118" t="s">
        <v>102</v>
      </c>
      <c r="I118" t="s">
        <v>103</v>
      </c>
      <c r="J118" t="s">
        <v>104</v>
      </c>
      <c r="K118">
        <v>1020</v>
      </c>
      <c r="L118">
        <v>102011</v>
      </c>
      <c r="M118" t="s">
        <v>136</v>
      </c>
      <c r="N118" s="98">
        <v>126463</v>
      </c>
      <c r="O118" s="98">
        <v>0</v>
      </c>
      <c r="P118" s="98">
        <v>0</v>
      </c>
      <c r="Q118" s="98">
        <v>-126463</v>
      </c>
    </row>
    <row r="119" spans="1:17" x14ac:dyDescent="0.35">
      <c r="A119" t="s">
        <v>122</v>
      </c>
      <c r="B119" t="s">
        <v>123</v>
      </c>
      <c r="C119">
        <v>10</v>
      </c>
      <c r="D119" t="s">
        <v>30</v>
      </c>
      <c r="E119" t="s">
        <v>5</v>
      </c>
      <c r="F119" t="s">
        <v>101</v>
      </c>
      <c r="G119">
        <v>254</v>
      </c>
      <c r="H119" t="s">
        <v>102</v>
      </c>
      <c r="I119" t="s">
        <v>103</v>
      </c>
      <c r="J119" t="s">
        <v>104</v>
      </c>
      <c r="K119">
        <v>1020</v>
      </c>
      <c r="L119">
        <v>102011</v>
      </c>
      <c r="M119" t="s">
        <v>136</v>
      </c>
      <c r="N119" s="98">
        <v>40837</v>
      </c>
      <c r="O119" s="98">
        <v>0</v>
      </c>
      <c r="P119" s="98">
        <v>0</v>
      </c>
      <c r="Q119" s="98">
        <v>-40837</v>
      </c>
    </row>
    <row r="120" spans="1:17" x14ac:dyDescent="0.35">
      <c r="A120" t="s">
        <v>124</v>
      </c>
      <c r="B120" t="s">
        <v>125</v>
      </c>
      <c r="C120">
        <v>11</v>
      </c>
      <c r="D120" t="s">
        <v>30</v>
      </c>
      <c r="E120" t="s">
        <v>5</v>
      </c>
      <c r="F120" t="s">
        <v>101</v>
      </c>
      <c r="G120">
        <v>254</v>
      </c>
      <c r="H120" t="s">
        <v>102</v>
      </c>
      <c r="I120" t="s">
        <v>103</v>
      </c>
      <c r="J120" t="s">
        <v>104</v>
      </c>
      <c r="K120">
        <v>1020</v>
      </c>
      <c r="L120">
        <v>102011</v>
      </c>
      <c r="M120" t="s">
        <v>136</v>
      </c>
      <c r="N120" s="98">
        <v>40611</v>
      </c>
      <c r="O120" s="98">
        <v>0</v>
      </c>
      <c r="P120" s="98">
        <v>0</v>
      </c>
      <c r="Q120" s="98">
        <v>-40611</v>
      </c>
    </row>
    <row r="121" spans="1:17" x14ac:dyDescent="0.35">
      <c r="A121" t="s">
        <v>126</v>
      </c>
      <c r="B121" t="s">
        <v>127</v>
      </c>
      <c r="C121">
        <v>12</v>
      </c>
      <c r="D121" t="s">
        <v>30</v>
      </c>
      <c r="E121" t="s">
        <v>5</v>
      </c>
      <c r="F121" t="s">
        <v>101</v>
      </c>
      <c r="G121">
        <v>254</v>
      </c>
      <c r="H121" t="s">
        <v>102</v>
      </c>
      <c r="I121" t="s">
        <v>103</v>
      </c>
      <c r="J121" t="s">
        <v>104</v>
      </c>
      <c r="K121">
        <v>1020</v>
      </c>
      <c r="L121">
        <v>102011</v>
      </c>
      <c r="M121" t="s">
        <v>136</v>
      </c>
      <c r="N121" s="98">
        <v>40040</v>
      </c>
      <c r="O121" s="98">
        <v>0</v>
      </c>
      <c r="P121" s="98">
        <v>0</v>
      </c>
      <c r="Q121" s="98">
        <v>-40040</v>
      </c>
    </row>
    <row r="122" spans="1:17" x14ac:dyDescent="0.35">
      <c r="A122" t="s">
        <v>98</v>
      </c>
      <c r="B122" t="s">
        <v>99</v>
      </c>
      <c r="C122">
        <v>1</v>
      </c>
      <c r="D122" t="s">
        <v>23</v>
      </c>
      <c r="E122" t="s">
        <v>100</v>
      </c>
      <c r="F122" t="s">
        <v>101</v>
      </c>
      <c r="G122">
        <v>254</v>
      </c>
      <c r="H122" t="s">
        <v>102</v>
      </c>
      <c r="I122" t="s">
        <v>103</v>
      </c>
      <c r="J122" t="s">
        <v>104</v>
      </c>
      <c r="K122">
        <v>1020</v>
      </c>
      <c r="L122">
        <v>102013</v>
      </c>
      <c r="M122" t="s">
        <v>137</v>
      </c>
      <c r="N122" s="98">
        <v>0</v>
      </c>
      <c r="O122" s="98">
        <v>0</v>
      </c>
      <c r="P122" s="98">
        <v>0</v>
      </c>
      <c r="Q122" s="98">
        <v>0</v>
      </c>
    </row>
    <row r="123" spans="1:17" x14ac:dyDescent="0.35">
      <c r="A123" t="s">
        <v>106</v>
      </c>
      <c r="B123" t="s">
        <v>107</v>
      </c>
      <c r="C123">
        <v>2</v>
      </c>
      <c r="D123" t="s">
        <v>23</v>
      </c>
      <c r="E123" t="s">
        <v>100</v>
      </c>
      <c r="F123" t="s">
        <v>101</v>
      </c>
      <c r="G123">
        <v>254</v>
      </c>
      <c r="H123" t="s">
        <v>102</v>
      </c>
      <c r="I123" t="s">
        <v>103</v>
      </c>
      <c r="J123" t="s">
        <v>104</v>
      </c>
      <c r="K123">
        <v>1020</v>
      </c>
      <c r="L123">
        <v>102013</v>
      </c>
      <c r="M123" t="s">
        <v>137</v>
      </c>
      <c r="N123" s="98">
        <v>0</v>
      </c>
      <c r="O123" s="98">
        <v>18404.54</v>
      </c>
      <c r="P123" s="98">
        <v>-18404.54</v>
      </c>
      <c r="Q123" s="98">
        <v>18404.54</v>
      </c>
    </row>
    <row r="124" spans="1:17" x14ac:dyDescent="0.35">
      <c r="A124" t="s">
        <v>108</v>
      </c>
      <c r="B124" t="s">
        <v>109</v>
      </c>
      <c r="C124">
        <v>3</v>
      </c>
      <c r="D124" t="s">
        <v>23</v>
      </c>
      <c r="E124" t="s">
        <v>100</v>
      </c>
      <c r="F124" t="s">
        <v>101</v>
      </c>
      <c r="G124">
        <v>254</v>
      </c>
      <c r="H124" t="s">
        <v>102</v>
      </c>
      <c r="I124" t="s">
        <v>103</v>
      </c>
      <c r="J124" t="s">
        <v>104</v>
      </c>
      <c r="K124">
        <v>1020</v>
      </c>
      <c r="L124">
        <v>102013</v>
      </c>
      <c r="M124" t="s">
        <v>137</v>
      </c>
      <c r="N124" s="98">
        <v>0</v>
      </c>
      <c r="O124" s="98">
        <v>9241.2999999999993</v>
      </c>
      <c r="P124" s="98">
        <v>-9241.2999999999993</v>
      </c>
      <c r="Q124" s="98">
        <v>9241.2999999999993</v>
      </c>
    </row>
    <row r="125" spans="1:17" x14ac:dyDescent="0.35">
      <c r="A125" t="s">
        <v>110</v>
      </c>
      <c r="B125" t="s">
        <v>111</v>
      </c>
      <c r="C125">
        <v>4</v>
      </c>
      <c r="D125" t="s">
        <v>23</v>
      </c>
      <c r="E125" t="s">
        <v>100</v>
      </c>
      <c r="F125" t="s">
        <v>101</v>
      </c>
      <c r="G125">
        <v>254</v>
      </c>
      <c r="H125" t="s">
        <v>102</v>
      </c>
      <c r="I125" t="s">
        <v>103</v>
      </c>
      <c r="J125" t="s">
        <v>104</v>
      </c>
      <c r="K125">
        <v>1020</v>
      </c>
      <c r="L125">
        <v>102013</v>
      </c>
      <c r="M125" t="s">
        <v>137</v>
      </c>
      <c r="N125" s="98">
        <v>0</v>
      </c>
      <c r="O125" s="98">
        <v>6405.76</v>
      </c>
      <c r="P125" s="98">
        <v>-6405.76</v>
      </c>
      <c r="Q125" s="98">
        <v>6405.76</v>
      </c>
    </row>
    <row r="126" spans="1:17" x14ac:dyDescent="0.35">
      <c r="A126" t="s">
        <v>112</v>
      </c>
      <c r="B126" t="s">
        <v>113</v>
      </c>
      <c r="C126">
        <v>5</v>
      </c>
      <c r="D126" t="s">
        <v>27</v>
      </c>
      <c r="E126" t="s">
        <v>100</v>
      </c>
      <c r="F126" t="s">
        <v>101</v>
      </c>
      <c r="G126">
        <v>254</v>
      </c>
      <c r="H126" t="s">
        <v>102</v>
      </c>
      <c r="I126" t="s">
        <v>103</v>
      </c>
      <c r="J126" t="s">
        <v>104</v>
      </c>
      <c r="K126">
        <v>1020</v>
      </c>
      <c r="L126">
        <v>102013</v>
      </c>
      <c r="M126" t="s">
        <v>137</v>
      </c>
      <c r="N126" s="98">
        <v>0</v>
      </c>
      <c r="O126" s="98">
        <v>3444.98</v>
      </c>
      <c r="P126" s="98">
        <v>-3444.98</v>
      </c>
      <c r="Q126" s="98">
        <v>3444.98</v>
      </c>
    </row>
    <row r="127" spans="1:17" x14ac:dyDescent="0.35">
      <c r="A127" t="s">
        <v>114</v>
      </c>
      <c r="B127" t="s">
        <v>115</v>
      </c>
      <c r="C127">
        <v>6</v>
      </c>
      <c r="D127" t="s">
        <v>27</v>
      </c>
      <c r="E127" t="s">
        <v>100</v>
      </c>
      <c r="F127" t="s">
        <v>101</v>
      </c>
      <c r="G127">
        <v>254</v>
      </c>
      <c r="H127" t="s">
        <v>102</v>
      </c>
      <c r="I127" t="s">
        <v>103</v>
      </c>
      <c r="J127" t="s">
        <v>104</v>
      </c>
      <c r="K127">
        <v>1020</v>
      </c>
      <c r="L127">
        <v>102013</v>
      </c>
      <c r="M127" t="s">
        <v>137</v>
      </c>
      <c r="N127" s="98">
        <v>0</v>
      </c>
      <c r="O127" s="98">
        <v>14052.56</v>
      </c>
      <c r="P127" s="98">
        <v>-14052.56</v>
      </c>
      <c r="Q127" s="98">
        <v>14052.56</v>
      </c>
    </row>
    <row r="128" spans="1:17" x14ac:dyDescent="0.35">
      <c r="A128" t="s">
        <v>116</v>
      </c>
      <c r="B128" t="s">
        <v>117</v>
      </c>
      <c r="C128">
        <v>7</v>
      </c>
      <c r="D128" t="s">
        <v>27</v>
      </c>
      <c r="E128" t="s">
        <v>100</v>
      </c>
      <c r="F128" t="s">
        <v>101</v>
      </c>
      <c r="G128">
        <v>254</v>
      </c>
      <c r="H128" t="s">
        <v>102</v>
      </c>
      <c r="I128" t="s">
        <v>103</v>
      </c>
      <c r="J128" t="s">
        <v>104</v>
      </c>
      <c r="K128">
        <v>1020</v>
      </c>
      <c r="L128">
        <v>102013</v>
      </c>
      <c r="M128" t="s">
        <v>137</v>
      </c>
      <c r="N128" s="98">
        <v>0</v>
      </c>
      <c r="O128" s="98">
        <v>8319.14</v>
      </c>
      <c r="P128" s="98">
        <v>-8319.14</v>
      </c>
      <c r="Q128" s="98">
        <v>8319.14</v>
      </c>
    </row>
    <row r="129" spans="1:17" x14ac:dyDescent="0.35">
      <c r="A129" t="s">
        <v>118</v>
      </c>
      <c r="B129" t="s">
        <v>119</v>
      </c>
      <c r="C129">
        <v>8</v>
      </c>
      <c r="D129" t="s">
        <v>27</v>
      </c>
      <c r="E129" t="s">
        <v>100</v>
      </c>
      <c r="F129" t="s">
        <v>101</v>
      </c>
      <c r="G129">
        <v>254</v>
      </c>
      <c r="H129" t="s">
        <v>102</v>
      </c>
      <c r="I129" t="s">
        <v>103</v>
      </c>
      <c r="J129" t="s">
        <v>104</v>
      </c>
      <c r="K129">
        <v>1020</v>
      </c>
      <c r="L129">
        <v>102013</v>
      </c>
      <c r="M129" t="s">
        <v>137</v>
      </c>
      <c r="N129" s="98">
        <v>0</v>
      </c>
      <c r="O129" s="98">
        <v>1585.75</v>
      </c>
      <c r="P129" s="98">
        <v>-1585.75</v>
      </c>
      <c r="Q129" s="98">
        <v>1585.75</v>
      </c>
    </row>
    <row r="130" spans="1:17" x14ac:dyDescent="0.35">
      <c r="A130" t="s">
        <v>120</v>
      </c>
      <c r="B130" t="s">
        <v>121</v>
      </c>
      <c r="C130">
        <v>9</v>
      </c>
      <c r="D130" t="s">
        <v>30</v>
      </c>
      <c r="E130" t="s">
        <v>5</v>
      </c>
      <c r="F130" t="s">
        <v>101</v>
      </c>
      <c r="G130">
        <v>254</v>
      </c>
      <c r="H130" t="s">
        <v>102</v>
      </c>
      <c r="I130" t="s">
        <v>103</v>
      </c>
      <c r="J130" t="s">
        <v>104</v>
      </c>
      <c r="K130">
        <v>1020</v>
      </c>
      <c r="L130">
        <v>102013</v>
      </c>
      <c r="M130" t="s">
        <v>137</v>
      </c>
      <c r="N130" s="98">
        <v>0</v>
      </c>
      <c r="O130" s="98">
        <v>0</v>
      </c>
      <c r="P130" s="98">
        <v>0</v>
      </c>
      <c r="Q130" s="98">
        <v>0</v>
      </c>
    </row>
    <row r="131" spans="1:17" x14ac:dyDescent="0.35">
      <c r="A131" t="s">
        <v>122</v>
      </c>
      <c r="B131" t="s">
        <v>123</v>
      </c>
      <c r="C131">
        <v>10</v>
      </c>
      <c r="D131" t="s">
        <v>30</v>
      </c>
      <c r="E131" t="s">
        <v>5</v>
      </c>
      <c r="F131" t="s">
        <v>101</v>
      </c>
      <c r="G131">
        <v>254</v>
      </c>
      <c r="H131" t="s">
        <v>102</v>
      </c>
      <c r="I131" t="s">
        <v>103</v>
      </c>
      <c r="J131" t="s">
        <v>104</v>
      </c>
      <c r="K131">
        <v>1020</v>
      </c>
      <c r="L131">
        <v>102013</v>
      </c>
      <c r="M131" t="s">
        <v>137</v>
      </c>
      <c r="N131" s="98">
        <v>0</v>
      </c>
      <c r="O131" s="98">
        <v>0</v>
      </c>
      <c r="P131" s="98">
        <v>0</v>
      </c>
      <c r="Q131" s="98">
        <v>0</v>
      </c>
    </row>
    <row r="132" spans="1:17" x14ac:dyDescent="0.35">
      <c r="A132" t="s">
        <v>124</v>
      </c>
      <c r="B132" t="s">
        <v>125</v>
      </c>
      <c r="C132">
        <v>11</v>
      </c>
      <c r="D132" t="s">
        <v>30</v>
      </c>
      <c r="E132" t="s">
        <v>5</v>
      </c>
      <c r="F132" t="s">
        <v>101</v>
      </c>
      <c r="G132">
        <v>254</v>
      </c>
      <c r="H132" t="s">
        <v>102</v>
      </c>
      <c r="I132" t="s">
        <v>103</v>
      </c>
      <c r="J132" t="s">
        <v>104</v>
      </c>
      <c r="K132">
        <v>1020</v>
      </c>
      <c r="L132">
        <v>102013</v>
      </c>
      <c r="M132" t="s">
        <v>137</v>
      </c>
      <c r="N132" s="98">
        <v>0</v>
      </c>
      <c r="O132" s="98">
        <v>0</v>
      </c>
      <c r="P132" s="98">
        <v>0</v>
      </c>
      <c r="Q132" s="98">
        <v>0</v>
      </c>
    </row>
    <row r="133" spans="1:17" x14ac:dyDescent="0.35">
      <c r="A133" t="s">
        <v>126</v>
      </c>
      <c r="B133" t="s">
        <v>127</v>
      </c>
      <c r="C133">
        <v>12</v>
      </c>
      <c r="D133" t="s">
        <v>30</v>
      </c>
      <c r="E133" t="s">
        <v>5</v>
      </c>
      <c r="F133" t="s">
        <v>101</v>
      </c>
      <c r="G133">
        <v>254</v>
      </c>
      <c r="H133" t="s">
        <v>102</v>
      </c>
      <c r="I133" t="s">
        <v>103</v>
      </c>
      <c r="J133" t="s">
        <v>104</v>
      </c>
      <c r="K133">
        <v>1020</v>
      </c>
      <c r="L133">
        <v>102013</v>
      </c>
      <c r="M133" t="s">
        <v>137</v>
      </c>
      <c r="N133" s="98">
        <v>0</v>
      </c>
      <c r="O133" s="98">
        <v>0</v>
      </c>
      <c r="P133" s="98">
        <v>0</v>
      </c>
      <c r="Q133" s="98">
        <v>0</v>
      </c>
    </row>
    <row r="134" spans="1:17" x14ac:dyDescent="0.35">
      <c r="A134" t="s">
        <v>98</v>
      </c>
      <c r="B134" t="s">
        <v>99</v>
      </c>
      <c r="C134">
        <v>1</v>
      </c>
      <c r="D134" t="s">
        <v>23</v>
      </c>
      <c r="E134" t="s">
        <v>100</v>
      </c>
      <c r="F134" t="s">
        <v>101</v>
      </c>
      <c r="G134">
        <v>254</v>
      </c>
      <c r="H134" t="s">
        <v>102</v>
      </c>
      <c r="I134" t="s">
        <v>103</v>
      </c>
      <c r="J134" t="s">
        <v>104</v>
      </c>
      <c r="K134">
        <v>1020</v>
      </c>
      <c r="L134">
        <v>102030</v>
      </c>
      <c r="M134" t="s">
        <v>138</v>
      </c>
      <c r="N134" s="98">
        <v>0</v>
      </c>
      <c r="O134" s="98">
        <v>0</v>
      </c>
      <c r="P134" s="98">
        <v>0</v>
      </c>
      <c r="Q134" s="98">
        <v>0</v>
      </c>
    </row>
    <row r="135" spans="1:17" x14ac:dyDescent="0.35">
      <c r="A135" t="s">
        <v>106</v>
      </c>
      <c r="B135" t="s">
        <v>107</v>
      </c>
      <c r="C135">
        <v>2</v>
      </c>
      <c r="D135" t="s">
        <v>23</v>
      </c>
      <c r="E135" t="s">
        <v>100</v>
      </c>
      <c r="F135" t="s">
        <v>101</v>
      </c>
      <c r="G135">
        <v>254</v>
      </c>
      <c r="H135" t="s">
        <v>102</v>
      </c>
      <c r="I135" t="s">
        <v>103</v>
      </c>
      <c r="J135" t="s">
        <v>104</v>
      </c>
      <c r="K135">
        <v>1020</v>
      </c>
      <c r="L135">
        <v>102030</v>
      </c>
      <c r="M135" t="s">
        <v>138</v>
      </c>
      <c r="N135" s="98">
        <v>0</v>
      </c>
      <c r="O135" s="98">
        <v>14543.2</v>
      </c>
      <c r="P135" s="98">
        <v>-14543.2</v>
      </c>
      <c r="Q135" s="98">
        <v>14543.2</v>
      </c>
    </row>
    <row r="136" spans="1:17" x14ac:dyDescent="0.35">
      <c r="A136" t="s">
        <v>108</v>
      </c>
      <c r="B136" t="s">
        <v>109</v>
      </c>
      <c r="C136">
        <v>3</v>
      </c>
      <c r="D136" t="s">
        <v>23</v>
      </c>
      <c r="E136" t="s">
        <v>100</v>
      </c>
      <c r="F136" t="s">
        <v>101</v>
      </c>
      <c r="G136">
        <v>254</v>
      </c>
      <c r="H136" t="s">
        <v>102</v>
      </c>
      <c r="I136" t="s">
        <v>103</v>
      </c>
      <c r="J136" t="s">
        <v>104</v>
      </c>
      <c r="K136">
        <v>1020</v>
      </c>
      <c r="L136">
        <v>102030</v>
      </c>
      <c r="M136" t="s">
        <v>138</v>
      </c>
      <c r="N136" s="98">
        <v>0</v>
      </c>
      <c r="O136" s="98">
        <v>17012.8</v>
      </c>
      <c r="P136" s="98">
        <v>-17012.8</v>
      </c>
      <c r="Q136" s="98">
        <v>17012.8</v>
      </c>
    </row>
    <row r="137" spans="1:17" x14ac:dyDescent="0.35">
      <c r="A137" t="s">
        <v>110</v>
      </c>
      <c r="B137" t="s">
        <v>111</v>
      </c>
      <c r="C137">
        <v>4</v>
      </c>
      <c r="D137" t="s">
        <v>23</v>
      </c>
      <c r="E137" t="s">
        <v>100</v>
      </c>
      <c r="F137" t="s">
        <v>101</v>
      </c>
      <c r="G137">
        <v>254</v>
      </c>
      <c r="H137" t="s">
        <v>102</v>
      </c>
      <c r="I137" t="s">
        <v>103</v>
      </c>
      <c r="J137" t="s">
        <v>104</v>
      </c>
      <c r="K137">
        <v>1020</v>
      </c>
      <c r="L137">
        <v>102030</v>
      </c>
      <c r="M137" t="s">
        <v>138</v>
      </c>
      <c r="N137" s="98">
        <v>0</v>
      </c>
      <c r="O137" s="98">
        <v>13955.2</v>
      </c>
      <c r="P137" s="98">
        <v>-13955.2</v>
      </c>
      <c r="Q137" s="98">
        <v>13955.2</v>
      </c>
    </row>
    <row r="138" spans="1:17" x14ac:dyDescent="0.35">
      <c r="A138" t="s">
        <v>112</v>
      </c>
      <c r="B138" t="s">
        <v>113</v>
      </c>
      <c r="C138">
        <v>5</v>
      </c>
      <c r="D138" t="s">
        <v>27</v>
      </c>
      <c r="E138" t="s">
        <v>100</v>
      </c>
      <c r="F138" t="s">
        <v>101</v>
      </c>
      <c r="G138">
        <v>254</v>
      </c>
      <c r="H138" t="s">
        <v>102</v>
      </c>
      <c r="I138" t="s">
        <v>103</v>
      </c>
      <c r="J138" t="s">
        <v>104</v>
      </c>
      <c r="K138">
        <v>1020</v>
      </c>
      <c r="L138">
        <v>102030</v>
      </c>
      <c r="M138" t="s">
        <v>138</v>
      </c>
      <c r="N138" s="98">
        <v>0</v>
      </c>
      <c r="O138" s="98">
        <v>18874.8</v>
      </c>
      <c r="P138" s="98">
        <v>-18874.8</v>
      </c>
      <c r="Q138" s="98">
        <v>18874.8</v>
      </c>
    </row>
    <row r="139" spans="1:17" x14ac:dyDescent="0.35">
      <c r="A139" t="s">
        <v>114</v>
      </c>
      <c r="B139" t="s">
        <v>115</v>
      </c>
      <c r="C139">
        <v>6</v>
      </c>
      <c r="D139" t="s">
        <v>27</v>
      </c>
      <c r="E139" t="s">
        <v>100</v>
      </c>
      <c r="F139" t="s">
        <v>101</v>
      </c>
      <c r="G139">
        <v>254</v>
      </c>
      <c r="H139" t="s">
        <v>102</v>
      </c>
      <c r="I139" t="s">
        <v>103</v>
      </c>
      <c r="J139" t="s">
        <v>104</v>
      </c>
      <c r="K139">
        <v>1020</v>
      </c>
      <c r="L139">
        <v>102030</v>
      </c>
      <c r="M139" t="s">
        <v>138</v>
      </c>
      <c r="N139" s="98">
        <v>0</v>
      </c>
      <c r="O139" s="98">
        <v>18188.52</v>
      </c>
      <c r="P139" s="98">
        <v>-18188.52</v>
      </c>
      <c r="Q139" s="98">
        <v>18188.52</v>
      </c>
    </row>
    <row r="140" spans="1:17" x14ac:dyDescent="0.35">
      <c r="A140" t="s">
        <v>116</v>
      </c>
      <c r="B140" t="s">
        <v>117</v>
      </c>
      <c r="C140">
        <v>7</v>
      </c>
      <c r="D140" t="s">
        <v>27</v>
      </c>
      <c r="E140" t="s">
        <v>100</v>
      </c>
      <c r="F140" t="s">
        <v>101</v>
      </c>
      <c r="G140">
        <v>254</v>
      </c>
      <c r="H140" t="s">
        <v>102</v>
      </c>
      <c r="I140" t="s">
        <v>103</v>
      </c>
      <c r="J140" t="s">
        <v>104</v>
      </c>
      <c r="K140">
        <v>1020</v>
      </c>
      <c r="L140">
        <v>102030</v>
      </c>
      <c r="M140" t="s">
        <v>138</v>
      </c>
      <c r="N140" s="98">
        <v>0</v>
      </c>
      <c r="O140" s="98">
        <v>29733.200000000001</v>
      </c>
      <c r="P140" s="98">
        <v>-29733.200000000001</v>
      </c>
      <c r="Q140" s="98">
        <v>29733.200000000001</v>
      </c>
    </row>
    <row r="141" spans="1:17" x14ac:dyDescent="0.35">
      <c r="A141" t="s">
        <v>118</v>
      </c>
      <c r="B141" t="s">
        <v>119</v>
      </c>
      <c r="C141">
        <v>8</v>
      </c>
      <c r="D141" t="s">
        <v>27</v>
      </c>
      <c r="E141" t="s">
        <v>100</v>
      </c>
      <c r="F141" t="s">
        <v>101</v>
      </c>
      <c r="G141">
        <v>254</v>
      </c>
      <c r="H141" t="s">
        <v>102</v>
      </c>
      <c r="I141" t="s">
        <v>103</v>
      </c>
      <c r="J141" t="s">
        <v>104</v>
      </c>
      <c r="K141">
        <v>1020</v>
      </c>
      <c r="L141">
        <v>102030</v>
      </c>
      <c r="M141" t="s">
        <v>138</v>
      </c>
      <c r="N141" s="98">
        <v>0</v>
      </c>
      <c r="O141" s="98">
        <v>28439.599999999999</v>
      </c>
      <c r="P141" s="98">
        <v>-28439.599999999999</v>
      </c>
      <c r="Q141" s="98">
        <v>28439.599999999999</v>
      </c>
    </row>
    <row r="142" spans="1:17" x14ac:dyDescent="0.35">
      <c r="A142" t="s">
        <v>120</v>
      </c>
      <c r="B142" t="s">
        <v>121</v>
      </c>
      <c r="C142">
        <v>9</v>
      </c>
      <c r="D142" t="s">
        <v>30</v>
      </c>
      <c r="E142" t="s">
        <v>5</v>
      </c>
      <c r="F142" t="s">
        <v>101</v>
      </c>
      <c r="G142">
        <v>254</v>
      </c>
      <c r="H142" t="s">
        <v>102</v>
      </c>
      <c r="I142" t="s">
        <v>103</v>
      </c>
      <c r="J142" t="s">
        <v>104</v>
      </c>
      <c r="K142">
        <v>1020</v>
      </c>
      <c r="L142">
        <v>102030</v>
      </c>
      <c r="M142" t="s">
        <v>138</v>
      </c>
      <c r="N142" s="98">
        <v>0</v>
      </c>
      <c r="O142" s="98">
        <v>0</v>
      </c>
      <c r="P142" s="98">
        <v>0</v>
      </c>
      <c r="Q142" s="98">
        <v>0</v>
      </c>
    </row>
    <row r="143" spans="1:17" x14ac:dyDescent="0.35">
      <c r="A143" t="s">
        <v>122</v>
      </c>
      <c r="B143" t="s">
        <v>123</v>
      </c>
      <c r="C143">
        <v>10</v>
      </c>
      <c r="D143" t="s">
        <v>30</v>
      </c>
      <c r="E143" t="s">
        <v>5</v>
      </c>
      <c r="F143" t="s">
        <v>101</v>
      </c>
      <c r="G143">
        <v>254</v>
      </c>
      <c r="H143" t="s">
        <v>102</v>
      </c>
      <c r="I143" t="s">
        <v>103</v>
      </c>
      <c r="J143" t="s">
        <v>104</v>
      </c>
      <c r="K143">
        <v>1020</v>
      </c>
      <c r="L143">
        <v>102030</v>
      </c>
      <c r="M143" t="s">
        <v>138</v>
      </c>
      <c r="N143" s="98">
        <v>0</v>
      </c>
      <c r="O143" s="98">
        <v>0</v>
      </c>
      <c r="P143" s="98">
        <v>0</v>
      </c>
      <c r="Q143" s="98">
        <v>0</v>
      </c>
    </row>
    <row r="144" spans="1:17" x14ac:dyDescent="0.35">
      <c r="A144" t="s">
        <v>124</v>
      </c>
      <c r="B144" t="s">
        <v>125</v>
      </c>
      <c r="C144">
        <v>11</v>
      </c>
      <c r="D144" t="s">
        <v>30</v>
      </c>
      <c r="E144" t="s">
        <v>5</v>
      </c>
      <c r="F144" t="s">
        <v>101</v>
      </c>
      <c r="G144">
        <v>254</v>
      </c>
      <c r="H144" t="s">
        <v>102</v>
      </c>
      <c r="I144" t="s">
        <v>103</v>
      </c>
      <c r="J144" t="s">
        <v>104</v>
      </c>
      <c r="K144">
        <v>1020</v>
      </c>
      <c r="L144">
        <v>102030</v>
      </c>
      <c r="M144" t="s">
        <v>138</v>
      </c>
      <c r="N144" s="98">
        <v>0</v>
      </c>
      <c r="O144" s="98">
        <v>0</v>
      </c>
      <c r="P144" s="98">
        <v>0</v>
      </c>
      <c r="Q144" s="98">
        <v>0</v>
      </c>
    </row>
    <row r="145" spans="1:17" x14ac:dyDescent="0.35">
      <c r="A145" t="s">
        <v>126</v>
      </c>
      <c r="B145" t="s">
        <v>127</v>
      </c>
      <c r="C145">
        <v>12</v>
      </c>
      <c r="D145" t="s">
        <v>30</v>
      </c>
      <c r="E145" t="s">
        <v>5</v>
      </c>
      <c r="F145" t="s">
        <v>101</v>
      </c>
      <c r="G145">
        <v>254</v>
      </c>
      <c r="H145" t="s">
        <v>102</v>
      </c>
      <c r="I145" t="s">
        <v>103</v>
      </c>
      <c r="J145" t="s">
        <v>104</v>
      </c>
      <c r="K145">
        <v>1020</v>
      </c>
      <c r="L145">
        <v>102030</v>
      </c>
      <c r="M145" t="s">
        <v>138</v>
      </c>
      <c r="N145" s="98">
        <v>0</v>
      </c>
      <c r="O145" s="98">
        <v>0</v>
      </c>
      <c r="P145" s="98">
        <v>0</v>
      </c>
      <c r="Q145" s="98">
        <v>0</v>
      </c>
    </row>
    <row r="146" spans="1:17" x14ac:dyDescent="0.35">
      <c r="A146" t="s">
        <v>98</v>
      </c>
      <c r="B146" t="s">
        <v>99</v>
      </c>
      <c r="C146">
        <v>1</v>
      </c>
      <c r="D146" t="s">
        <v>23</v>
      </c>
      <c r="E146" t="s">
        <v>100</v>
      </c>
      <c r="F146" t="s">
        <v>101</v>
      </c>
      <c r="G146">
        <v>254</v>
      </c>
      <c r="H146" t="s">
        <v>102</v>
      </c>
      <c r="I146" t="s">
        <v>103</v>
      </c>
      <c r="J146" t="s">
        <v>104</v>
      </c>
      <c r="K146">
        <v>1020</v>
      </c>
      <c r="L146">
        <v>102031</v>
      </c>
      <c r="M146" t="s">
        <v>139</v>
      </c>
      <c r="N146" s="98">
        <v>0</v>
      </c>
      <c r="O146" s="98">
        <v>0</v>
      </c>
      <c r="P146" s="98">
        <v>0</v>
      </c>
      <c r="Q146" s="98">
        <v>0</v>
      </c>
    </row>
    <row r="147" spans="1:17" x14ac:dyDescent="0.35">
      <c r="A147" t="s">
        <v>106</v>
      </c>
      <c r="B147" t="s">
        <v>107</v>
      </c>
      <c r="C147">
        <v>2</v>
      </c>
      <c r="D147" t="s">
        <v>23</v>
      </c>
      <c r="E147" t="s">
        <v>100</v>
      </c>
      <c r="F147" t="s">
        <v>101</v>
      </c>
      <c r="G147">
        <v>254</v>
      </c>
      <c r="H147" t="s">
        <v>102</v>
      </c>
      <c r="I147" t="s">
        <v>103</v>
      </c>
      <c r="J147" t="s">
        <v>104</v>
      </c>
      <c r="K147">
        <v>1020</v>
      </c>
      <c r="L147">
        <v>102031</v>
      </c>
      <c r="M147" t="s">
        <v>139</v>
      </c>
      <c r="N147" s="98">
        <v>0</v>
      </c>
      <c r="O147" s="98">
        <v>59390.49</v>
      </c>
      <c r="P147" s="98">
        <v>-59390.49</v>
      </c>
      <c r="Q147" s="98">
        <v>59390.49</v>
      </c>
    </row>
    <row r="148" spans="1:17" x14ac:dyDescent="0.35">
      <c r="A148" t="s">
        <v>108</v>
      </c>
      <c r="B148" t="s">
        <v>109</v>
      </c>
      <c r="C148">
        <v>3</v>
      </c>
      <c r="D148" t="s">
        <v>23</v>
      </c>
      <c r="E148" t="s">
        <v>100</v>
      </c>
      <c r="F148" t="s">
        <v>101</v>
      </c>
      <c r="G148">
        <v>254</v>
      </c>
      <c r="H148" t="s">
        <v>102</v>
      </c>
      <c r="I148" t="s">
        <v>103</v>
      </c>
      <c r="J148" t="s">
        <v>104</v>
      </c>
      <c r="K148">
        <v>1020</v>
      </c>
      <c r="L148">
        <v>102031</v>
      </c>
      <c r="M148" t="s">
        <v>139</v>
      </c>
      <c r="N148" s="98">
        <v>0</v>
      </c>
      <c r="O148" s="98">
        <v>25189.15</v>
      </c>
      <c r="P148" s="98">
        <v>-25189.15</v>
      </c>
      <c r="Q148" s="98">
        <v>25189.15</v>
      </c>
    </row>
    <row r="149" spans="1:17" x14ac:dyDescent="0.35">
      <c r="A149" t="s">
        <v>110</v>
      </c>
      <c r="B149" t="s">
        <v>111</v>
      </c>
      <c r="C149">
        <v>4</v>
      </c>
      <c r="D149" t="s">
        <v>23</v>
      </c>
      <c r="E149" t="s">
        <v>100</v>
      </c>
      <c r="F149" t="s">
        <v>101</v>
      </c>
      <c r="G149">
        <v>254</v>
      </c>
      <c r="H149" t="s">
        <v>102</v>
      </c>
      <c r="I149" t="s">
        <v>103</v>
      </c>
      <c r="J149" t="s">
        <v>104</v>
      </c>
      <c r="K149">
        <v>1020</v>
      </c>
      <c r="L149">
        <v>102031</v>
      </c>
      <c r="M149" t="s">
        <v>139</v>
      </c>
      <c r="N149" s="98">
        <v>0</v>
      </c>
      <c r="O149" s="98">
        <v>28784.59</v>
      </c>
      <c r="P149" s="98">
        <v>-28784.59</v>
      </c>
      <c r="Q149" s="98">
        <v>28784.59</v>
      </c>
    </row>
    <row r="150" spans="1:17" x14ac:dyDescent="0.35">
      <c r="A150" t="s">
        <v>112</v>
      </c>
      <c r="B150" t="s">
        <v>113</v>
      </c>
      <c r="C150">
        <v>5</v>
      </c>
      <c r="D150" t="s">
        <v>27</v>
      </c>
      <c r="E150" t="s">
        <v>100</v>
      </c>
      <c r="F150" t="s">
        <v>101</v>
      </c>
      <c r="G150">
        <v>254</v>
      </c>
      <c r="H150" t="s">
        <v>102</v>
      </c>
      <c r="I150" t="s">
        <v>103</v>
      </c>
      <c r="J150" t="s">
        <v>104</v>
      </c>
      <c r="K150">
        <v>1020</v>
      </c>
      <c r="L150">
        <v>102031</v>
      </c>
      <c r="M150" t="s">
        <v>139</v>
      </c>
      <c r="N150" s="98">
        <v>0</v>
      </c>
      <c r="O150" s="98">
        <v>28468.81</v>
      </c>
      <c r="P150" s="98">
        <v>-28468.81</v>
      </c>
      <c r="Q150" s="98">
        <v>28468.81</v>
      </c>
    </row>
    <row r="151" spans="1:17" x14ac:dyDescent="0.35">
      <c r="A151" t="s">
        <v>114</v>
      </c>
      <c r="B151" t="s">
        <v>115</v>
      </c>
      <c r="C151">
        <v>6</v>
      </c>
      <c r="D151" t="s">
        <v>27</v>
      </c>
      <c r="E151" t="s">
        <v>100</v>
      </c>
      <c r="F151" t="s">
        <v>101</v>
      </c>
      <c r="G151">
        <v>254</v>
      </c>
      <c r="H151" t="s">
        <v>102</v>
      </c>
      <c r="I151" t="s">
        <v>103</v>
      </c>
      <c r="J151" t="s">
        <v>104</v>
      </c>
      <c r="K151">
        <v>1020</v>
      </c>
      <c r="L151">
        <v>102031</v>
      </c>
      <c r="M151" t="s">
        <v>139</v>
      </c>
      <c r="N151" s="98">
        <v>0</v>
      </c>
      <c r="O151" s="98">
        <v>32469.26</v>
      </c>
      <c r="P151" s="98">
        <v>-32469.26</v>
      </c>
      <c r="Q151" s="98">
        <v>32469.26</v>
      </c>
    </row>
    <row r="152" spans="1:17" x14ac:dyDescent="0.35">
      <c r="A152" t="s">
        <v>116</v>
      </c>
      <c r="B152" t="s">
        <v>117</v>
      </c>
      <c r="C152">
        <v>7</v>
      </c>
      <c r="D152" t="s">
        <v>27</v>
      </c>
      <c r="E152" t="s">
        <v>100</v>
      </c>
      <c r="F152" t="s">
        <v>101</v>
      </c>
      <c r="G152">
        <v>254</v>
      </c>
      <c r="H152" t="s">
        <v>102</v>
      </c>
      <c r="I152" t="s">
        <v>103</v>
      </c>
      <c r="J152" t="s">
        <v>104</v>
      </c>
      <c r="K152">
        <v>1020</v>
      </c>
      <c r="L152">
        <v>102031</v>
      </c>
      <c r="M152" t="s">
        <v>139</v>
      </c>
      <c r="N152" s="98">
        <v>0</v>
      </c>
      <c r="O152" s="98">
        <v>39092.31</v>
      </c>
      <c r="P152" s="98">
        <v>-39092.31</v>
      </c>
      <c r="Q152" s="98">
        <v>39092.31</v>
      </c>
    </row>
    <row r="153" spans="1:17" x14ac:dyDescent="0.35">
      <c r="A153" t="s">
        <v>118</v>
      </c>
      <c r="B153" t="s">
        <v>119</v>
      </c>
      <c r="C153">
        <v>8</v>
      </c>
      <c r="D153" t="s">
        <v>27</v>
      </c>
      <c r="E153" t="s">
        <v>100</v>
      </c>
      <c r="F153" t="s">
        <v>101</v>
      </c>
      <c r="G153">
        <v>254</v>
      </c>
      <c r="H153" t="s">
        <v>102</v>
      </c>
      <c r="I153" t="s">
        <v>103</v>
      </c>
      <c r="J153" t="s">
        <v>104</v>
      </c>
      <c r="K153">
        <v>1020</v>
      </c>
      <c r="L153">
        <v>102031</v>
      </c>
      <c r="M153" t="s">
        <v>139</v>
      </c>
      <c r="N153" s="98">
        <v>0</v>
      </c>
      <c r="O153" s="98">
        <v>45909.48</v>
      </c>
      <c r="P153" s="98">
        <v>-45909.48</v>
      </c>
      <c r="Q153" s="98">
        <v>45909.48</v>
      </c>
    </row>
    <row r="154" spans="1:17" x14ac:dyDescent="0.35">
      <c r="A154" t="s">
        <v>120</v>
      </c>
      <c r="B154" t="s">
        <v>121</v>
      </c>
      <c r="C154">
        <v>9</v>
      </c>
      <c r="D154" t="s">
        <v>30</v>
      </c>
      <c r="E154" t="s">
        <v>5</v>
      </c>
      <c r="F154" t="s">
        <v>101</v>
      </c>
      <c r="G154">
        <v>254</v>
      </c>
      <c r="H154" t="s">
        <v>102</v>
      </c>
      <c r="I154" t="s">
        <v>103</v>
      </c>
      <c r="J154" t="s">
        <v>104</v>
      </c>
      <c r="K154">
        <v>1020</v>
      </c>
      <c r="L154">
        <v>102031</v>
      </c>
      <c r="M154" t="s">
        <v>139</v>
      </c>
      <c r="N154" s="98">
        <v>0</v>
      </c>
      <c r="O154" s="98">
        <v>0</v>
      </c>
      <c r="P154" s="98">
        <v>0</v>
      </c>
      <c r="Q154" s="98">
        <v>0</v>
      </c>
    </row>
    <row r="155" spans="1:17" x14ac:dyDescent="0.35">
      <c r="A155" t="s">
        <v>122</v>
      </c>
      <c r="B155" t="s">
        <v>123</v>
      </c>
      <c r="C155">
        <v>10</v>
      </c>
      <c r="D155" t="s">
        <v>30</v>
      </c>
      <c r="E155" t="s">
        <v>5</v>
      </c>
      <c r="F155" t="s">
        <v>101</v>
      </c>
      <c r="G155">
        <v>254</v>
      </c>
      <c r="H155" t="s">
        <v>102</v>
      </c>
      <c r="I155" t="s">
        <v>103</v>
      </c>
      <c r="J155" t="s">
        <v>104</v>
      </c>
      <c r="K155">
        <v>1020</v>
      </c>
      <c r="L155">
        <v>102031</v>
      </c>
      <c r="M155" t="s">
        <v>139</v>
      </c>
      <c r="N155" s="98">
        <v>0</v>
      </c>
      <c r="O155" s="98">
        <v>0</v>
      </c>
      <c r="P155" s="98">
        <v>0</v>
      </c>
      <c r="Q155" s="98">
        <v>0</v>
      </c>
    </row>
    <row r="156" spans="1:17" x14ac:dyDescent="0.35">
      <c r="A156" t="s">
        <v>124</v>
      </c>
      <c r="B156" t="s">
        <v>125</v>
      </c>
      <c r="C156">
        <v>11</v>
      </c>
      <c r="D156" t="s">
        <v>30</v>
      </c>
      <c r="E156" t="s">
        <v>5</v>
      </c>
      <c r="F156" t="s">
        <v>101</v>
      </c>
      <c r="G156">
        <v>254</v>
      </c>
      <c r="H156" t="s">
        <v>102</v>
      </c>
      <c r="I156" t="s">
        <v>103</v>
      </c>
      <c r="J156" t="s">
        <v>104</v>
      </c>
      <c r="K156">
        <v>1020</v>
      </c>
      <c r="L156">
        <v>102031</v>
      </c>
      <c r="M156" t="s">
        <v>139</v>
      </c>
      <c r="N156" s="98">
        <v>0</v>
      </c>
      <c r="O156" s="98">
        <v>0</v>
      </c>
      <c r="P156" s="98">
        <v>0</v>
      </c>
      <c r="Q156" s="98">
        <v>0</v>
      </c>
    </row>
    <row r="157" spans="1:17" x14ac:dyDescent="0.35">
      <c r="A157" t="s">
        <v>126</v>
      </c>
      <c r="B157" t="s">
        <v>127</v>
      </c>
      <c r="C157">
        <v>12</v>
      </c>
      <c r="D157" t="s">
        <v>30</v>
      </c>
      <c r="E157" t="s">
        <v>5</v>
      </c>
      <c r="F157" t="s">
        <v>101</v>
      </c>
      <c r="G157">
        <v>254</v>
      </c>
      <c r="H157" t="s">
        <v>102</v>
      </c>
      <c r="I157" t="s">
        <v>103</v>
      </c>
      <c r="J157" t="s">
        <v>104</v>
      </c>
      <c r="K157">
        <v>1020</v>
      </c>
      <c r="L157">
        <v>102031</v>
      </c>
      <c r="M157" t="s">
        <v>139</v>
      </c>
      <c r="N157" s="98">
        <v>0</v>
      </c>
      <c r="O157" s="98">
        <v>0</v>
      </c>
      <c r="P157" s="98">
        <v>0</v>
      </c>
      <c r="Q157" s="98">
        <v>0</v>
      </c>
    </row>
    <row r="158" spans="1:17" x14ac:dyDescent="0.35">
      <c r="A158" t="s">
        <v>98</v>
      </c>
      <c r="B158" t="s">
        <v>99</v>
      </c>
      <c r="C158">
        <v>1</v>
      </c>
      <c r="D158" t="s">
        <v>23</v>
      </c>
      <c r="E158" t="s">
        <v>100</v>
      </c>
      <c r="F158" t="s">
        <v>101</v>
      </c>
      <c r="G158">
        <v>254</v>
      </c>
      <c r="H158" t="s">
        <v>102</v>
      </c>
      <c r="I158" t="s">
        <v>103</v>
      </c>
      <c r="J158" t="s">
        <v>104</v>
      </c>
      <c r="K158">
        <v>1020</v>
      </c>
      <c r="L158">
        <v>102032</v>
      </c>
      <c r="M158" t="s">
        <v>140</v>
      </c>
      <c r="N158" s="98">
        <v>0</v>
      </c>
      <c r="O158" s="98">
        <v>0</v>
      </c>
      <c r="P158" s="98">
        <v>0</v>
      </c>
      <c r="Q158" s="98">
        <v>0</v>
      </c>
    </row>
    <row r="159" spans="1:17" x14ac:dyDescent="0.35">
      <c r="A159" t="s">
        <v>106</v>
      </c>
      <c r="B159" t="s">
        <v>107</v>
      </c>
      <c r="C159">
        <v>2</v>
      </c>
      <c r="D159" t="s">
        <v>23</v>
      </c>
      <c r="E159" t="s">
        <v>100</v>
      </c>
      <c r="F159" t="s">
        <v>101</v>
      </c>
      <c r="G159">
        <v>254</v>
      </c>
      <c r="H159" t="s">
        <v>102</v>
      </c>
      <c r="I159" t="s">
        <v>103</v>
      </c>
      <c r="J159" t="s">
        <v>104</v>
      </c>
      <c r="K159">
        <v>1020</v>
      </c>
      <c r="L159">
        <v>102032</v>
      </c>
      <c r="M159" t="s">
        <v>140</v>
      </c>
      <c r="N159" s="98">
        <v>0</v>
      </c>
      <c r="O159" s="98">
        <v>20065.97</v>
      </c>
      <c r="P159" s="98">
        <v>-20065.97</v>
      </c>
      <c r="Q159" s="98">
        <v>20065.97</v>
      </c>
    </row>
    <row r="160" spans="1:17" x14ac:dyDescent="0.35">
      <c r="A160" t="s">
        <v>108</v>
      </c>
      <c r="B160" t="s">
        <v>109</v>
      </c>
      <c r="C160">
        <v>3</v>
      </c>
      <c r="D160" t="s">
        <v>23</v>
      </c>
      <c r="E160" t="s">
        <v>100</v>
      </c>
      <c r="F160" t="s">
        <v>101</v>
      </c>
      <c r="G160">
        <v>254</v>
      </c>
      <c r="H160" t="s">
        <v>102</v>
      </c>
      <c r="I160" t="s">
        <v>103</v>
      </c>
      <c r="J160" t="s">
        <v>104</v>
      </c>
      <c r="K160">
        <v>1020</v>
      </c>
      <c r="L160">
        <v>102032</v>
      </c>
      <c r="M160" t="s">
        <v>140</v>
      </c>
      <c r="N160" s="98">
        <v>0</v>
      </c>
      <c r="O160" s="98">
        <v>0</v>
      </c>
      <c r="P160" s="98">
        <v>0</v>
      </c>
      <c r="Q160" s="98">
        <v>0</v>
      </c>
    </row>
    <row r="161" spans="1:17" x14ac:dyDescent="0.35">
      <c r="A161" t="s">
        <v>110</v>
      </c>
      <c r="B161" t="s">
        <v>111</v>
      </c>
      <c r="C161">
        <v>4</v>
      </c>
      <c r="D161" t="s">
        <v>23</v>
      </c>
      <c r="E161" t="s">
        <v>100</v>
      </c>
      <c r="F161" t="s">
        <v>101</v>
      </c>
      <c r="G161">
        <v>254</v>
      </c>
      <c r="H161" t="s">
        <v>102</v>
      </c>
      <c r="I161" t="s">
        <v>103</v>
      </c>
      <c r="J161" t="s">
        <v>104</v>
      </c>
      <c r="K161">
        <v>1020</v>
      </c>
      <c r="L161">
        <v>102032</v>
      </c>
      <c r="M161" t="s">
        <v>140</v>
      </c>
      <c r="N161" s="98">
        <v>0</v>
      </c>
      <c r="O161" s="98">
        <v>164.59</v>
      </c>
      <c r="P161" s="98">
        <v>-164.59</v>
      </c>
      <c r="Q161" s="98">
        <v>164.59</v>
      </c>
    </row>
    <row r="162" spans="1:17" x14ac:dyDescent="0.35">
      <c r="A162" t="s">
        <v>112</v>
      </c>
      <c r="B162" t="s">
        <v>113</v>
      </c>
      <c r="C162">
        <v>5</v>
      </c>
      <c r="D162" t="s">
        <v>27</v>
      </c>
      <c r="E162" t="s">
        <v>100</v>
      </c>
      <c r="F162" t="s">
        <v>101</v>
      </c>
      <c r="G162">
        <v>254</v>
      </c>
      <c r="H162" t="s">
        <v>102</v>
      </c>
      <c r="I162" t="s">
        <v>103</v>
      </c>
      <c r="J162" t="s">
        <v>104</v>
      </c>
      <c r="K162">
        <v>1020</v>
      </c>
      <c r="L162">
        <v>102032</v>
      </c>
      <c r="M162" t="s">
        <v>140</v>
      </c>
      <c r="N162" s="98">
        <v>0</v>
      </c>
      <c r="O162" s="98">
        <v>29714.92</v>
      </c>
      <c r="P162" s="98">
        <v>-29714.92</v>
      </c>
      <c r="Q162" s="98">
        <v>29714.92</v>
      </c>
    </row>
    <row r="163" spans="1:17" x14ac:dyDescent="0.35">
      <c r="A163" t="s">
        <v>114</v>
      </c>
      <c r="B163" t="s">
        <v>115</v>
      </c>
      <c r="C163">
        <v>6</v>
      </c>
      <c r="D163" t="s">
        <v>27</v>
      </c>
      <c r="E163" t="s">
        <v>100</v>
      </c>
      <c r="F163" t="s">
        <v>101</v>
      </c>
      <c r="G163">
        <v>254</v>
      </c>
      <c r="H163" t="s">
        <v>102</v>
      </c>
      <c r="I163" t="s">
        <v>103</v>
      </c>
      <c r="J163" t="s">
        <v>104</v>
      </c>
      <c r="K163">
        <v>1020</v>
      </c>
      <c r="L163">
        <v>102032</v>
      </c>
      <c r="M163" t="s">
        <v>140</v>
      </c>
      <c r="N163" s="98">
        <v>0</v>
      </c>
      <c r="O163" s="98">
        <v>14652.72</v>
      </c>
      <c r="P163" s="98">
        <v>-14652.72</v>
      </c>
      <c r="Q163" s="98">
        <v>14652.72</v>
      </c>
    </row>
    <row r="164" spans="1:17" x14ac:dyDescent="0.35">
      <c r="A164" t="s">
        <v>116</v>
      </c>
      <c r="B164" t="s">
        <v>117</v>
      </c>
      <c r="C164">
        <v>7</v>
      </c>
      <c r="D164" t="s">
        <v>27</v>
      </c>
      <c r="E164" t="s">
        <v>100</v>
      </c>
      <c r="F164" t="s">
        <v>101</v>
      </c>
      <c r="G164">
        <v>254</v>
      </c>
      <c r="H164" t="s">
        <v>102</v>
      </c>
      <c r="I164" t="s">
        <v>103</v>
      </c>
      <c r="J164" t="s">
        <v>104</v>
      </c>
      <c r="K164">
        <v>1020</v>
      </c>
      <c r="L164">
        <v>102032</v>
      </c>
      <c r="M164" t="s">
        <v>140</v>
      </c>
      <c r="N164" s="98">
        <v>0</v>
      </c>
      <c r="O164" s="98">
        <v>28871.57</v>
      </c>
      <c r="P164" s="98">
        <v>-28871.57</v>
      </c>
      <c r="Q164" s="98">
        <v>28871.57</v>
      </c>
    </row>
    <row r="165" spans="1:17" x14ac:dyDescent="0.35">
      <c r="A165" t="s">
        <v>118</v>
      </c>
      <c r="B165" t="s">
        <v>119</v>
      </c>
      <c r="C165">
        <v>8</v>
      </c>
      <c r="D165" t="s">
        <v>27</v>
      </c>
      <c r="E165" t="s">
        <v>100</v>
      </c>
      <c r="F165" t="s">
        <v>101</v>
      </c>
      <c r="G165">
        <v>254</v>
      </c>
      <c r="H165" t="s">
        <v>102</v>
      </c>
      <c r="I165" t="s">
        <v>103</v>
      </c>
      <c r="J165" t="s">
        <v>104</v>
      </c>
      <c r="K165">
        <v>1020</v>
      </c>
      <c r="L165">
        <v>102032</v>
      </c>
      <c r="M165" t="s">
        <v>140</v>
      </c>
      <c r="N165" s="98">
        <v>0</v>
      </c>
      <c r="O165" s="98">
        <v>0</v>
      </c>
      <c r="P165" s="98">
        <v>0</v>
      </c>
      <c r="Q165" s="98">
        <v>0</v>
      </c>
    </row>
    <row r="166" spans="1:17" x14ac:dyDescent="0.35">
      <c r="A166" t="s">
        <v>120</v>
      </c>
      <c r="B166" t="s">
        <v>121</v>
      </c>
      <c r="C166">
        <v>9</v>
      </c>
      <c r="D166" t="s">
        <v>30</v>
      </c>
      <c r="E166" t="s">
        <v>5</v>
      </c>
      <c r="F166" t="s">
        <v>101</v>
      </c>
      <c r="G166">
        <v>254</v>
      </c>
      <c r="H166" t="s">
        <v>102</v>
      </c>
      <c r="I166" t="s">
        <v>103</v>
      </c>
      <c r="J166" t="s">
        <v>104</v>
      </c>
      <c r="K166">
        <v>1020</v>
      </c>
      <c r="L166">
        <v>102032</v>
      </c>
      <c r="M166" t="s">
        <v>140</v>
      </c>
      <c r="N166" s="98">
        <v>0</v>
      </c>
      <c r="O166" s="98">
        <v>0</v>
      </c>
      <c r="P166" s="98">
        <v>0</v>
      </c>
      <c r="Q166" s="98">
        <v>0</v>
      </c>
    </row>
    <row r="167" spans="1:17" x14ac:dyDescent="0.35">
      <c r="A167" t="s">
        <v>122</v>
      </c>
      <c r="B167" t="s">
        <v>123</v>
      </c>
      <c r="C167">
        <v>10</v>
      </c>
      <c r="D167" t="s">
        <v>30</v>
      </c>
      <c r="E167" t="s">
        <v>5</v>
      </c>
      <c r="F167" t="s">
        <v>101</v>
      </c>
      <c r="G167">
        <v>254</v>
      </c>
      <c r="H167" t="s">
        <v>102</v>
      </c>
      <c r="I167" t="s">
        <v>103</v>
      </c>
      <c r="J167" t="s">
        <v>104</v>
      </c>
      <c r="K167">
        <v>1020</v>
      </c>
      <c r="L167">
        <v>102032</v>
      </c>
      <c r="M167" t="s">
        <v>140</v>
      </c>
      <c r="N167" s="98">
        <v>0</v>
      </c>
      <c r="O167" s="98">
        <v>0</v>
      </c>
      <c r="P167" s="98">
        <v>0</v>
      </c>
      <c r="Q167" s="98">
        <v>0</v>
      </c>
    </row>
    <row r="168" spans="1:17" x14ac:dyDescent="0.35">
      <c r="A168" t="s">
        <v>124</v>
      </c>
      <c r="B168" t="s">
        <v>125</v>
      </c>
      <c r="C168">
        <v>11</v>
      </c>
      <c r="D168" t="s">
        <v>30</v>
      </c>
      <c r="E168" t="s">
        <v>5</v>
      </c>
      <c r="F168" t="s">
        <v>101</v>
      </c>
      <c r="G168">
        <v>254</v>
      </c>
      <c r="H168" t="s">
        <v>102</v>
      </c>
      <c r="I168" t="s">
        <v>103</v>
      </c>
      <c r="J168" t="s">
        <v>104</v>
      </c>
      <c r="K168">
        <v>1020</v>
      </c>
      <c r="L168">
        <v>102032</v>
      </c>
      <c r="M168" t="s">
        <v>140</v>
      </c>
      <c r="N168" s="98">
        <v>0</v>
      </c>
      <c r="O168" s="98">
        <v>0</v>
      </c>
      <c r="P168" s="98">
        <v>0</v>
      </c>
      <c r="Q168" s="98">
        <v>0</v>
      </c>
    </row>
    <row r="169" spans="1:17" x14ac:dyDescent="0.35">
      <c r="A169" t="s">
        <v>126</v>
      </c>
      <c r="B169" t="s">
        <v>127</v>
      </c>
      <c r="C169">
        <v>12</v>
      </c>
      <c r="D169" t="s">
        <v>30</v>
      </c>
      <c r="E169" t="s">
        <v>5</v>
      </c>
      <c r="F169" t="s">
        <v>101</v>
      </c>
      <c r="G169">
        <v>254</v>
      </c>
      <c r="H169" t="s">
        <v>102</v>
      </c>
      <c r="I169" t="s">
        <v>103</v>
      </c>
      <c r="J169" t="s">
        <v>104</v>
      </c>
      <c r="K169">
        <v>1020</v>
      </c>
      <c r="L169">
        <v>102032</v>
      </c>
      <c r="M169" t="s">
        <v>140</v>
      </c>
      <c r="N169" s="98">
        <v>0</v>
      </c>
      <c r="O169" s="98">
        <v>0</v>
      </c>
      <c r="P169" s="98">
        <v>0</v>
      </c>
      <c r="Q169" s="98">
        <v>0</v>
      </c>
    </row>
    <row r="170" spans="1:17" x14ac:dyDescent="0.35">
      <c r="A170" t="s">
        <v>98</v>
      </c>
      <c r="B170" t="s">
        <v>99</v>
      </c>
      <c r="C170">
        <v>1</v>
      </c>
      <c r="D170" t="s">
        <v>23</v>
      </c>
      <c r="E170" t="s">
        <v>100</v>
      </c>
      <c r="F170" t="s">
        <v>101</v>
      </c>
      <c r="G170">
        <v>254</v>
      </c>
      <c r="H170" t="s">
        <v>102</v>
      </c>
      <c r="I170" t="s">
        <v>103</v>
      </c>
      <c r="J170" t="s">
        <v>104</v>
      </c>
      <c r="K170">
        <v>1030</v>
      </c>
      <c r="L170">
        <v>103000</v>
      </c>
      <c r="M170" t="s">
        <v>141</v>
      </c>
      <c r="N170" s="98">
        <v>0</v>
      </c>
      <c r="O170" s="98">
        <v>0</v>
      </c>
      <c r="P170" s="98">
        <v>0</v>
      </c>
      <c r="Q170" s="98">
        <v>0</v>
      </c>
    </row>
    <row r="171" spans="1:17" x14ac:dyDescent="0.35">
      <c r="A171" t="s">
        <v>106</v>
      </c>
      <c r="B171" t="s">
        <v>107</v>
      </c>
      <c r="C171">
        <v>2</v>
      </c>
      <c r="D171" t="s">
        <v>23</v>
      </c>
      <c r="E171" t="s">
        <v>100</v>
      </c>
      <c r="F171" t="s">
        <v>101</v>
      </c>
      <c r="G171">
        <v>254</v>
      </c>
      <c r="H171" t="s">
        <v>102</v>
      </c>
      <c r="I171" t="s">
        <v>103</v>
      </c>
      <c r="J171" t="s">
        <v>104</v>
      </c>
      <c r="K171">
        <v>1030</v>
      </c>
      <c r="L171">
        <v>103000</v>
      </c>
      <c r="M171" t="s">
        <v>141</v>
      </c>
      <c r="N171" s="98">
        <v>0</v>
      </c>
      <c r="O171" s="98">
        <v>32502.05</v>
      </c>
      <c r="P171" s="98">
        <v>-32502.05</v>
      </c>
      <c r="Q171" s="98">
        <v>32502.05</v>
      </c>
    </row>
    <row r="172" spans="1:17" x14ac:dyDescent="0.35">
      <c r="A172" t="s">
        <v>108</v>
      </c>
      <c r="B172" t="s">
        <v>109</v>
      </c>
      <c r="C172">
        <v>3</v>
      </c>
      <c r="D172" t="s">
        <v>23</v>
      </c>
      <c r="E172" t="s">
        <v>100</v>
      </c>
      <c r="F172" t="s">
        <v>101</v>
      </c>
      <c r="G172">
        <v>254</v>
      </c>
      <c r="H172" t="s">
        <v>102</v>
      </c>
      <c r="I172" t="s">
        <v>103</v>
      </c>
      <c r="J172" t="s">
        <v>104</v>
      </c>
      <c r="K172">
        <v>1030</v>
      </c>
      <c r="L172">
        <v>103000</v>
      </c>
      <c r="M172" t="s">
        <v>141</v>
      </c>
      <c r="N172" s="98">
        <v>0</v>
      </c>
      <c r="O172" s="98">
        <v>26230.47</v>
      </c>
      <c r="P172" s="98">
        <v>-26230.47</v>
      </c>
      <c r="Q172" s="98">
        <v>26230.47</v>
      </c>
    </row>
    <row r="173" spans="1:17" x14ac:dyDescent="0.35">
      <c r="A173" t="s">
        <v>110</v>
      </c>
      <c r="B173" t="s">
        <v>111</v>
      </c>
      <c r="C173">
        <v>4</v>
      </c>
      <c r="D173" t="s">
        <v>23</v>
      </c>
      <c r="E173" t="s">
        <v>100</v>
      </c>
      <c r="F173" t="s">
        <v>101</v>
      </c>
      <c r="G173">
        <v>254</v>
      </c>
      <c r="H173" t="s">
        <v>102</v>
      </c>
      <c r="I173" t="s">
        <v>103</v>
      </c>
      <c r="J173" t="s">
        <v>104</v>
      </c>
      <c r="K173">
        <v>1030</v>
      </c>
      <c r="L173">
        <v>103000</v>
      </c>
      <c r="M173" t="s">
        <v>141</v>
      </c>
      <c r="N173" s="98">
        <v>0</v>
      </c>
      <c r="O173" s="98">
        <v>4661.68</v>
      </c>
      <c r="P173" s="98">
        <v>-4661.68</v>
      </c>
      <c r="Q173" s="98">
        <v>4661.68</v>
      </c>
    </row>
    <row r="174" spans="1:17" x14ac:dyDescent="0.35">
      <c r="A174" t="s">
        <v>112</v>
      </c>
      <c r="B174" t="s">
        <v>113</v>
      </c>
      <c r="C174">
        <v>5</v>
      </c>
      <c r="D174" t="s">
        <v>27</v>
      </c>
      <c r="E174" t="s">
        <v>100</v>
      </c>
      <c r="F174" t="s">
        <v>101</v>
      </c>
      <c r="G174">
        <v>254</v>
      </c>
      <c r="H174" t="s">
        <v>102</v>
      </c>
      <c r="I174" t="s">
        <v>103</v>
      </c>
      <c r="J174" t="s">
        <v>104</v>
      </c>
      <c r="K174">
        <v>1030</v>
      </c>
      <c r="L174">
        <v>103000</v>
      </c>
      <c r="M174" t="s">
        <v>141</v>
      </c>
      <c r="N174" s="98">
        <v>0</v>
      </c>
      <c r="O174" s="98">
        <v>12263.23</v>
      </c>
      <c r="P174" s="98">
        <v>-12263.23</v>
      </c>
      <c r="Q174" s="98">
        <v>12263.23</v>
      </c>
    </row>
    <row r="175" spans="1:17" x14ac:dyDescent="0.35">
      <c r="A175" t="s">
        <v>114</v>
      </c>
      <c r="B175" t="s">
        <v>115</v>
      </c>
      <c r="C175">
        <v>6</v>
      </c>
      <c r="D175" t="s">
        <v>27</v>
      </c>
      <c r="E175" t="s">
        <v>100</v>
      </c>
      <c r="F175" t="s">
        <v>101</v>
      </c>
      <c r="G175">
        <v>254</v>
      </c>
      <c r="H175" t="s">
        <v>102</v>
      </c>
      <c r="I175" t="s">
        <v>103</v>
      </c>
      <c r="J175" t="s">
        <v>104</v>
      </c>
      <c r="K175">
        <v>1030</v>
      </c>
      <c r="L175">
        <v>103000</v>
      </c>
      <c r="M175" t="s">
        <v>141</v>
      </c>
      <c r="N175" s="98">
        <v>0</v>
      </c>
      <c r="O175" s="98">
        <v>34776.14</v>
      </c>
      <c r="P175" s="98">
        <v>-34776.14</v>
      </c>
      <c r="Q175" s="98">
        <v>34776.14</v>
      </c>
    </row>
    <row r="176" spans="1:17" x14ac:dyDescent="0.35">
      <c r="A176" t="s">
        <v>116</v>
      </c>
      <c r="B176" t="s">
        <v>117</v>
      </c>
      <c r="C176">
        <v>7</v>
      </c>
      <c r="D176" t="s">
        <v>27</v>
      </c>
      <c r="E176" t="s">
        <v>100</v>
      </c>
      <c r="F176" t="s">
        <v>101</v>
      </c>
      <c r="G176">
        <v>254</v>
      </c>
      <c r="H176" t="s">
        <v>102</v>
      </c>
      <c r="I176" t="s">
        <v>103</v>
      </c>
      <c r="J176" t="s">
        <v>104</v>
      </c>
      <c r="K176">
        <v>1030</v>
      </c>
      <c r="L176">
        <v>103000</v>
      </c>
      <c r="M176" t="s">
        <v>141</v>
      </c>
      <c r="N176" s="98">
        <v>0</v>
      </c>
      <c r="O176" s="98">
        <v>20546.22</v>
      </c>
      <c r="P176" s="98">
        <v>-20546.22</v>
      </c>
      <c r="Q176" s="98">
        <v>20546.22</v>
      </c>
    </row>
    <row r="177" spans="1:17" x14ac:dyDescent="0.35">
      <c r="A177" t="s">
        <v>118</v>
      </c>
      <c r="B177" t="s">
        <v>119</v>
      </c>
      <c r="C177">
        <v>8</v>
      </c>
      <c r="D177" t="s">
        <v>27</v>
      </c>
      <c r="E177" t="s">
        <v>100</v>
      </c>
      <c r="F177" t="s">
        <v>101</v>
      </c>
      <c r="G177">
        <v>254</v>
      </c>
      <c r="H177" t="s">
        <v>102</v>
      </c>
      <c r="I177" t="s">
        <v>103</v>
      </c>
      <c r="J177" t="s">
        <v>104</v>
      </c>
      <c r="K177">
        <v>1030</v>
      </c>
      <c r="L177">
        <v>103000</v>
      </c>
      <c r="M177" t="s">
        <v>141</v>
      </c>
      <c r="N177" s="98">
        <v>0</v>
      </c>
      <c r="O177" s="98">
        <v>10668.91</v>
      </c>
      <c r="P177" s="98">
        <v>-10668.91</v>
      </c>
      <c r="Q177" s="98">
        <v>10668.91</v>
      </c>
    </row>
    <row r="178" spans="1:17" x14ac:dyDescent="0.35">
      <c r="A178" t="s">
        <v>120</v>
      </c>
      <c r="B178" t="s">
        <v>121</v>
      </c>
      <c r="C178">
        <v>9</v>
      </c>
      <c r="D178" t="s">
        <v>30</v>
      </c>
      <c r="E178" t="s">
        <v>5</v>
      </c>
      <c r="F178" t="s">
        <v>101</v>
      </c>
      <c r="G178">
        <v>254</v>
      </c>
      <c r="H178" t="s">
        <v>102</v>
      </c>
      <c r="I178" t="s">
        <v>103</v>
      </c>
      <c r="J178" t="s">
        <v>104</v>
      </c>
      <c r="K178">
        <v>1030</v>
      </c>
      <c r="L178">
        <v>103000</v>
      </c>
      <c r="M178" t="s">
        <v>141</v>
      </c>
      <c r="N178" s="98">
        <v>0</v>
      </c>
      <c r="O178" s="98">
        <v>0</v>
      </c>
      <c r="P178" s="98">
        <v>0</v>
      </c>
      <c r="Q178" s="98">
        <v>0</v>
      </c>
    </row>
    <row r="179" spans="1:17" x14ac:dyDescent="0.35">
      <c r="A179" t="s">
        <v>122</v>
      </c>
      <c r="B179" t="s">
        <v>123</v>
      </c>
      <c r="C179">
        <v>10</v>
      </c>
      <c r="D179" t="s">
        <v>30</v>
      </c>
      <c r="E179" t="s">
        <v>5</v>
      </c>
      <c r="F179" t="s">
        <v>101</v>
      </c>
      <c r="G179">
        <v>254</v>
      </c>
      <c r="H179" t="s">
        <v>102</v>
      </c>
      <c r="I179" t="s">
        <v>103</v>
      </c>
      <c r="J179" t="s">
        <v>104</v>
      </c>
      <c r="K179">
        <v>1030</v>
      </c>
      <c r="L179">
        <v>103000</v>
      </c>
      <c r="M179" t="s">
        <v>141</v>
      </c>
      <c r="N179" s="98">
        <v>0</v>
      </c>
      <c r="O179" s="98">
        <v>0</v>
      </c>
      <c r="P179" s="98">
        <v>0</v>
      </c>
      <c r="Q179" s="98">
        <v>0</v>
      </c>
    </row>
    <row r="180" spans="1:17" x14ac:dyDescent="0.35">
      <c r="A180" t="s">
        <v>124</v>
      </c>
      <c r="B180" t="s">
        <v>125</v>
      </c>
      <c r="C180">
        <v>11</v>
      </c>
      <c r="D180" t="s">
        <v>30</v>
      </c>
      <c r="E180" t="s">
        <v>5</v>
      </c>
      <c r="F180" t="s">
        <v>101</v>
      </c>
      <c r="G180">
        <v>254</v>
      </c>
      <c r="H180" t="s">
        <v>102</v>
      </c>
      <c r="I180" t="s">
        <v>103</v>
      </c>
      <c r="J180" t="s">
        <v>104</v>
      </c>
      <c r="K180">
        <v>1030</v>
      </c>
      <c r="L180">
        <v>103000</v>
      </c>
      <c r="M180" t="s">
        <v>141</v>
      </c>
      <c r="N180" s="98">
        <v>0</v>
      </c>
      <c r="O180" s="98">
        <v>0</v>
      </c>
      <c r="P180" s="98">
        <v>0</v>
      </c>
      <c r="Q180" s="98">
        <v>0</v>
      </c>
    </row>
    <row r="181" spans="1:17" x14ac:dyDescent="0.35">
      <c r="A181" t="s">
        <v>126</v>
      </c>
      <c r="B181" t="s">
        <v>127</v>
      </c>
      <c r="C181">
        <v>12</v>
      </c>
      <c r="D181" t="s">
        <v>30</v>
      </c>
      <c r="E181" t="s">
        <v>5</v>
      </c>
      <c r="F181" t="s">
        <v>101</v>
      </c>
      <c r="G181">
        <v>254</v>
      </c>
      <c r="H181" t="s">
        <v>102</v>
      </c>
      <c r="I181" t="s">
        <v>103</v>
      </c>
      <c r="J181" t="s">
        <v>104</v>
      </c>
      <c r="K181">
        <v>1030</v>
      </c>
      <c r="L181">
        <v>103000</v>
      </c>
      <c r="M181" t="s">
        <v>141</v>
      </c>
      <c r="N181" s="98">
        <v>0</v>
      </c>
      <c r="O181" s="98">
        <v>0</v>
      </c>
      <c r="P181" s="98">
        <v>0</v>
      </c>
      <c r="Q181" s="98">
        <v>0</v>
      </c>
    </row>
    <row r="182" spans="1:17" x14ac:dyDescent="0.35">
      <c r="A182" t="s">
        <v>98</v>
      </c>
      <c r="B182" t="s">
        <v>99</v>
      </c>
      <c r="C182">
        <v>1</v>
      </c>
      <c r="D182" t="s">
        <v>23</v>
      </c>
      <c r="E182" t="s">
        <v>100</v>
      </c>
      <c r="F182" t="s">
        <v>101</v>
      </c>
      <c r="G182">
        <v>254</v>
      </c>
      <c r="H182" t="s">
        <v>102</v>
      </c>
      <c r="I182" t="s">
        <v>103</v>
      </c>
      <c r="J182" t="s">
        <v>104</v>
      </c>
      <c r="K182">
        <v>1030</v>
      </c>
      <c r="L182">
        <v>103030</v>
      </c>
      <c r="M182" t="s">
        <v>142</v>
      </c>
      <c r="N182" s="98">
        <v>0</v>
      </c>
      <c r="O182" s="98">
        <v>0</v>
      </c>
      <c r="P182" s="98">
        <v>0</v>
      </c>
      <c r="Q182" s="98">
        <v>0</v>
      </c>
    </row>
    <row r="183" spans="1:17" x14ac:dyDescent="0.35">
      <c r="A183" t="s">
        <v>106</v>
      </c>
      <c r="B183" t="s">
        <v>107</v>
      </c>
      <c r="C183">
        <v>2</v>
      </c>
      <c r="D183" t="s">
        <v>23</v>
      </c>
      <c r="E183" t="s">
        <v>100</v>
      </c>
      <c r="F183" t="s">
        <v>101</v>
      </c>
      <c r="G183">
        <v>254</v>
      </c>
      <c r="H183" t="s">
        <v>102</v>
      </c>
      <c r="I183" t="s">
        <v>103</v>
      </c>
      <c r="J183" t="s">
        <v>104</v>
      </c>
      <c r="K183">
        <v>1030</v>
      </c>
      <c r="L183">
        <v>103030</v>
      </c>
      <c r="M183" t="s">
        <v>142</v>
      </c>
      <c r="N183" s="98">
        <v>0</v>
      </c>
      <c r="O183" s="98">
        <v>0</v>
      </c>
      <c r="P183" s="98">
        <v>0</v>
      </c>
      <c r="Q183" s="98">
        <v>0</v>
      </c>
    </row>
    <row r="184" spans="1:17" x14ac:dyDescent="0.35">
      <c r="A184" t="s">
        <v>108</v>
      </c>
      <c r="B184" t="s">
        <v>109</v>
      </c>
      <c r="C184">
        <v>3</v>
      </c>
      <c r="D184" t="s">
        <v>23</v>
      </c>
      <c r="E184" t="s">
        <v>100</v>
      </c>
      <c r="F184" t="s">
        <v>101</v>
      </c>
      <c r="G184">
        <v>254</v>
      </c>
      <c r="H184" t="s">
        <v>102</v>
      </c>
      <c r="I184" t="s">
        <v>103</v>
      </c>
      <c r="J184" t="s">
        <v>104</v>
      </c>
      <c r="K184">
        <v>1030</v>
      </c>
      <c r="L184">
        <v>103030</v>
      </c>
      <c r="M184" t="s">
        <v>142</v>
      </c>
      <c r="N184" s="98">
        <v>0</v>
      </c>
      <c r="O184" s="98">
        <v>1881.6</v>
      </c>
      <c r="P184" s="98">
        <v>-1881.6</v>
      </c>
      <c r="Q184" s="98">
        <v>1881.6</v>
      </c>
    </row>
    <row r="185" spans="1:17" x14ac:dyDescent="0.35">
      <c r="A185" t="s">
        <v>110</v>
      </c>
      <c r="B185" t="s">
        <v>111</v>
      </c>
      <c r="C185">
        <v>4</v>
      </c>
      <c r="D185" t="s">
        <v>23</v>
      </c>
      <c r="E185" t="s">
        <v>100</v>
      </c>
      <c r="F185" t="s">
        <v>101</v>
      </c>
      <c r="G185">
        <v>254</v>
      </c>
      <c r="H185" t="s">
        <v>102</v>
      </c>
      <c r="I185" t="s">
        <v>103</v>
      </c>
      <c r="J185" t="s">
        <v>104</v>
      </c>
      <c r="K185">
        <v>1030</v>
      </c>
      <c r="L185">
        <v>103030</v>
      </c>
      <c r="M185" t="s">
        <v>142</v>
      </c>
      <c r="N185" s="98">
        <v>0</v>
      </c>
      <c r="O185" s="98">
        <v>0</v>
      </c>
      <c r="P185" s="98">
        <v>0</v>
      </c>
      <c r="Q185" s="98">
        <v>0</v>
      </c>
    </row>
    <row r="186" spans="1:17" x14ac:dyDescent="0.35">
      <c r="A186" t="s">
        <v>112</v>
      </c>
      <c r="B186" t="s">
        <v>113</v>
      </c>
      <c r="C186">
        <v>5</v>
      </c>
      <c r="D186" t="s">
        <v>27</v>
      </c>
      <c r="E186" t="s">
        <v>100</v>
      </c>
      <c r="F186" t="s">
        <v>101</v>
      </c>
      <c r="G186">
        <v>254</v>
      </c>
      <c r="H186" t="s">
        <v>102</v>
      </c>
      <c r="I186" t="s">
        <v>103</v>
      </c>
      <c r="J186" t="s">
        <v>104</v>
      </c>
      <c r="K186">
        <v>1030</v>
      </c>
      <c r="L186">
        <v>103030</v>
      </c>
      <c r="M186" t="s">
        <v>142</v>
      </c>
      <c r="N186" s="98">
        <v>0</v>
      </c>
      <c r="O186" s="98">
        <v>0</v>
      </c>
      <c r="P186" s="98">
        <v>0</v>
      </c>
      <c r="Q186" s="98">
        <v>0</v>
      </c>
    </row>
    <row r="187" spans="1:17" x14ac:dyDescent="0.35">
      <c r="A187" t="s">
        <v>114</v>
      </c>
      <c r="B187" t="s">
        <v>115</v>
      </c>
      <c r="C187">
        <v>6</v>
      </c>
      <c r="D187" t="s">
        <v>27</v>
      </c>
      <c r="E187" t="s">
        <v>100</v>
      </c>
      <c r="F187" t="s">
        <v>101</v>
      </c>
      <c r="G187">
        <v>254</v>
      </c>
      <c r="H187" t="s">
        <v>102</v>
      </c>
      <c r="I187" t="s">
        <v>103</v>
      </c>
      <c r="J187" t="s">
        <v>104</v>
      </c>
      <c r="K187">
        <v>1030</v>
      </c>
      <c r="L187">
        <v>103030</v>
      </c>
      <c r="M187" t="s">
        <v>142</v>
      </c>
      <c r="N187" s="98">
        <v>0</v>
      </c>
      <c r="O187" s="98">
        <v>558.46</v>
      </c>
      <c r="P187" s="98">
        <v>-558.46</v>
      </c>
      <c r="Q187" s="98">
        <v>558.46</v>
      </c>
    </row>
    <row r="188" spans="1:17" x14ac:dyDescent="0.35">
      <c r="A188" t="s">
        <v>116</v>
      </c>
      <c r="B188" t="s">
        <v>117</v>
      </c>
      <c r="C188">
        <v>7</v>
      </c>
      <c r="D188" t="s">
        <v>27</v>
      </c>
      <c r="E188" t="s">
        <v>100</v>
      </c>
      <c r="F188" t="s">
        <v>101</v>
      </c>
      <c r="G188">
        <v>254</v>
      </c>
      <c r="H188" t="s">
        <v>102</v>
      </c>
      <c r="I188" t="s">
        <v>103</v>
      </c>
      <c r="J188" t="s">
        <v>104</v>
      </c>
      <c r="K188">
        <v>1030</v>
      </c>
      <c r="L188">
        <v>103030</v>
      </c>
      <c r="M188" t="s">
        <v>142</v>
      </c>
      <c r="N188" s="98">
        <v>0</v>
      </c>
      <c r="O188" s="98">
        <v>1058.4000000000001</v>
      </c>
      <c r="P188" s="98">
        <v>-1058.4000000000001</v>
      </c>
      <c r="Q188" s="98">
        <v>1058.4000000000001</v>
      </c>
    </row>
    <row r="189" spans="1:17" x14ac:dyDescent="0.35">
      <c r="A189" t="s">
        <v>118</v>
      </c>
      <c r="B189" t="s">
        <v>119</v>
      </c>
      <c r="C189">
        <v>8</v>
      </c>
      <c r="D189" t="s">
        <v>27</v>
      </c>
      <c r="E189" t="s">
        <v>100</v>
      </c>
      <c r="F189" t="s">
        <v>101</v>
      </c>
      <c r="G189">
        <v>254</v>
      </c>
      <c r="H189" t="s">
        <v>102</v>
      </c>
      <c r="I189" t="s">
        <v>103</v>
      </c>
      <c r="J189" t="s">
        <v>104</v>
      </c>
      <c r="K189">
        <v>1030</v>
      </c>
      <c r="L189">
        <v>103030</v>
      </c>
      <c r="M189" t="s">
        <v>142</v>
      </c>
      <c r="N189" s="98">
        <v>0</v>
      </c>
      <c r="O189" s="98">
        <v>1881.6</v>
      </c>
      <c r="P189" s="98">
        <v>-1881.6</v>
      </c>
      <c r="Q189" s="98">
        <v>1881.6</v>
      </c>
    </row>
    <row r="190" spans="1:17" x14ac:dyDescent="0.35">
      <c r="A190" t="s">
        <v>120</v>
      </c>
      <c r="B190" t="s">
        <v>121</v>
      </c>
      <c r="C190">
        <v>9</v>
      </c>
      <c r="D190" t="s">
        <v>30</v>
      </c>
      <c r="E190" t="s">
        <v>5</v>
      </c>
      <c r="F190" t="s">
        <v>101</v>
      </c>
      <c r="G190">
        <v>254</v>
      </c>
      <c r="H190" t="s">
        <v>102</v>
      </c>
      <c r="I190" t="s">
        <v>103</v>
      </c>
      <c r="J190" t="s">
        <v>104</v>
      </c>
      <c r="K190">
        <v>1030</v>
      </c>
      <c r="L190">
        <v>103030</v>
      </c>
      <c r="M190" t="s">
        <v>142</v>
      </c>
      <c r="N190" s="98">
        <v>0</v>
      </c>
      <c r="O190" s="98">
        <v>0</v>
      </c>
      <c r="P190" s="98">
        <v>0</v>
      </c>
      <c r="Q190" s="98">
        <v>0</v>
      </c>
    </row>
    <row r="191" spans="1:17" x14ac:dyDescent="0.35">
      <c r="A191" t="s">
        <v>122</v>
      </c>
      <c r="B191" t="s">
        <v>123</v>
      </c>
      <c r="C191">
        <v>10</v>
      </c>
      <c r="D191" t="s">
        <v>30</v>
      </c>
      <c r="E191" t="s">
        <v>5</v>
      </c>
      <c r="F191" t="s">
        <v>101</v>
      </c>
      <c r="G191">
        <v>254</v>
      </c>
      <c r="H191" t="s">
        <v>102</v>
      </c>
      <c r="I191" t="s">
        <v>103</v>
      </c>
      <c r="J191" t="s">
        <v>104</v>
      </c>
      <c r="K191">
        <v>1030</v>
      </c>
      <c r="L191">
        <v>103030</v>
      </c>
      <c r="M191" t="s">
        <v>142</v>
      </c>
      <c r="N191" s="98">
        <v>0</v>
      </c>
      <c r="O191" s="98">
        <v>0</v>
      </c>
      <c r="P191" s="98">
        <v>0</v>
      </c>
      <c r="Q191" s="98">
        <v>0</v>
      </c>
    </row>
    <row r="192" spans="1:17" x14ac:dyDescent="0.35">
      <c r="A192" t="s">
        <v>124</v>
      </c>
      <c r="B192" t="s">
        <v>125</v>
      </c>
      <c r="C192">
        <v>11</v>
      </c>
      <c r="D192" t="s">
        <v>30</v>
      </c>
      <c r="E192" t="s">
        <v>5</v>
      </c>
      <c r="F192" t="s">
        <v>101</v>
      </c>
      <c r="G192">
        <v>254</v>
      </c>
      <c r="H192" t="s">
        <v>102</v>
      </c>
      <c r="I192" t="s">
        <v>103</v>
      </c>
      <c r="J192" t="s">
        <v>104</v>
      </c>
      <c r="K192">
        <v>1030</v>
      </c>
      <c r="L192">
        <v>103030</v>
      </c>
      <c r="M192" t="s">
        <v>142</v>
      </c>
      <c r="N192" s="98">
        <v>0</v>
      </c>
      <c r="O192" s="98">
        <v>0</v>
      </c>
      <c r="P192" s="98">
        <v>0</v>
      </c>
      <c r="Q192" s="98">
        <v>0</v>
      </c>
    </row>
    <row r="193" spans="1:17" x14ac:dyDescent="0.35">
      <c r="A193" t="s">
        <v>126</v>
      </c>
      <c r="B193" t="s">
        <v>127</v>
      </c>
      <c r="C193">
        <v>12</v>
      </c>
      <c r="D193" t="s">
        <v>30</v>
      </c>
      <c r="E193" t="s">
        <v>5</v>
      </c>
      <c r="F193" t="s">
        <v>101</v>
      </c>
      <c r="G193">
        <v>254</v>
      </c>
      <c r="H193" t="s">
        <v>102</v>
      </c>
      <c r="I193" t="s">
        <v>103</v>
      </c>
      <c r="J193" t="s">
        <v>104</v>
      </c>
      <c r="K193">
        <v>1030</v>
      </c>
      <c r="L193">
        <v>103030</v>
      </c>
      <c r="M193" t="s">
        <v>142</v>
      </c>
      <c r="N193" s="98">
        <v>0</v>
      </c>
      <c r="O193" s="98">
        <v>0</v>
      </c>
      <c r="P193" s="98">
        <v>0</v>
      </c>
      <c r="Q193" s="98">
        <v>0</v>
      </c>
    </row>
    <row r="194" spans="1:17" x14ac:dyDescent="0.35">
      <c r="A194" t="s">
        <v>98</v>
      </c>
      <c r="B194" t="s">
        <v>99</v>
      </c>
      <c r="C194">
        <v>1</v>
      </c>
      <c r="D194" t="s">
        <v>23</v>
      </c>
      <c r="E194" t="s">
        <v>100</v>
      </c>
      <c r="F194" t="s">
        <v>101</v>
      </c>
      <c r="G194">
        <v>254</v>
      </c>
      <c r="H194" t="s">
        <v>102</v>
      </c>
      <c r="I194" t="s">
        <v>103</v>
      </c>
      <c r="J194" t="s">
        <v>104</v>
      </c>
      <c r="K194">
        <v>1030</v>
      </c>
      <c r="L194">
        <v>103031</v>
      </c>
      <c r="M194" t="s">
        <v>143</v>
      </c>
      <c r="N194" s="98">
        <v>0</v>
      </c>
      <c r="O194" s="98">
        <v>0</v>
      </c>
      <c r="P194" s="98">
        <v>0</v>
      </c>
      <c r="Q194" s="98">
        <v>0</v>
      </c>
    </row>
    <row r="195" spans="1:17" x14ac:dyDescent="0.35">
      <c r="A195" t="s">
        <v>106</v>
      </c>
      <c r="B195" t="s">
        <v>107</v>
      </c>
      <c r="C195">
        <v>2</v>
      </c>
      <c r="D195" t="s">
        <v>23</v>
      </c>
      <c r="E195" t="s">
        <v>100</v>
      </c>
      <c r="F195" t="s">
        <v>101</v>
      </c>
      <c r="G195">
        <v>254</v>
      </c>
      <c r="H195" t="s">
        <v>102</v>
      </c>
      <c r="I195" t="s">
        <v>103</v>
      </c>
      <c r="J195" t="s">
        <v>104</v>
      </c>
      <c r="K195">
        <v>1030</v>
      </c>
      <c r="L195">
        <v>103031</v>
      </c>
      <c r="M195" t="s">
        <v>143</v>
      </c>
      <c r="N195" s="98">
        <v>0</v>
      </c>
      <c r="O195" s="98">
        <v>1740.48</v>
      </c>
      <c r="P195" s="98">
        <v>-1740.48</v>
      </c>
      <c r="Q195" s="98">
        <v>1740.48</v>
      </c>
    </row>
    <row r="196" spans="1:17" x14ac:dyDescent="0.35">
      <c r="A196" t="s">
        <v>108</v>
      </c>
      <c r="B196" t="s">
        <v>109</v>
      </c>
      <c r="C196">
        <v>3</v>
      </c>
      <c r="D196" t="s">
        <v>23</v>
      </c>
      <c r="E196" t="s">
        <v>100</v>
      </c>
      <c r="F196" t="s">
        <v>101</v>
      </c>
      <c r="G196">
        <v>254</v>
      </c>
      <c r="H196" t="s">
        <v>102</v>
      </c>
      <c r="I196" t="s">
        <v>103</v>
      </c>
      <c r="J196" t="s">
        <v>104</v>
      </c>
      <c r="K196">
        <v>1030</v>
      </c>
      <c r="L196">
        <v>103031</v>
      </c>
      <c r="M196" t="s">
        <v>143</v>
      </c>
      <c r="N196" s="98">
        <v>0</v>
      </c>
      <c r="O196" s="98">
        <v>831.04</v>
      </c>
      <c r="P196" s="98">
        <v>-831.04</v>
      </c>
      <c r="Q196" s="98">
        <v>831.04</v>
      </c>
    </row>
    <row r="197" spans="1:17" x14ac:dyDescent="0.35">
      <c r="A197" t="s">
        <v>110</v>
      </c>
      <c r="B197" t="s">
        <v>111</v>
      </c>
      <c r="C197">
        <v>4</v>
      </c>
      <c r="D197" t="s">
        <v>23</v>
      </c>
      <c r="E197" t="s">
        <v>100</v>
      </c>
      <c r="F197" t="s">
        <v>101</v>
      </c>
      <c r="G197">
        <v>254</v>
      </c>
      <c r="H197" t="s">
        <v>102</v>
      </c>
      <c r="I197" t="s">
        <v>103</v>
      </c>
      <c r="J197" t="s">
        <v>104</v>
      </c>
      <c r="K197">
        <v>1030</v>
      </c>
      <c r="L197">
        <v>103031</v>
      </c>
      <c r="M197" t="s">
        <v>143</v>
      </c>
      <c r="N197" s="98">
        <v>0</v>
      </c>
      <c r="O197" s="98">
        <v>0</v>
      </c>
      <c r="P197" s="98">
        <v>0</v>
      </c>
      <c r="Q197" s="98">
        <v>0</v>
      </c>
    </row>
    <row r="198" spans="1:17" x14ac:dyDescent="0.35">
      <c r="A198" t="s">
        <v>112</v>
      </c>
      <c r="B198" t="s">
        <v>113</v>
      </c>
      <c r="C198">
        <v>5</v>
      </c>
      <c r="D198" t="s">
        <v>27</v>
      </c>
      <c r="E198" t="s">
        <v>100</v>
      </c>
      <c r="F198" t="s">
        <v>101</v>
      </c>
      <c r="G198">
        <v>254</v>
      </c>
      <c r="H198" t="s">
        <v>102</v>
      </c>
      <c r="I198" t="s">
        <v>103</v>
      </c>
      <c r="J198" t="s">
        <v>104</v>
      </c>
      <c r="K198">
        <v>1030</v>
      </c>
      <c r="L198">
        <v>103031</v>
      </c>
      <c r="M198" t="s">
        <v>143</v>
      </c>
      <c r="N198" s="98">
        <v>0</v>
      </c>
      <c r="O198" s="98">
        <v>0</v>
      </c>
      <c r="P198" s="98">
        <v>0</v>
      </c>
      <c r="Q198" s="98">
        <v>0</v>
      </c>
    </row>
    <row r="199" spans="1:17" x14ac:dyDescent="0.35">
      <c r="A199" t="s">
        <v>114</v>
      </c>
      <c r="B199" t="s">
        <v>115</v>
      </c>
      <c r="C199">
        <v>6</v>
      </c>
      <c r="D199" t="s">
        <v>27</v>
      </c>
      <c r="E199" t="s">
        <v>100</v>
      </c>
      <c r="F199" t="s">
        <v>101</v>
      </c>
      <c r="G199">
        <v>254</v>
      </c>
      <c r="H199" t="s">
        <v>102</v>
      </c>
      <c r="I199" t="s">
        <v>103</v>
      </c>
      <c r="J199" t="s">
        <v>104</v>
      </c>
      <c r="K199">
        <v>1030</v>
      </c>
      <c r="L199">
        <v>103031</v>
      </c>
      <c r="M199" t="s">
        <v>143</v>
      </c>
      <c r="N199" s="98">
        <v>0</v>
      </c>
      <c r="O199" s="98">
        <v>1641.4</v>
      </c>
      <c r="P199" s="98">
        <v>-1641.4</v>
      </c>
      <c r="Q199" s="98">
        <v>1641.4</v>
      </c>
    </row>
    <row r="200" spans="1:17" x14ac:dyDescent="0.35">
      <c r="A200" t="s">
        <v>116</v>
      </c>
      <c r="B200" t="s">
        <v>117</v>
      </c>
      <c r="C200">
        <v>7</v>
      </c>
      <c r="D200" t="s">
        <v>27</v>
      </c>
      <c r="E200" t="s">
        <v>100</v>
      </c>
      <c r="F200" t="s">
        <v>101</v>
      </c>
      <c r="G200">
        <v>254</v>
      </c>
      <c r="H200" t="s">
        <v>102</v>
      </c>
      <c r="I200" t="s">
        <v>103</v>
      </c>
      <c r="J200" t="s">
        <v>104</v>
      </c>
      <c r="K200">
        <v>1030</v>
      </c>
      <c r="L200">
        <v>103031</v>
      </c>
      <c r="M200" t="s">
        <v>143</v>
      </c>
      <c r="N200" s="98">
        <v>0</v>
      </c>
      <c r="O200" s="98">
        <v>1383.76</v>
      </c>
      <c r="P200" s="98">
        <v>-1383.76</v>
      </c>
      <c r="Q200" s="98">
        <v>1383.76</v>
      </c>
    </row>
    <row r="201" spans="1:17" x14ac:dyDescent="0.35">
      <c r="A201" t="s">
        <v>118</v>
      </c>
      <c r="B201" t="s">
        <v>119</v>
      </c>
      <c r="C201">
        <v>8</v>
      </c>
      <c r="D201" t="s">
        <v>27</v>
      </c>
      <c r="E201" t="s">
        <v>100</v>
      </c>
      <c r="F201" t="s">
        <v>101</v>
      </c>
      <c r="G201">
        <v>254</v>
      </c>
      <c r="H201" t="s">
        <v>102</v>
      </c>
      <c r="I201" t="s">
        <v>103</v>
      </c>
      <c r="J201" t="s">
        <v>104</v>
      </c>
      <c r="K201">
        <v>1030</v>
      </c>
      <c r="L201">
        <v>103031</v>
      </c>
      <c r="M201" t="s">
        <v>143</v>
      </c>
      <c r="N201" s="98">
        <v>0</v>
      </c>
      <c r="O201" s="98">
        <v>987.84</v>
      </c>
      <c r="P201" s="98">
        <v>-987.84</v>
      </c>
      <c r="Q201" s="98">
        <v>987.84</v>
      </c>
    </row>
    <row r="202" spans="1:17" x14ac:dyDescent="0.35">
      <c r="A202" t="s">
        <v>120</v>
      </c>
      <c r="B202" t="s">
        <v>121</v>
      </c>
      <c r="C202">
        <v>9</v>
      </c>
      <c r="D202" t="s">
        <v>30</v>
      </c>
      <c r="E202" t="s">
        <v>5</v>
      </c>
      <c r="F202" t="s">
        <v>101</v>
      </c>
      <c r="G202">
        <v>254</v>
      </c>
      <c r="H202" t="s">
        <v>102</v>
      </c>
      <c r="I202" t="s">
        <v>103</v>
      </c>
      <c r="J202" t="s">
        <v>104</v>
      </c>
      <c r="K202">
        <v>1030</v>
      </c>
      <c r="L202">
        <v>103031</v>
      </c>
      <c r="M202" t="s">
        <v>143</v>
      </c>
      <c r="N202" s="98">
        <v>0</v>
      </c>
      <c r="O202" s="98">
        <v>0</v>
      </c>
      <c r="P202" s="98">
        <v>0</v>
      </c>
      <c r="Q202" s="98">
        <v>0</v>
      </c>
    </row>
    <row r="203" spans="1:17" x14ac:dyDescent="0.35">
      <c r="A203" t="s">
        <v>122</v>
      </c>
      <c r="B203" t="s">
        <v>123</v>
      </c>
      <c r="C203">
        <v>10</v>
      </c>
      <c r="D203" t="s">
        <v>30</v>
      </c>
      <c r="E203" t="s">
        <v>5</v>
      </c>
      <c r="F203" t="s">
        <v>101</v>
      </c>
      <c r="G203">
        <v>254</v>
      </c>
      <c r="H203" t="s">
        <v>102</v>
      </c>
      <c r="I203" t="s">
        <v>103</v>
      </c>
      <c r="J203" t="s">
        <v>104</v>
      </c>
      <c r="K203">
        <v>1030</v>
      </c>
      <c r="L203">
        <v>103031</v>
      </c>
      <c r="M203" t="s">
        <v>143</v>
      </c>
      <c r="N203" s="98">
        <v>0</v>
      </c>
      <c r="O203" s="98">
        <v>0</v>
      </c>
      <c r="P203" s="98">
        <v>0</v>
      </c>
      <c r="Q203" s="98">
        <v>0</v>
      </c>
    </row>
    <row r="204" spans="1:17" x14ac:dyDescent="0.35">
      <c r="A204" t="s">
        <v>124</v>
      </c>
      <c r="B204" t="s">
        <v>125</v>
      </c>
      <c r="C204">
        <v>11</v>
      </c>
      <c r="D204" t="s">
        <v>30</v>
      </c>
      <c r="E204" t="s">
        <v>5</v>
      </c>
      <c r="F204" t="s">
        <v>101</v>
      </c>
      <c r="G204">
        <v>254</v>
      </c>
      <c r="H204" t="s">
        <v>102</v>
      </c>
      <c r="I204" t="s">
        <v>103</v>
      </c>
      <c r="J204" t="s">
        <v>104</v>
      </c>
      <c r="K204">
        <v>1030</v>
      </c>
      <c r="L204">
        <v>103031</v>
      </c>
      <c r="M204" t="s">
        <v>143</v>
      </c>
      <c r="N204" s="98">
        <v>0</v>
      </c>
      <c r="O204" s="98">
        <v>0</v>
      </c>
      <c r="P204" s="98">
        <v>0</v>
      </c>
      <c r="Q204" s="98">
        <v>0</v>
      </c>
    </row>
    <row r="205" spans="1:17" x14ac:dyDescent="0.35">
      <c r="A205" t="s">
        <v>126</v>
      </c>
      <c r="B205" t="s">
        <v>127</v>
      </c>
      <c r="C205">
        <v>12</v>
      </c>
      <c r="D205" t="s">
        <v>30</v>
      </c>
      <c r="E205" t="s">
        <v>5</v>
      </c>
      <c r="F205" t="s">
        <v>101</v>
      </c>
      <c r="G205">
        <v>254</v>
      </c>
      <c r="H205" t="s">
        <v>102</v>
      </c>
      <c r="I205" t="s">
        <v>103</v>
      </c>
      <c r="J205" t="s">
        <v>104</v>
      </c>
      <c r="K205">
        <v>1030</v>
      </c>
      <c r="L205">
        <v>103031</v>
      </c>
      <c r="M205" t="s">
        <v>143</v>
      </c>
      <c r="N205" s="98">
        <v>0</v>
      </c>
      <c r="O205" s="98">
        <v>0</v>
      </c>
      <c r="P205" s="98">
        <v>0</v>
      </c>
      <c r="Q205" s="98">
        <v>0</v>
      </c>
    </row>
    <row r="206" spans="1:17" x14ac:dyDescent="0.35">
      <c r="A206" t="s">
        <v>98</v>
      </c>
      <c r="B206" t="s">
        <v>99</v>
      </c>
      <c r="C206">
        <v>1</v>
      </c>
      <c r="D206" t="s">
        <v>23</v>
      </c>
      <c r="E206" t="s">
        <v>100</v>
      </c>
      <c r="F206" t="s">
        <v>101</v>
      </c>
      <c r="G206">
        <v>254</v>
      </c>
      <c r="H206" t="s">
        <v>102</v>
      </c>
      <c r="I206" t="s">
        <v>103</v>
      </c>
      <c r="J206" t="s">
        <v>104</v>
      </c>
      <c r="K206">
        <v>1030</v>
      </c>
      <c r="L206">
        <v>103032</v>
      </c>
      <c r="M206" t="s">
        <v>144</v>
      </c>
      <c r="N206" s="98">
        <v>0</v>
      </c>
      <c r="O206" s="98">
        <v>0</v>
      </c>
      <c r="P206" s="98">
        <v>0</v>
      </c>
      <c r="Q206" s="98">
        <v>0</v>
      </c>
    </row>
    <row r="207" spans="1:17" x14ac:dyDescent="0.35">
      <c r="A207" t="s">
        <v>106</v>
      </c>
      <c r="B207" t="s">
        <v>107</v>
      </c>
      <c r="C207">
        <v>2</v>
      </c>
      <c r="D207" t="s">
        <v>23</v>
      </c>
      <c r="E207" t="s">
        <v>100</v>
      </c>
      <c r="F207" t="s">
        <v>101</v>
      </c>
      <c r="G207">
        <v>254</v>
      </c>
      <c r="H207" t="s">
        <v>102</v>
      </c>
      <c r="I207" t="s">
        <v>103</v>
      </c>
      <c r="J207" t="s">
        <v>104</v>
      </c>
      <c r="K207">
        <v>1030</v>
      </c>
      <c r="L207">
        <v>103032</v>
      </c>
      <c r="M207" t="s">
        <v>144</v>
      </c>
      <c r="N207" s="98">
        <v>0</v>
      </c>
      <c r="O207" s="98">
        <v>1708.4</v>
      </c>
      <c r="P207" s="98">
        <v>-1708.4</v>
      </c>
      <c r="Q207" s="98">
        <v>1708.4</v>
      </c>
    </row>
    <row r="208" spans="1:17" x14ac:dyDescent="0.35">
      <c r="A208" t="s">
        <v>108</v>
      </c>
      <c r="B208" t="s">
        <v>109</v>
      </c>
      <c r="C208">
        <v>3</v>
      </c>
      <c r="D208" t="s">
        <v>23</v>
      </c>
      <c r="E208" t="s">
        <v>100</v>
      </c>
      <c r="F208" t="s">
        <v>101</v>
      </c>
      <c r="G208">
        <v>254</v>
      </c>
      <c r="H208" t="s">
        <v>102</v>
      </c>
      <c r="I208" t="s">
        <v>103</v>
      </c>
      <c r="J208" t="s">
        <v>104</v>
      </c>
      <c r="K208">
        <v>1030</v>
      </c>
      <c r="L208">
        <v>103032</v>
      </c>
      <c r="M208" t="s">
        <v>144</v>
      </c>
      <c r="N208" s="98">
        <v>0</v>
      </c>
      <c r="O208" s="98">
        <v>0</v>
      </c>
      <c r="P208" s="98">
        <v>0</v>
      </c>
      <c r="Q208" s="98">
        <v>0</v>
      </c>
    </row>
    <row r="209" spans="1:17" x14ac:dyDescent="0.35">
      <c r="A209" t="s">
        <v>110</v>
      </c>
      <c r="B209" t="s">
        <v>111</v>
      </c>
      <c r="C209">
        <v>4</v>
      </c>
      <c r="D209" t="s">
        <v>23</v>
      </c>
      <c r="E209" t="s">
        <v>100</v>
      </c>
      <c r="F209" t="s">
        <v>101</v>
      </c>
      <c r="G209">
        <v>254</v>
      </c>
      <c r="H209" t="s">
        <v>102</v>
      </c>
      <c r="I209" t="s">
        <v>103</v>
      </c>
      <c r="J209" t="s">
        <v>104</v>
      </c>
      <c r="K209">
        <v>1030</v>
      </c>
      <c r="L209">
        <v>103032</v>
      </c>
      <c r="M209" t="s">
        <v>144</v>
      </c>
      <c r="N209" s="98">
        <v>0</v>
      </c>
      <c r="O209" s="98">
        <v>0</v>
      </c>
      <c r="P209" s="98">
        <v>0</v>
      </c>
      <c r="Q209" s="98">
        <v>0</v>
      </c>
    </row>
    <row r="210" spans="1:17" x14ac:dyDescent="0.35">
      <c r="A210" t="s">
        <v>112</v>
      </c>
      <c r="B210" t="s">
        <v>113</v>
      </c>
      <c r="C210">
        <v>5</v>
      </c>
      <c r="D210" t="s">
        <v>27</v>
      </c>
      <c r="E210" t="s">
        <v>100</v>
      </c>
      <c r="F210" t="s">
        <v>101</v>
      </c>
      <c r="G210">
        <v>254</v>
      </c>
      <c r="H210" t="s">
        <v>102</v>
      </c>
      <c r="I210" t="s">
        <v>103</v>
      </c>
      <c r="J210" t="s">
        <v>104</v>
      </c>
      <c r="K210">
        <v>1030</v>
      </c>
      <c r="L210">
        <v>103032</v>
      </c>
      <c r="M210" t="s">
        <v>144</v>
      </c>
      <c r="N210" s="98">
        <v>0</v>
      </c>
      <c r="O210" s="98">
        <v>0</v>
      </c>
      <c r="P210" s="98">
        <v>0</v>
      </c>
      <c r="Q210" s="98">
        <v>0</v>
      </c>
    </row>
    <row r="211" spans="1:17" x14ac:dyDescent="0.35">
      <c r="A211" t="s">
        <v>114</v>
      </c>
      <c r="B211" t="s">
        <v>115</v>
      </c>
      <c r="C211">
        <v>6</v>
      </c>
      <c r="D211" t="s">
        <v>27</v>
      </c>
      <c r="E211" t="s">
        <v>100</v>
      </c>
      <c r="F211" t="s">
        <v>101</v>
      </c>
      <c r="G211">
        <v>254</v>
      </c>
      <c r="H211" t="s">
        <v>102</v>
      </c>
      <c r="I211" t="s">
        <v>103</v>
      </c>
      <c r="J211" t="s">
        <v>104</v>
      </c>
      <c r="K211">
        <v>1030</v>
      </c>
      <c r="L211">
        <v>103032</v>
      </c>
      <c r="M211" t="s">
        <v>144</v>
      </c>
      <c r="N211" s="98">
        <v>0</v>
      </c>
      <c r="O211" s="98">
        <v>4900.8999999999996</v>
      </c>
      <c r="P211" s="98">
        <v>-4900.8999999999996</v>
      </c>
      <c r="Q211" s="98">
        <v>4900.8999999999996</v>
      </c>
    </row>
    <row r="212" spans="1:17" x14ac:dyDescent="0.35">
      <c r="A212" t="s">
        <v>116</v>
      </c>
      <c r="B212" t="s">
        <v>117</v>
      </c>
      <c r="C212">
        <v>7</v>
      </c>
      <c r="D212" t="s">
        <v>27</v>
      </c>
      <c r="E212" t="s">
        <v>100</v>
      </c>
      <c r="F212" t="s">
        <v>101</v>
      </c>
      <c r="G212">
        <v>254</v>
      </c>
      <c r="H212" t="s">
        <v>102</v>
      </c>
      <c r="I212" t="s">
        <v>103</v>
      </c>
      <c r="J212" t="s">
        <v>104</v>
      </c>
      <c r="K212">
        <v>1030</v>
      </c>
      <c r="L212">
        <v>103032</v>
      </c>
      <c r="M212" t="s">
        <v>144</v>
      </c>
      <c r="N212" s="98">
        <v>0</v>
      </c>
      <c r="O212" s="98">
        <v>0</v>
      </c>
      <c r="P212" s="98">
        <v>0</v>
      </c>
      <c r="Q212" s="98">
        <v>0</v>
      </c>
    </row>
    <row r="213" spans="1:17" x14ac:dyDescent="0.35">
      <c r="A213" t="s">
        <v>118</v>
      </c>
      <c r="B213" t="s">
        <v>119</v>
      </c>
      <c r="C213">
        <v>8</v>
      </c>
      <c r="D213" t="s">
        <v>27</v>
      </c>
      <c r="E213" t="s">
        <v>100</v>
      </c>
      <c r="F213" t="s">
        <v>101</v>
      </c>
      <c r="G213">
        <v>254</v>
      </c>
      <c r="H213" t="s">
        <v>102</v>
      </c>
      <c r="I213" t="s">
        <v>103</v>
      </c>
      <c r="J213" t="s">
        <v>104</v>
      </c>
      <c r="K213">
        <v>1030</v>
      </c>
      <c r="L213">
        <v>103032</v>
      </c>
      <c r="M213" t="s">
        <v>144</v>
      </c>
      <c r="N213" s="98">
        <v>0</v>
      </c>
      <c r="O213" s="98">
        <v>0</v>
      </c>
      <c r="P213" s="98">
        <v>0</v>
      </c>
      <c r="Q213" s="98">
        <v>0</v>
      </c>
    </row>
    <row r="214" spans="1:17" x14ac:dyDescent="0.35">
      <c r="A214" t="s">
        <v>120</v>
      </c>
      <c r="B214" t="s">
        <v>121</v>
      </c>
      <c r="C214">
        <v>9</v>
      </c>
      <c r="D214" t="s">
        <v>30</v>
      </c>
      <c r="E214" t="s">
        <v>5</v>
      </c>
      <c r="F214" t="s">
        <v>101</v>
      </c>
      <c r="G214">
        <v>254</v>
      </c>
      <c r="H214" t="s">
        <v>102</v>
      </c>
      <c r="I214" t="s">
        <v>103</v>
      </c>
      <c r="J214" t="s">
        <v>104</v>
      </c>
      <c r="K214">
        <v>1030</v>
      </c>
      <c r="L214">
        <v>103032</v>
      </c>
      <c r="M214" t="s">
        <v>144</v>
      </c>
      <c r="N214" s="98">
        <v>0</v>
      </c>
      <c r="O214" s="98">
        <v>0</v>
      </c>
      <c r="P214" s="98">
        <v>0</v>
      </c>
      <c r="Q214" s="98">
        <v>0</v>
      </c>
    </row>
    <row r="215" spans="1:17" x14ac:dyDescent="0.35">
      <c r="A215" t="s">
        <v>122</v>
      </c>
      <c r="B215" t="s">
        <v>123</v>
      </c>
      <c r="C215">
        <v>10</v>
      </c>
      <c r="D215" t="s">
        <v>30</v>
      </c>
      <c r="E215" t="s">
        <v>5</v>
      </c>
      <c r="F215" t="s">
        <v>101</v>
      </c>
      <c r="G215">
        <v>254</v>
      </c>
      <c r="H215" t="s">
        <v>102</v>
      </c>
      <c r="I215" t="s">
        <v>103</v>
      </c>
      <c r="J215" t="s">
        <v>104</v>
      </c>
      <c r="K215">
        <v>1030</v>
      </c>
      <c r="L215">
        <v>103032</v>
      </c>
      <c r="M215" t="s">
        <v>144</v>
      </c>
      <c r="N215" s="98">
        <v>0</v>
      </c>
      <c r="O215" s="98">
        <v>0</v>
      </c>
      <c r="P215" s="98">
        <v>0</v>
      </c>
      <c r="Q215" s="98">
        <v>0</v>
      </c>
    </row>
    <row r="216" spans="1:17" x14ac:dyDescent="0.35">
      <c r="A216" t="s">
        <v>124</v>
      </c>
      <c r="B216" t="s">
        <v>125</v>
      </c>
      <c r="C216">
        <v>11</v>
      </c>
      <c r="D216" t="s">
        <v>30</v>
      </c>
      <c r="E216" t="s">
        <v>5</v>
      </c>
      <c r="F216" t="s">
        <v>101</v>
      </c>
      <c r="G216">
        <v>254</v>
      </c>
      <c r="H216" t="s">
        <v>102</v>
      </c>
      <c r="I216" t="s">
        <v>103</v>
      </c>
      <c r="J216" t="s">
        <v>104</v>
      </c>
      <c r="K216">
        <v>1030</v>
      </c>
      <c r="L216">
        <v>103032</v>
      </c>
      <c r="M216" t="s">
        <v>144</v>
      </c>
      <c r="N216" s="98">
        <v>0</v>
      </c>
      <c r="O216" s="98">
        <v>0</v>
      </c>
      <c r="P216" s="98">
        <v>0</v>
      </c>
      <c r="Q216" s="98">
        <v>0</v>
      </c>
    </row>
    <row r="217" spans="1:17" x14ac:dyDescent="0.35">
      <c r="A217" t="s">
        <v>126</v>
      </c>
      <c r="B217" t="s">
        <v>127</v>
      </c>
      <c r="C217">
        <v>12</v>
      </c>
      <c r="D217" t="s">
        <v>30</v>
      </c>
      <c r="E217" t="s">
        <v>5</v>
      </c>
      <c r="F217" t="s">
        <v>101</v>
      </c>
      <c r="G217">
        <v>254</v>
      </c>
      <c r="H217" t="s">
        <v>102</v>
      </c>
      <c r="I217" t="s">
        <v>103</v>
      </c>
      <c r="J217" t="s">
        <v>104</v>
      </c>
      <c r="K217">
        <v>1030</v>
      </c>
      <c r="L217">
        <v>103032</v>
      </c>
      <c r="M217" t="s">
        <v>144</v>
      </c>
      <c r="N217" s="98">
        <v>0</v>
      </c>
      <c r="O217" s="98">
        <v>0</v>
      </c>
      <c r="P217" s="98">
        <v>0</v>
      </c>
      <c r="Q217" s="98">
        <v>0</v>
      </c>
    </row>
    <row r="218" spans="1:17" x14ac:dyDescent="0.35">
      <c r="A218" t="s">
        <v>98</v>
      </c>
      <c r="B218" t="s">
        <v>99</v>
      </c>
      <c r="C218">
        <v>1</v>
      </c>
      <c r="D218" t="s">
        <v>23</v>
      </c>
      <c r="E218" t="s">
        <v>100</v>
      </c>
      <c r="F218" t="s">
        <v>101</v>
      </c>
      <c r="G218">
        <v>254</v>
      </c>
      <c r="H218" t="s">
        <v>102</v>
      </c>
      <c r="I218" t="s">
        <v>103</v>
      </c>
      <c r="J218" t="s">
        <v>104</v>
      </c>
      <c r="K218">
        <v>1030</v>
      </c>
      <c r="L218">
        <v>103040</v>
      </c>
      <c r="M218" t="s">
        <v>145</v>
      </c>
      <c r="N218" s="98">
        <v>0</v>
      </c>
      <c r="O218" s="98">
        <v>0</v>
      </c>
      <c r="P218" s="98">
        <v>0</v>
      </c>
      <c r="Q218" s="98">
        <v>0</v>
      </c>
    </row>
    <row r="219" spans="1:17" x14ac:dyDescent="0.35">
      <c r="A219" t="s">
        <v>106</v>
      </c>
      <c r="B219" t="s">
        <v>107</v>
      </c>
      <c r="C219">
        <v>2</v>
      </c>
      <c r="D219" t="s">
        <v>23</v>
      </c>
      <c r="E219" t="s">
        <v>100</v>
      </c>
      <c r="F219" t="s">
        <v>101</v>
      </c>
      <c r="G219">
        <v>254</v>
      </c>
      <c r="H219" t="s">
        <v>102</v>
      </c>
      <c r="I219" t="s">
        <v>103</v>
      </c>
      <c r="J219" t="s">
        <v>104</v>
      </c>
      <c r="K219">
        <v>1030</v>
      </c>
      <c r="L219">
        <v>103040</v>
      </c>
      <c r="M219" t="s">
        <v>145</v>
      </c>
      <c r="N219" s="98">
        <v>0</v>
      </c>
      <c r="O219" s="98">
        <v>0</v>
      </c>
      <c r="P219" s="98">
        <v>0</v>
      </c>
      <c r="Q219" s="98">
        <v>0</v>
      </c>
    </row>
    <row r="220" spans="1:17" x14ac:dyDescent="0.35">
      <c r="A220" t="s">
        <v>108</v>
      </c>
      <c r="B220" t="s">
        <v>109</v>
      </c>
      <c r="C220">
        <v>3</v>
      </c>
      <c r="D220" t="s">
        <v>23</v>
      </c>
      <c r="E220" t="s">
        <v>100</v>
      </c>
      <c r="F220" t="s">
        <v>101</v>
      </c>
      <c r="G220">
        <v>254</v>
      </c>
      <c r="H220" t="s">
        <v>102</v>
      </c>
      <c r="I220" t="s">
        <v>103</v>
      </c>
      <c r="J220" t="s">
        <v>104</v>
      </c>
      <c r="K220">
        <v>1030</v>
      </c>
      <c r="L220">
        <v>103040</v>
      </c>
      <c r="M220" t="s">
        <v>145</v>
      </c>
      <c r="N220" s="98">
        <v>0</v>
      </c>
      <c r="O220" s="98">
        <v>19282.89</v>
      </c>
      <c r="P220" s="98">
        <v>-19282.89</v>
      </c>
      <c r="Q220" s="98">
        <v>19282.89</v>
      </c>
    </row>
    <row r="221" spans="1:17" x14ac:dyDescent="0.35">
      <c r="A221" t="s">
        <v>110</v>
      </c>
      <c r="B221" t="s">
        <v>111</v>
      </c>
      <c r="C221">
        <v>4</v>
      </c>
      <c r="D221" t="s">
        <v>23</v>
      </c>
      <c r="E221" t="s">
        <v>100</v>
      </c>
      <c r="F221" t="s">
        <v>101</v>
      </c>
      <c r="G221">
        <v>254</v>
      </c>
      <c r="H221" t="s">
        <v>102</v>
      </c>
      <c r="I221" t="s">
        <v>103</v>
      </c>
      <c r="J221" t="s">
        <v>104</v>
      </c>
      <c r="K221">
        <v>1030</v>
      </c>
      <c r="L221">
        <v>103040</v>
      </c>
      <c r="M221" t="s">
        <v>145</v>
      </c>
      <c r="N221" s="98">
        <v>0</v>
      </c>
      <c r="O221" s="98">
        <v>0</v>
      </c>
      <c r="P221" s="98">
        <v>0</v>
      </c>
      <c r="Q221" s="98">
        <v>0</v>
      </c>
    </row>
    <row r="222" spans="1:17" x14ac:dyDescent="0.35">
      <c r="A222" t="s">
        <v>112</v>
      </c>
      <c r="B222" t="s">
        <v>113</v>
      </c>
      <c r="C222">
        <v>5</v>
      </c>
      <c r="D222" t="s">
        <v>27</v>
      </c>
      <c r="E222" t="s">
        <v>100</v>
      </c>
      <c r="F222" t="s">
        <v>101</v>
      </c>
      <c r="G222">
        <v>254</v>
      </c>
      <c r="H222" t="s">
        <v>102</v>
      </c>
      <c r="I222" t="s">
        <v>103</v>
      </c>
      <c r="J222" t="s">
        <v>104</v>
      </c>
      <c r="K222">
        <v>1030</v>
      </c>
      <c r="L222">
        <v>103040</v>
      </c>
      <c r="M222" t="s">
        <v>145</v>
      </c>
      <c r="N222" s="98">
        <v>0</v>
      </c>
      <c r="O222" s="98">
        <v>0</v>
      </c>
      <c r="P222" s="98">
        <v>0</v>
      </c>
      <c r="Q222" s="98">
        <v>0</v>
      </c>
    </row>
    <row r="223" spans="1:17" x14ac:dyDescent="0.35">
      <c r="A223" t="s">
        <v>114</v>
      </c>
      <c r="B223" t="s">
        <v>115</v>
      </c>
      <c r="C223">
        <v>6</v>
      </c>
      <c r="D223" t="s">
        <v>27</v>
      </c>
      <c r="E223" t="s">
        <v>100</v>
      </c>
      <c r="F223" t="s">
        <v>101</v>
      </c>
      <c r="G223">
        <v>254</v>
      </c>
      <c r="H223" t="s">
        <v>102</v>
      </c>
      <c r="I223" t="s">
        <v>103</v>
      </c>
      <c r="J223" t="s">
        <v>104</v>
      </c>
      <c r="K223">
        <v>1030</v>
      </c>
      <c r="L223">
        <v>103040</v>
      </c>
      <c r="M223" t="s">
        <v>145</v>
      </c>
      <c r="N223" s="98">
        <v>0</v>
      </c>
      <c r="O223" s="98">
        <v>0</v>
      </c>
      <c r="P223" s="98">
        <v>0</v>
      </c>
      <c r="Q223" s="98">
        <v>0</v>
      </c>
    </row>
    <row r="224" spans="1:17" x14ac:dyDescent="0.35">
      <c r="A224" t="s">
        <v>116</v>
      </c>
      <c r="B224" t="s">
        <v>117</v>
      </c>
      <c r="C224">
        <v>7</v>
      </c>
      <c r="D224" t="s">
        <v>27</v>
      </c>
      <c r="E224" t="s">
        <v>100</v>
      </c>
      <c r="F224" t="s">
        <v>101</v>
      </c>
      <c r="G224">
        <v>254</v>
      </c>
      <c r="H224" t="s">
        <v>102</v>
      </c>
      <c r="I224" t="s">
        <v>103</v>
      </c>
      <c r="J224" t="s">
        <v>104</v>
      </c>
      <c r="K224">
        <v>1030</v>
      </c>
      <c r="L224">
        <v>103040</v>
      </c>
      <c r="M224" t="s">
        <v>145</v>
      </c>
      <c r="N224" s="98">
        <v>0</v>
      </c>
      <c r="O224" s="98">
        <v>0</v>
      </c>
      <c r="P224" s="98">
        <v>0</v>
      </c>
      <c r="Q224" s="98">
        <v>0</v>
      </c>
    </row>
    <row r="225" spans="1:17" x14ac:dyDescent="0.35">
      <c r="A225" t="s">
        <v>118</v>
      </c>
      <c r="B225" t="s">
        <v>119</v>
      </c>
      <c r="C225">
        <v>8</v>
      </c>
      <c r="D225" t="s">
        <v>27</v>
      </c>
      <c r="E225" t="s">
        <v>100</v>
      </c>
      <c r="F225" t="s">
        <v>101</v>
      </c>
      <c r="G225">
        <v>254</v>
      </c>
      <c r="H225" t="s">
        <v>102</v>
      </c>
      <c r="I225" t="s">
        <v>103</v>
      </c>
      <c r="J225" t="s">
        <v>104</v>
      </c>
      <c r="K225">
        <v>1030</v>
      </c>
      <c r="L225">
        <v>103040</v>
      </c>
      <c r="M225" t="s">
        <v>145</v>
      </c>
      <c r="N225" s="98">
        <v>0</v>
      </c>
      <c r="O225" s="98">
        <v>0</v>
      </c>
      <c r="P225" s="98">
        <v>0</v>
      </c>
      <c r="Q225" s="98">
        <v>0</v>
      </c>
    </row>
    <row r="226" spans="1:17" x14ac:dyDescent="0.35">
      <c r="A226" t="s">
        <v>120</v>
      </c>
      <c r="B226" t="s">
        <v>121</v>
      </c>
      <c r="C226">
        <v>9</v>
      </c>
      <c r="D226" t="s">
        <v>30</v>
      </c>
      <c r="E226" t="s">
        <v>5</v>
      </c>
      <c r="F226" t="s">
        <v>101</v>
      </c>
      <c r="G226">
        <v>254</v>
      </c>
      <c r="H226" t="s">
        <v>102</v>
      </c>
      <c r="I226" t="s">
        <v>103</v>
      </c>
      <c r="J226" t="s">
        <v>104</v>
      </c>
      <c r="K226">
        <v>1030</v>
      </c>
      <c r="L226">
        <v>103040</v>
      </c>
      <c r="M226" t="s">
        <v>145</v>
      </c>
      <c r="N226" s="98">
        <v>0</v>
      </c>
      <c r="O226" s="98">
        <v>0</v>
      </c>
      <c r="P226" s="98">
        <v>0</v>
      </c>
      <c r="Q226" s="98">
        <v>0</v>
      </c>
    </row>
    <row r="227" spans="1:17" x14ac:dyDescent="0.35">
      <c r="A227" t="s">
        <v>122</v>
      </c>
      <c r="B227" t="s">
        <v>123</v>
      </c>
      <c r="C227">
        <v>10</v>
      </c>
      <c r="D227" t="s">
        <v>30</v>
      </c>
      <c r="E227" t="s">
        <v>5</v>
      </c>
      <c r="F227" t="s">
        <v>101</v>
      </c>
      <c r="G227">
        <v>254</v>
      </c>
      <c r="H227" t="s">
        <v>102</v>
      </c>
      <c r="I227" t="s">
        <v>103</v>
      </c>
      <c r="J227" t="s">
        <v>104</v>
      </c>
      <c r="K227">
        <v>1030</v>
      </c>
      <c r="L227">
        <v>103040</v>
      </c>
      <c r="M227" t="s">
        <v>145</v>
      </c>
      <c r="N227" s="98">
        <v>0</v>
      </c>
      <c r="O227" s="98">
        <v>0</v>
      </c>
      <c r="P227" s="98">
        <v>0</v>
      </c>
      <c r="Q227" s="98">
        <v>0</v>
      </c>
    </row>
    <row r="228" spans="1:17" x14ac:dyDescent="0.35">
      <c r="A228" t="s">
        <v>124</v>
      </c>
      <c r="B228" t="s">
        <v>125</v>
      </c>
      <c r="C228">
        <v>11</v>
      </c>
      <c r="D228" t="s">
        <v>30</v>
      </c>
      <c r="E228" t="s">
        <v>5</v>
      </c>
      <c r="F228" t="s">
        <v>101</v>
      </c>
      <c r="G228">
        <v>254</v>
      </c>
      <c r="H228" t="s">
        <v>102</v>
      </c>
      <c r="I228" t="s">
        <v>103</v>
      </c>
      <c r="J228" t="s">
        <v>104</v>
      </c>
      <c r="K228">
        <v>1030</v>
      </c>
      <c r="L228">
        <v>103040</v>
      </c>
      <c r="M228" t="s">
        <v>145</v>
      </c>
      <c r="N228" s="98">
        <v>0</v>
      </c>
      <c r="O228" s="98">
        <v>0</v>
      </c>
      <c r="P228" s="98">
        <v>0</v>
      </c>
      <c r="Q228" s="98">
        <v>0</v>
      </c>
    </row>
    <row r="229" spans="1:17" x14ac:dyDescent="0.35">
      <c r="A229" t="s">
        <v>126</v>
      </c>
      <c r="B229" t="s">
        <v>127</v>
      </c>
      <c r="C229">
        <v>12</v>
      </c>
      <c r="D229" t="s">
        <v>30</v>
      </c>
      <c r="E229" t="s">
        <v>5</v>
      </c>
      <c r="F229" t="s">
        <v>101</v>
      </c>
      <c r="G229">
        <v>254</v>
      </c>
      <c r="H229" t="s">
        <v>102</v>
      </c>
      <c r="I229" t="s">
        <v>103</v>
      </c>
      <c r="J229" t="s">
        <v>104</v>
      </c>
      <c r="K229">
        <v>1030</v>
      </c>
      <c r="L229">
        <v>103040</v>
      </c>
      <c r="M229" t="s">
        <v>145</v>
      </c>
      <c r="N229" s="98">
        <v>0</v>
      </c>
      <c r="O229" s="98">
        <v>0</v>
      </c>
      <c r="P229" s="98">
        <v>0</v>
      </c>
      <c r="Q229" s="98">
        <v>0</v>
      </c>
    </row>
    <row r="230" spans="1:17" x14ac:dyDescent="0.35">
      <c r="A230" t="s">
        <v>98</v>
      </c>
      <c r="B230" t="s">
        <v>99</v>
      </c>
      <c r="C230">
        <v>1</v>
      </c>
      <c r="D230" t="s">
        <v>23</v>
      </c>
      <c r="E230" t="s">
        <v>100</v>
      </c>
      <c r="F230" t="s">
        <v>101</v>
      </c>
      <c r="G230">
        <v>254</v>
      </c>
      <c r="H230" t="s">
        <v>102</v>
      </c>
      <c r="I230" t="s">
        <v>103</v>
      </c>
      <c r="J230" t="s">
        <v>104</v>
      </c>
      <c r="K230">
        <v>1030</v>
      </c>
      <c r="L230">
        <v>103050</v>
      </c>
      <c r="M230" t="s">
        <v>146</v>
      </c>
      <c r="N230" s="98">
        <v>0</v>
      </c>
      <c r="O230" s="98">
        <v>0</v>
      </c>
      <c r="P230" s="98">
        <v>0</v>
      </c>
      <c r="Q230" s="98">
        <v>0</v>
      </c>
    </row>
    <row r="231" spans="1:17" x14ac:dyDescent="0.35">
      <c r="A231" t="s">
        <v>106</v>
      </c>
      <c r="B231" t="s">
        <v>107</v>
      </c>
      <c r="C231">
        <v>2</v>
      </c>
      <c r="D231" t="s">
        <v>23</v>
      </c>
      <c r="E231" t="s">
        <v>100</v>
      </c>
      <c r="F231" t="s">
        <v>101</v>
      </c>
      <c r="G231">
        <v>254</v>
      </c>
      <c r="H231" t="s">
        <v>102</v>
      </c>
      <c r="I231" t="s">
        <v>103</v>
      </c>
      <c r="J231" t="s">
        <v>104</v>
      </c>
      <c r="K231">
        <v>1030</v>
      </c>
      <c r="L231">
        <v>103050</v>
      </c>
      <c r="M231" t="s">
        <v>146</v>
      </c>
      <c r="N231" s="98">
        <v>0</v>
      </c>
      <c r="O231" s="98">
        <v>0</v>
      </c>
      <c r="P231" s="98">
        <v>0</v>
      </c>
      <c r="Q231" s="98">
        <v>0</v>
      </c>
    </row>
    <row r="232" spans="1:17" x14ac:dyDescent="0.35">
      <c r="A232" t="s">
        <v>108</v>
      </c>
      <c r="B232" t="s">
        <v>109</v>
      </c>
      <c r="C232">
        <v>3</v>
      </c>
      <c r="D232" t="s">
        <v>23</v>
      </c>
      <c r="E232" t="s">
        <v>100</v>
      </c>
      <c r="F232" t="s">
        <v>101</v>
      </c>
      <c r="G232">
        <v>254</v>
      </c>
      <c r="H232" t="s">
        <v>102</v>
      </c>
      <c r="I232" t="s">
        <v>103</v>
      </c>
      <c r="J232" t="s">
        <v>104</v>
      </c>
      <c r="K232">
        <v>1030</v>
      </c>
      <c r="L232">
        <v>103050</v>
      </c>
      <c r="M232" t="s">
        <v>146</v>
      </c>
      <c r="N232" s="98">
        <v>0</v>
      </c>
      <c r="O232" s="98">
        <v>0</v>
      </c>
      <c r="P232" s="98">
        <v>0</v>
      </c>
      <c r="Q232" s="98">
        <v>0</v>
      </c>
    </row>
    <row r="233" spans="1:17" x14ac:dyDescent="0.35">
      <c r="A233" t="s">
        <v>110</v>
      </c>
      <c r="B233" t="s">
        <v>111</v>
      </c>
      <c r="C233">
        <v>4</v>
      </c>
      <c r="D233" t="s">
        <v>23</v>
      </c>
      <c r="E233" t="s">
        <v>100</v>
      </c>
      <c r="F233" t="s">
        <v>101</v>
      </c>
      <c r="G233">
        <v>254</v>
      </c>
      <c r="H233" t="s">
        <v>102</v>
      </c>
      <c r="I233" t="s">
        <v>103</v>
      </c>
      <c r="J233" t="s">
        <v>104</v>
      </c>
      <c r="K233">
        <v>1030</v>
      </c>
      <c r="L233">
        <v>103050</v>
      </c>
      <c r="M233" t="s">
        <v>146</v>
      </c>
      <c r="N233" s="98">
        <v>0</v>
      </c>
      <c r="O233" s="98">
        <v>0</v>
      </c>
      <c r="P233" s="98">
        <v>0</v>
      </c>
      <c r="Q233" s="98">
        <v>0</v>
      </c>
    </row>
    <row r="234" spans="1:17" x14ac:dyDescent="0.35">
      <c r="A234" t="s">
        <v>112</v>
      </c>
      <c r="B234" t="s">
        <v>113</v>
      </c>
      <c r="C234">
        <v>5</v>
      </c>
      <c r="D234" t="s">
        <v>27</v>
      </c>
      <c r="E234" t="s">
        <v>100</v>
      </c>
      <c r="F234" t="s">
        <v>101</v>
      </c>
      <c r="G234">
        <v>254</v>
      </c>
      <c r="H234" t="s">
        <v>102</v>
      </c>
      <c r="I234" t="s">
        <v>103</v>
      </c>
      <c r="J234" t="s">
        <v>104</v>
      </c>
      <c r="K234">
        <v>1030</v>
      </c>
      <c r="L234">
        <v>103050</v>
      </c>
      <c r="M234" t="s">
        <v>146</v>
      </c>
      <c r="N234" s="98">
        <v>0</v>
      </c>
      <c r="O234" s="98">
        <v>0</v>
      </c>
      <c r="P234" s="98">
        <v>0</v>
      </c>
      <c r="Q234" s="98">
        <v>0</v>
      </c>
    </row>
    <row r="235" spans="1:17" x14ac:dyDescent="0.35">
      <c r="A235" t="s">
        <v>114</v>
      </c>
      <c r="B235" t="s">
        <v>115</v>
      </c>
      <c r="C235">
        <v>6</v>
      </c>
      <c r="D235" t="s">
        <v>27</v>
      </c>
      <c r="E235" t="s">
        <v>100</v>
      </c>
      <c r="F235" t="s">
        <v>101</v>
      </c>
      <c r="G235">
        <v>254</v>
      </c>
      <c r="H235" t="s">
        <v>102</v>
      </c>
      <c r="I235" t="s">
        <v>103</v>
      </c>
      <c r="J235" t="s">
        <v>104</v>
      </c>
      <c r="K235">
        <v>1030</v>
      </c>
      <c r="L235">
        <v>103050</v>
      </c>
      <c r="M235" t="s">
        <v>146</v>
      </c>
      <c r="N235" s="98">
        <v>0</v>
      </c>
      <c r="O235" s="98">
        <v>0</v>
      </c>
      <c r="P235" s="98">
        <v>0</v>
      </c>
      <c r="Q235" s="98">
        <v>0</v>
      </c>
    </row>
    <row r="236" spans="1:17" x14ac:dyDescent="0.35">
      <c r="A236" t="s">
        <v>116</v>
      </c>
      <c r="B236" t="s">
        <v>117</v>
      </c>
      <c r="C236">
        <v>7</v>
      </c>
      <c r="D236" t="s">
        <v>27</v>
      </c>
      <c r="E236" t="s">
        <v>100</v>
      </c>
      <c r="F236" t="s">
        <v>101</v>
      </c>
      <c r="G236">
        <v>254</v>
      </c>
      <c r="H236" t="s">
        <v>102</v>
      </c>
      <c r="I236" t="s">
        <v>103</v>
      </c>
      <c r="J236" t="s">
        <v>104</v>
      </c>
      <c r="K236">
        <v>1030</v>
      </c>
      <c r="L236">
        <v>103050</v>
      </c>
      <c r="M236" t="s">
        <v>146</v>
      </c>
      <c r="N236" s="98">
        <v>0</v>
      </c>
      <c r="O236" s="98">
        <v>10175.6</v>
      </c>
      <c r="P236" s="98">
        <v>-10175.6</v>
      </c>
      <c r="Q236" s="98">
        <v>10175.6</v>
      </c>
    </row>
    <row r="237" spans="1:17" x14ac:dyDescent="0.35">
      <c r="A237" t="s">
        <v>118</v>
      </c>
      <c r="B237" t="s">
        <v>119</v>
      </c>
      <c r="C237">
        <v>8</v>
      </c>
      <c r="D237" t="s">
        <v>27</v>
      </c>
      <c r="E237" t="s">
        <v>100</v>
      </c>
      <c r="F237" t="s">
        <v>101</v>
      </c>
      <c r="G237">
        <v>254</v>
      </c>
      <c r="H237" t="s">
        <v>102</v>
      </c>
      <c r="I237" t="s">
        <v>103</v>
      </c>
      <c r="J237" t="s">
        <v>104</v>
      </c>
      <c r="K237">
        <v>1030</v>
      </c>
      <c r="L237">
        <v>103050</v>
      </c>
      <c r="M237" t="s">
        <v>146</v>
      </c>
      <c r="N237" s="98">
        <v>0</v>
      </c>
      <c r="O237" s="98">
        <v>19858.59</v>
      </c>
      <c r="P237" s="98">
        <v>-19858.59</v>
      </c>
      <c r="Q237" s="98">
        <v>19858.59</v>
      </c>
    </row>
    <row r="238" spans="1:17" x14ac:dyDescent="0.35">
      <c r="A238" t="s">
        <v>120</v>
      </c>
      <c r="B238" t="s">
        <v>121</v>
      </c>
      <c r="C238">
        <v>9</v>
      </c>
      <c r="D238" t="s">
        <v>30</v>
      </c>
      <c r="E238" t="s">
        <v>5</v>
      </c>
      <c r="F238" t="s">
        <v>101</v>
      </c>
      <c r="G238">
        <v>254</v>
      </c>
      <c r="H238" t="s">
        <v>102</v>
      </c>
      <c r="I238" t="s">
        <v>103</v>
      </c>
      <c r="J238" t="s">
        <v>104</v>
      </c>
      <c r="K238">
        <v>1030</v>
      </c>
      <c r="L238">
        <v>103050</v>
      </c>
      <c r="M238" t="s">
        <v>146</v>
      </c>
      <c r="N238" s="98">
        <v>0</v>
      </c>
      <c r="O238" s="98">
        <v>0</v>
      </c>
      <c r="P238" s="98">
        <v>0</v>
      </c>
      <c r="Q238" s="98">
        <v>0</v>
      </c>
    </row>
    <row r="239" spans="1:17" x14ac:dyDescent="0.35">
      <c r="A239" t="s">
        <v>122</v>
      </c>
      <c r="B239" t="s">
        <v>123</v>
      </c>
      <c r="C239">
        <v>10</v>
      </c>
      <c r="D239" t="s">
        <v>30</v>
      </c>
      <c r="E239" t="s">
        <v>5</v>
      </c>
      <c r="F239" t="s">
        <v>101</v>
      </c>
      <c r="G239">
        <v>254</v>
      </c>
      <c r="H239" t="s">
        <v>102</v>
      </c>
      <c r="I239" t="s">
        <v>103</v>
      </c>
      <c r="J239" t="s">
        <v>104</v>
      </c>
      <c r="K239">
        <v>1030</v>
      </c>
      <c r="L239">
        <v>103050</v>
      </c>
      <c r="M239" t="s">
        <v>146</v>
      </c>
      <c r="N239" s="98">
        <v>0</v>
      </c>
      <c r="O239" s="98">
        <v>0</v>
      </c>
      <c r="P239" s="98">
        <v>0</v>
      </c>
      <c r="Q239" s="98">
        <v>0</v>
      </c>
    </row>
    <row r="240" spans="1:17" x14ac:dyDescent="0.35">
      <c r="A240" t="s">
        <v>124</v>
      </c>
      <c r="B240" t="s">
        <v>125</v>
      </c>
      <c r="C240">
        <v>11</v>
      </c>
      <c r="D240" t="s">
        <v>30</v>
      </c>
      <c r="E240" t="s">
        <v>5</v>
      </c>
      <c r="F240" t="s">
        <v>101</v>
      </c>
      <c r="G240">
        <v>254</v>
      </c>
      <c r="H240" t="s">
        <v>102</v>
      </c>
      <c r="I240" t="s">
        <v>103</v>
      </c>
      <c r="J240" t="s">
        <v>104</v>
      </c>
      <c r="K240">
        <v>1030</v>
      </c>
      <c r="L240">
        <v>103050</v>
      </c>
      <c r="M240" t="s">
        <v>146</v>
      </c>
      <c r="N240" s="98">
        <v>0</v>
      </c>
      <c r="O240" s="98">
        <v>0</v>
      </c>
      <c r="P240" s="98">
        <v>0</v>
      </c>
      <c r="Q240" s="98">
        <v>0</v>
      </c>
    </row>
    <row r="241" spans="1:17" x14ac:dyDescent="0.35">
      <c r="A241" t="s">
        <v>126</v>
      </c>
      <c r="B241" t="s">
        <v>127</v>
      </c>
      <c r="C241">
        <v>12</v>
      </c>
      <c r="D241" t="s">
        <v>30</v>
      </c>
      <c r="E241" t="s">
        <v>5</v>
      </c>
      <c r="F241" t="s">
        <v>101</v>
      </c>
      <c r="G241">
        <v>254</v>
      </c>
      <c r="H241" t="s">
        <v>102</v>
      </c>
      <c r="I241" t="s">
        <v>103</v>
      </c>
      <c r="J241" t="s">
        <v>104</v>
      </c>
      <c r="K241">
        <v>1030</v>
      </c>
      <c r="L241">
        <v>103050</v>
      </c>
      <c r="M241" t="s">
        <v>146</v>
      </c>
      <c r="N241" s="98">
        <v>0</v>
      </c>
      <c r="O241" s="98">
        <v>0</v>
      </c>
      <c r="P241" s="98">
        <v>0</v>
      </c>
      <c r="Q241" s="98">
        <v>0</v>
      </c>
    </row>
    <row r="242" spans="1:17" x14ac:dyDescent="0.35">
      <c r="A242" t="s">
        <v>98</v>
      </c>
      <c r="B242" t="s">
        <v>99</v>
      </c>
      <c r="C242">
        <v>1</v>
      </c>
      <c r="D242" t="s">
        <v>23</v>
      </c>
      <c r="E242" t="s">
        <v>100</v>
      </c>
      <c r="F242" t="s">
        <v>101</v>
      </c>
      <c r="G242">
        <v>254</v>
      </c>
      <c r="H242" t="s">
        <v>102</v>
      </c>
      <c r="I242" t="s">
        <v>103</v>
      </c>
      <c r="J242" t="s">
        <v>104</v>
      </c>
      <c r="K242">
        <v>1040</v>
      </c>
      <c r="L242">
        <v>104000</v>
      </c>
      <c r="M242" t="s">
        <v>147</v>
      </c>
      <c r="N242" s="98">
        <v>7063</v>
      </c>
      <c r="O242" s="98">
        <v>0</v>
      </c>
      <c r="P242" s="98">
        <v>7063</v>
      </c>
      <c r="Q242" s="98">
        <v>-7063</v>
      </c>
    </row>
    <row r="243" spans="1:17" x14ac:dyDescent="0.35">
      <c r="A243" t="s">
        <v>106</v>
      </c>
      <c r="B243" t="s">
        <v>107</v>
      </c>
      <c r="C243">
        <v>2</v>
      </c>
      <c r="D243" t="s">
        <v>23</v>
      </c>
      <c r="E243" t="s">
        <v>100</v>
      </c>
      <c r="F243" t="s">
        <v>101</v>
      </c>
      <c r="G243">
        <v>254</v>
      </c>
      <c r="H243" t="s">
        <v>102</v>
      </c>
      <c r="I243" t="s">
        <v>103</v>
      </c>
      <c r="J243" t="s">
        <v>104</v>
      </c>
      <c r="K243">
        <v>1040</v>
      </c>
      <c r="L243">
        <v>104000</v>
      </c>
      <c r="M243" t="s">
        <v>147</v>
      </c>
      <c r="N243" s="98">
        <v>7063</v>
      </c>
      <c r="O243" s="98">
        <v>103533.77</v>
      </c>
      <c r="P243" s="98">
        <v>-96470.77</v>
      </c>
      <c r="Q243" s="98">
        <v>96470.77</v>
      </c>
    </row>
    <row r="244" spans="1:17" x14ac:dyDescent="0.35">
      <c r="A244" t="s">
        <v>108</v>
      </c>
      <c r="B244" t="s">
        <v>109</v>
      </c>
      <c r="C244">
        <v>3</v>
      </c>
      <c r="D244" t="s">
        <v>23</v>
      </c>
      <c r="E244" t="s">
        <v>100</v>
      </c>
      <c r="F244" t="s">
        <v>101</v>
      </c>
      <c r="G244">
        <v>254</v>
      </c>
      <c r="H244" t="s">
        <v>102</v>
      </c>
      <c r="I244" t="s">
        <v>103</v>
      </c>
      <c r="J244" t="s">
        <v>104</v>
      </c>
      <c r="K244">
        <v>1040</v>
      </c>
      <c r="L244">
        <v>104000</v>
      </c>
      <c r="M244" t="s">
        <v>147</v>
      </c>
      <c r="N244" s="98">
        <v>7063</v>
      </c>
      <c r="O244" s="98">
        <v>66482.399999999994</v>
      </c>
      <c r="P244" s="98">
        <v>-59419.4</v>
      </c>
      <c r="Q244" s="98">
        <v>59419.4</v>
      </c>
    </row>
    <row r="245" spans="1:17" x14ac:dyDescent="0.35">
      <c r="A245" t="s">
        <v>110</v>
      </c>
      <c r="B245" t="s">
        <v>111</v>
      </c>
      <c r="C245">
        <v>4</v>
      </c>
      <c r="D245" t="s">
        <v>23</v>
      </c>
      <c r="E245" t="s">
        <v>100</v>
      </c>
      <c r="F245" t="s">
        <v>101</v>
      </c>
      <c r="G245">
        <v>254</v>
      </c>
      <c r="H245" t="s">
        <v>102</v>
      </c>
      <c r="I245" t="s">
        <v>103</v>
      </c>
      <c r="J245" t="s">
        <v>104</v>
      </c>
      <c r="K245">
        <v>1040</v>
      </c>
      <c r="L245">
        <v>104000</v>
      </c>
      <c r="M245" t="s">
        <v>147</v>
      </c>
      <c r="N245" s="98">
        <v>7063</v>
      </c>
      <c r="O245" s="98">
        <v>8461.82</v>
      </c>
      <c r="P245" s="98">
        <v>-1398.82</v>
      </c>
      <c r="Q245" s="98">
        <v>1398.82</v>
      </c>
    </row>
    <row r="246" spans="1:17" x14ac:dyDescent="0.35">
      <c r="A246" t="s">
        <v>112</v>
      </c>
      <c r="B246" t="s">
        <v>113</v>
      </c>
      <c r="C246">
        <v>5</v>
      </c>
      <c r="D246" t="s">
        <v>27</v>
      </c>
      <c r="E246" t="s">
        <v>100</v>
      </c>
      <c r="F246" t="s">
        <v>101</v>
      </c>
      <c r="G246">
        <v>254</v>
      </c>
      <c r="H246" t="s">
        <v>102</v>
      </c>
      <c r="I246" t="s">
        <v>103</v>
      </c>
      <c r="J246" t="s">
        <v>104</v>
      </c>
      <c r="K246">
        <v>1040</v>
      </c>
      <c r="L246">
        <v>104000</v>
      </c>
      <c r="M246" t="s">
        <v>147</v>
      </c>
      <c r="N246" s="98">
        <v>7063</v>
      </c>
      <c r="O246" s="98">
        <v>4272.71</v>
      </c>
      <c r="P246" s="98">
        <v>2790.29</v>
      </c>
      <c r="Q246" s="98">
        <v>-2790.29</v>
      </c>
    </row>
    <row r="247" spans="1:17" x14ac:dyDescent="0.35">
      <c r="A247" t="s">
        <v>114</v>
      </c>
      <c r="B247" t="s">
        <v>115</v>
      </c>
      <c r="C247">
        <v>6</v>
      </c>
      <c r="D247" t="s">
        <v>27</v>
      </c>
      <c r="E247" t="s">
        <v>100</v>
      </c>
      <c r="F247" t="s">
        <v>101</v>
      </c>
      <c r="G247">
        <v>254</v>
      </c>
      <c r="H247" t="s">
        <v>102</v>
      </c>
      <c r="I247" t="s">
        <v>103</v>
      </c>
      <c r="J247" t="s">
        <v>104</v>
      </c>
      <c r="K247">
        <v>1040</v>
      </c>
      <c r="L247">
        <v>104000</v>
      </c>
      <c r="M247" t="s">
        <v>147</v>
      </c>
      <c r="N247" s="98">
        <v>7063</v>
      </c>
      <c r="O247" s="98">
        <v>6065.63</v>
      </c>
      <c r="P247" s="98">
        <v>997.37</v>
      </c>
      <c r="Q247" s="98">
        <v>-997.37</v>
      </c>
    </row>
    <row r="248" spans="1:17" x14ac:dyDescent="0.35">
      <c r="A248" t="s">
        <v>116</v>
      </c>
      <c r="B248" t="s">
        <v>117</v>
      </c>
      <c r="C248">
        <v>7</v>
      </c>
      <c r="D248" t="s">
        <v>27</v>
      </c>
      <c r="E248" t="s">
        <v>100</v>
      </c>
      <c r="F248" t="s">
        <v>101</v>
      </c>
      <c r="G248">
        <v>254</v>
      </c>
      <c r="H248" t="s">
        <v>102</v>
      </c>
      <c r="I248" t="s">
        <v>103</v>
      </c>
      <c r="J248" t="s">
        <v>104</v>
      </c>
      <c r="K248">
        <v>1040</v>
      </c>
      <c r="L248">
        <v>104000</v>
      </c>
      <c r="M248" t="s">
        <v>147</v>
      </c>
      <c r="N248" s="98">
        <v>7063</v>
      </c>
      <c r="O248" s="98">
        <v>31970.720000000001</v>
      </c>
      <c r="P248" s="98">
        <v>-24907.72</v>
      </c>
      <c r="Q248" s="98">
        <v>24907.72</v>
      </c>
    </row>
    <row r="249" spans="1:17" x14ac:dyDescent="0.35">
      <c r="A249" t="s">
        <v>118</v>
      </c>
      <c r="B249" t="s">
        <v>119</v>
      </c>
      <c r="C249">
        <v>8</v>
      </c>
      <c r="D249" t="s">
        <v>27</v>
      </c>
      <c r="E249" t="s">
        <v>100</v>
      </c>
      <c r="F249" t="s">
        <v>101</v>
      </c>
      <c r="G249">
        <v>254</v>
      </c>
      <c r="H249" t="s">
        <v>102</v>
      </c>
      <c r="I249" t="s">
        <v>103</v>
      </c>
      <c r="J249" t="s">
        <v>104</v>
      </c>
      <c r="K249">
        <v>1040</v>
      </c>
      <c r="L249">
        <v>104000</v>
      </c>
      <c r="M249" t="s">
        <v>147</v>
      </c>
      <c r="N249" s="98">
        <v>7063</v>
      </c>
      <c r="O249" s="98">
        <v>21288.799999999999</v>
      </c>
      <c r="P249" s="98">
        <v>-14225.8</v>
      </c>
      <c r="Q249" s="98">
        <v>14225.8</v>
      </c>
    </row>
    <row r="250" spans="1:17" x14ac:dyDescent="0.35">
      <c r="A250" t="s">
        <v>120</v>
      </c>
      <c r="B250" t="s">
        <v>121</v>
      </c>
      <c r="C250">
        <v>9</v>
      </c>
      <c r="D250" t="s">
        <v>30</v>
      </c>
      <c r="E250" t="s">
        <v>5</v>
      </c>
      <c r="F250" t="s">
        <v>101</v>
      </c>
      <c r="G250">
        <v>254</v>
      </c>
      <c r="H250" t="s">
        <v>102</v>
      </c>
      <c r="I250" t="s">
        <v>103</v>
      </c>
      <c r="J250" t="s">
        <v>104</v>
      </c>
      <c r="K250">
        <v>1040</v>
      </c>
      <c r="L250">
        <v>104000</v>
      </c>
      <c r="M250" t="s">
        <v>147</v>
      </c>
      <c r="N250" s="98">
        <v>7063</v>
      </c>
      <c r="O250" s="98">
        <v>0</v>
      </c>
      <c r="P250" s="98">
        <v>0</v>
      </c>
      <c r="Q250" s="98">
        <v>-7063</v>
      </c>
    </row>
    <row r="251" spans="1:17" x14ac:dyDescent="0.35">
      <c r="A251" t="s">
        <v>122</v>
      </c>
      <c r="B251" t="s">
        <v>123</v>
      </c>
      <c r="C251">
        <v>10</v>
      </c>
      <c r="D251" t="s">
        <v>30</v>
      </c>
      <c r="E251" t="s">
        <v>5</v>
      </c>
      <c r="F251" t="s">
        <v>101</v>
      </c>
      <c r="G251">
        <v>254</v>
      </c>
      <c r="H251" t="s">
        <v>102</v>
      </c>
      <c r="I251" t="s">
        <v>103</v>
      </c>
      <c r="J251" t="s">
        <v>104</v>
      </c>
      <c r="K251">
        <v>1040</v>
      </c>
      <c r="L251">
        <v>104000</v>
      </c>
      <c r="M251" t="s">
        <v>147</v>
      </c>
      <c r="N251" s="98">
        <v>7063</v>
      </c>
      <c r="O251" s="98">
        <v>0</v>
      </c>
      <c r="P251" s="98">
        <v>0</v>
      </c>
      <c r="Q251" s="98">
        <v>-7063</v>
      </c>
    </row>
    <row r="252" spans="1:17" x14ac:dyDescent="0.35">
      <c r="A252" t="s">
        <v>124</v>
      </c>
      <c r="B252" t="s">
        <v>125</v>
      </c>
      <c r="C252">
        <v>11</v>
      </c>
      <c r="D252" t="s">
        <v>30</v>
      </c>
      <c r="E252" t="s">
        <v>5</v>
      </c>
      <c r="F252" t="s">
        <v>101</v>
      </c>
      <c r="G252">
        <v>254</v>
      </c>
      <c r="H252" t="s">
        <v>102</v>
      </c>
      <c r="I252" t="s">
        <v>103</v>
      </c>
      <c r="J252" t="s">
        <v>104</v>
      </c>
      <c r="K252">
        <v>1040</v>
      </c>
      <c r="L252">
        <v>104000</v>
      </c>
      <c r="M252" t="s">
        <v>147</v>
      </c>
      <c r="N252" s="98">
        <v>7063</v>
      </c>
      <c r="O252" s="98">
        <v>0</v>
      </c>
      <c r="P252" s="98">
        <v>0</v>
      </c>
      <c r="Q252" s="98">
        <v>-7063</v>
      </c>
    </row>
    <row r="253" spans="1:17" x14ac:dyDescent="0.35">
      <c r="A253" t="s">
        <v>126</v>
      </c>
      <c r="B253" t="s">
        <v>127</v>
      </c>
      <c r="C253">
        <v>12</v>
      </c>
      <c r="D253" t="s">
        <v>30</v>
      </c>
      <c r="E253" t="s">
        <v>5</v>
      </c>
      <c r="F253" t="s">
        <v>101</v>
      </c>
      <c r="G253">
        <v>254</v>
      </c>
      <c r="H253" t="s">
        <v>102</v>
      </c>
      <c r="I253" t="s">
        <v>103</v>
      </c>
      <c r="J253" t="s">
        <v>104</v>
      </c>
      <c r="K253">
        <v>1040</v>
      </c>
      <c r="L253">
        <v>104000</v>
      </c>
      <c r="M253" t="s">
        <v>147</v>
      </c>
      <c r="N253" s="98">
        <v>7307</v>
      </c>
      <c r="O253" s="98">
        <v>0</v>
      </c>
      <c r="P253" s="98">
        <v>0</v>
      </c>
      <c r="Q253" s="98">
        <v>-7307</v>
      </c>
    </row>
    <row r="254" spans="1:17" x14ac:dyDescent="0.35">
      <c r="A254" t="s">
        <v>98</v>
      </c>
      <c r="B254" t="s">
        <v>99</v>
      </c>
      <c r="C254">
        <v>1</v>
      </c>
      <c r="D254" t="s">
        <v>23</v>
      </c>
      <c r="E254" t="s">
        <v>100</v>
      </c>
      <c r="F254" t="s">
        <v>101</v>
      </c>
      <c r="G254">
        <v>254</v>
      </c>
      <c r="H254" t="s">
        <v>102</v>
      </c>
      <c r="I254" t="s">
        <v>103</v>
      </c>
      <c r="J254" t="s">
        <v>104</v>
      </c>
      <c r="K254">
        <v>1050</v>
      </c>
      <c r="L254">
        <v>105000</v>
      </c>
      <c r="M254" t="s">
        <v>148</v>
      </c>
      <c r="N254" s="98">
        <v>0</v>
      </c>
      <c r="O254" s="98">
        <v>0</v>
      </c>
      <c r="P254" s="98">
        <v>0</v>
      </c>
      <c r="Q254" s="98">
        <v>0</v>
      </c>
    </row>
    <row r="255" spans="1:17" x14ac:dyDescent="0.35">
      <c r="A255" t="s">
        <v>106</v>
      </c>
      <c r="B255" t="s">
        <v>107</v>
      </c>
      <c r="C255">
        <v>2</v>
      </c>
      <c r="D255" t="s">
        <v>23</v>
      </c>
      <c r="E255" t="s">
        <v>100</v>
      </c>
      <c r="F255" t="s">
        <v>101</v>
      </c>
      <c r="G255">
        <v>254</v>
      </c>
      <c r="H255" t="s">
        <v>102</v>
      </c>
      <c r="I255" t="s">
        <v>103</v>
      </c>
      <c r="J255" t="s">
        <v>104</v>
      </c>
      <c r="K255">
        <v>1050</v>
      </c>
      <c r="L255">
        <v>105000</v>
      </c>
      <c r="M255" t="s">
        <v>148</v>
      </c>
      <c r="N255" s="98">
        <v>0</v>
      </c>
      <c r="O255" s="98">
        <v>0</v>
      </c>
      <c r="P255" s="98">
        <v>0</v>
      </c>
      <c r="Q255" s="98">
        <v>0</v>
      </c>
    </row>
    <row r="256" spans="1:17" x14ac:dyDescent="0.35">
      <c r="A256" t="s">
        <v>108</v>
      </c>
      <c r="B256" t="s">
        <v>109</v>
      </c>
      <c r="C256">
        <v>3</v>
      </c>
      <c r="D256" t="s">
        <v>23</v>
      </c>
      <c r="E256" t="s">
        <v>100</v>
      </c>
      <c r="F256" t="s">
        <v>101</v>
      </c>
      <c r="G256">
        <v>254</v>
      </c>
      <c r="H256" t="s">
        <v>102</v>
      </c>
      <c r="I256" t="s">
        <v>103</v>
      </c>
      <c r="J256" t="s">
        <v>104</v>
      </c>
      <c r="K256">
        <v>1050</v>
      </c>
      <c r="L256">
        <v>105000</v>
      </c>
      <c r="M256" t="s">
        <v>148</v>
      </c>
      <c r="N256" s="98">
        <v>0</v>
      </c>
      <c r="O256" s="98">
        <v>8900.99</v>
      </c>
      <c r="P256" s="98">
        <v>-8900.99</v>
      </c>
      <c r="Q256" s="98">
        <v>8900.99</v>
      </c>
    </row>
    <row r="257" spans="1:17" x14ac:dyDescent="0.35">
      <c r="A257" t="s">
        <v>110</v>
      </c>
      <c r="B257" t="s">
        <v>111</v>
      </c>
      <c r="C257">
        <v>4</v>
      </c>
      <c r="D257" t="s">
        <v>23</v>
      </c>
      <c r="E257" t="s">
        <v>100</v>
      </c>
      <c r="F257" t="s">
        <v>101</v>
      </c>
      <c r="G257">
        <v>254</v>
      </c>
      <c r="H257" t="s">
        <v>102</v>
      </c>
      <c r="I257" t="s">
        <v>103</v>
      </c>
      <c r="J257" t="s">
        <v>104</v>
      </c>
      <c r="K257">
        <v>1050</v>
      </c>
      <c r="L257">
        <v>105000</v>
      </c>
      <c r="M257" t="s">
        <v>148</v>
      </c>
      <c r="N257" s="98">
        <v>0</v>
      </c>
      <c r="O257" s="98">
        <v>14522.67</v>
      </c>
      <c r="P257" s="98">
        <v>-14522.67</v>
      </c>
      <c r="Q257" s="98">
        <v>14522.67</v>
      </c>
    </row>
    <row r="258" spans="1:17" x14ac:dyDescent="0.35">
      <c r="A258" t="s">
        <v>112</v>
      </c>
      <c r="B258" t="s">
        <v>113</v>
      </c>
      <c r="C258">
        <v>5</v>
      </c>
      <c r="D258" t="s">
        <v>27</v>
      </c>
      <c r="E258" t="s">
        <v>100</v>
      </c>
      <c r="F258" t="s">
        <v>101</v>
      </c>
      <c r="G258">
        <v>254</v>
      </c>
      <c r="H258" t="s">
        <v>102</v>
      </c>
      <c r="I258" t="s">
        <v>103</v>
      </c>
      <c r="J258" t="s">
        <v>104</v>
      </c>
      <c r="K258">
        <v>1050</v>
      </c>
      <c r="L258">
        <v>105000</v>
      </c>
      <c r="M258" t="s">
        <v>148</v>
      </c>
      <c r="N258" s="98">
        <v>0</v>
      </c>
      <c r="O258" s="98">
        <v>14522.67</v>
      </c>
      <c r="P258" s="98">
        <v>-14522.67</v>
      </c>
      <c r="Q258" s="98">
        <v>14522.67</v>
      </c>
    </row>
    <row r="259" spans="1:17" x14ac:dyDescent="0.35">
      <c r="A259" t="s">
        <v>114</v>
      </c>
      <c r="B259" t="s">
        <v>115</v>
      </c>
      <c r="C259">
        <v>6</v>
      </c>
      <c r="D259" t="s">
        <v>27</v>
      </c>
      <c r="E259" t="s">
        <v>100</v>
      </c>
      <c r="F259" t="s">
        <v>101</v>
      </c>
      <c r="G259">
        <v>254</v>
      </c>
      <c r="H259" t="s">
        <v>102</v>
      </c>
      <c r="I259" t="s">
        <v>103</v>
      </c>
      <c r="J259" t="s">
        <v>104</v>
      </c>
      <c r="K259">
        <v>1050</v>
      </c>
      <c r="L259">
        <v>105000</v>
      </c>
      <c r="M259" t="s">
        <v>148</v>
      </c>
      <c r="N259" s="98">
        <v>0</v>
      </c>
      <c r="O259" s="98">
        <v>-1403.44</v>
      </c>
      <c r="P259" s="98">
        <v>1403.44</v>
      </c>
      <c r="Q259" s="98">
        <v>-1403.44</v>
      </c>
    </row>
    <row r="260" spans="1:17" x14ac:dyDescent="0.35">
      <c r="A260" t="s">
        <v>116</v>
      </c>
      <c r="B260" t="s">
        <v>117</v>
      </c>
      <c r="C260">
        <v>7</v>
      </c>
      <c r="D260" t="s">
        <v>27</v>
      </c>
      <c r="E260" t="s">
        <v>100</v>
      </c>
      <c r="F260" t="s">
        <v>101</v>
      </c>
      <c r="G260">
        <v>254</v>
      </c>
      <c r="H260" t="s">
        <v>102</v>
      </c>
      <c r="I260" t="s">
        <v>103</v>
      </c>
      <c r="J260" t="s">
        <v>104</v>
      </c>
      <c r="K260">
        <v>1050</v>
      </c>
      <c r="L260">
        <v>105000</v>
      </c>
      <c r="M260" t="s">
        <v>148</v>
      </c>
      <c r="N260" s="98">
        <v>0</v>
      </c>
      <c r="O260" s="98">
        <v>15504.53</v>
      </c>
      <c r="P260" s="98">
        <v>-15504.53</v>
      </c>
      <c r="Q260" s="98">
        <v>15504.53</v>
      </c>
    </row>
    <row r="261" spans="1:17" x14ac:dyDescent="0.35">
      <c r="A261" t="s">
        <v>118</v>
      </c>
      <c r="B261" t="s">
        <v>119</v>
      </c>
      <c r="C261">
        <v>8</v>
      </c>
      <c r="D261" t="s">
        <v>27</v>
      </c>
      <c r="E261" t="s">
        <v>100</v>
      </c>
      <c r="F261" t="s">
        <v>101</v>
      </c>
      <c r="G261">
        <v>254</v>
      </c>
      <c r="H261" t="s">
        <v>102</v>
      </c>
      <c r="I261" t="s">
        <v>103</v>
      </c>
      <c r="J261" t="s">
        <v>104</v>
      </c>
      <c r="K261">
        <v>1050</v>
      </c>
      <c r="L261">
        <v>105000</v>
      </c>
      <c r="M261" t="s">
        <v>148</v>
      </c>
      <c r="N261" s="98">
        <v>0</v>
      </c>
      <c r="O261" s="98">
        <v>17630.16</v>
      </c>
      <c r="P261" s="98">
        <v>-17630.16</v>
      </c>
      <c r="Q261" s="98">
        <v>17630.16</v>
      </c>
    </row>
    <row r="262" spans="1:17" x14ac:dyDescent="0.35">
      <c r="A262" t="s">
        <v>120</v>
      </c>
      <c r="B262" t="s">
        <v>121</v>
      </c>
      <c r="C262">
        <v>9</v>
      </c>
      <c r="D262" t="s">
        <v>30</v>
      </c>
      <c r="E262" t="s">
        <v>5</v>
      </c>
      <c r="F262" t="s">
        <v>101</v>
      </c>
      <c r="G262">
        <v>254</v>
      </c>
      <c r="H262" t="s">
        <v>102</v>
      </c>
      <c r="I262" t="s">
        <v>103</v>
      </c>
      <c r="J262" t="s">
        <v>104</v>
      </c>
      <c r="K262">
        <v>1050</v>
      </c>
      <c r="L262">
        <v>105000</v>
      </c>
      <c r="M262" t="s">
        <v>148</v>
      </c>
      <c r="N262" s="98">
        <v>0</v>
      </c>
      <c r="O262" s="98">
        <v>0</v>
      </c>
      <c r="P262" s="98">
        <v>0</v>
      </c>
      <c r="Q262" s="98">
        <v>0</v>
      </c>
    </row>
    <row r="263" spans="1:17" x14ac:dyDescent="0.35">
      <c r="A263" t="s">
        <v>122</v>
      </c>
      <c r="B263" t="s">
        <v>123</v>
      </c>
      <c r="C263">
        <v>10</v>
      </c>
      <c r="D263" t="s">
        <v>30</v>
      </c>
      <c r="E263" t="s">
        <v>5</v>
      </c>
      <c r="F263" t="s">
        <v>101</v>
      </c>
      <c r="G263">
        <v>254</v>
      </c>
      <c r="H263" t="s">
        <v>102</v>
      </c>
      <c r="I263" t="s">
        <v>103</v>
      </c>
      <c r="J263" t="s">
        <v>104</v>
      </c>
      <c r="K263">
        <v>1050</v>
      </c>
      <c r="L263">
        <v>105000</v>
      </c>
      <c r="M263" t="s">
        <v>148</v>
      </c>
      <c r="N263" s="98">
        <v>0</v>
      </c>
      <c r="O263" s="98">
        <v>0</v>
      </c>
      <c r="P263" s="98">
        <v>0</v>
      </c>
      <c r="Q263" s="98">
        <v>0</v>
      </c>
    </row>
    <row r="264" spans="1:17" x14ac:dyDescent="0.35">
      <c r="A264" t="s">
        <v>124</v>
      </c>
      <c r="B264" t="s">
        <v>125</v>
      </c>
      <c r="C264">
        <v>11</v>
      </c>
      <c r="D264" t="s">
        <v>30</v>
      </c>
      <c r="E264" t="s">
        <v>5</v>
      </c>
      <c r="F264" t="s">
        <v>101</v>
      </c>
      <c r="G264">
        <v>254</v>
      </c>
      <c r="H264" t="s">
        <v>102</v>
      </c>
      <c r="I264" t="s">
        <v>103</v>
      </c>
      <c r="J264" t="s">
        <v>104</v>
      </c>
      <c r="K264">
        <v>1050</v>
      </c>
      <c r="L264">
        <v>105000</v>
      </c>
      <c r="M264" t="s">
        <v>148</v>
      </c>
      <c r="N264" s="98">
        <v>0</v>
      </c>
      <c r="O264" s="98">
        <v>0</v>
      </c>
      <c r="P264" s="98">
        <v>0</v>
      </c>
      <c r="Q264" s="98">
        <v>0</v>
      </c>
    </row>
    <row r="265" spans="1:17" x14ac:dyDescent="0.35">
      <c r="A265" t="s">
        <v>126</v>
      </c>
      <c r="B265" t="s">
        <v>127</v>
      </c>
      <c r="C265">
        <v>12</v>
      </c>
      <c r="D265" t="s">
        <v>30</v>
      </c>
      <c r="E265" t="s">
        <v>5</v>
      </c>
      <c r="F265" t="s">
        <v>101</v>
      </c>
      <c r="G265">
        <v>254</v>
      </c>
      <c r="H265" t="s">
        <v>102</v>
      </c>
      <c r="I265" t="s">
        <v>103</v>
      </c>
      <c r="J265" t="s">
        <v>104</v>
      </c>
      <c r="K265">
        <v>1050</v>
      </c>
      <c r="L265">
        <v>105000</v>
      </c>
      <c r="M265" t="s">
        <v>148</v>
      </c>
      <c r="N265" s="98">
        <v>0</v>
      </c>
      <c r="O265" s="98">
        <v>0</v>
      </c>
      <c r="P265" s="98">
        <v>0</v>
      </c>
      <c r="Q265" s="98">
        <v>0</v>
      </c>
    </row>
    <row r="266" spans="1:17" x14ac:dyDescent="0.35">
      <c r="A266" t="s">
        <v>98</v>
      </c>
      <c r="B266" t="s">
        <v>99</v>
      </c>
      <c r="C266">
        <v>1</v>
      </c>
      <c r="D266" t="s">
        <v>23</v>
      </c>
      <c r="E266" t="s">
        <v>100</v>
      </c>
      <c r="F266" t="s">
        <v>101</v>
      </c>
      <c r="G266">
        <v>254</v>
      </c>
      <c r="H266" t="s">
        <v>102</v>
      </c>
      <c r="I266" t="s">
        <v>103</v>
      </c>
      <c r="J266" t="s">
        <v>104</v>
      </c>
      <c r="K266">
        <v>1050</v>
      </c>
      <c r="L266">
        <v>105042</v>
      </c>
      <c r="M266" t="s">
        <v>149</v>
      </c>
      <c r="N266" s="98">
        <v>0</v>
      </c>
      <c r="O266" s="98">
        <v>0</v>
      </c>
      <c r="P266" s="98">
        <v>0</v>
      </c>
      <c r="Q266" s="98">
        <v>0</v>
      </c>
    </row>
    <row r="267" spans="1:17" x14ac:dyDescent="0.35">
      <c r="A267" t="s">
        <v>106</v>
      </c>
      <c r="B267" t="s">
        <v>107</v>
      </c>
      <c r="C267">
        <v>2</v>
      </c>
      <c r="D267" t="s">
        <v>23</v>
      </c>
      <c r="E267" t="s">
        <v>100</v>
      </c>
      <c r="F267" t="s">
        <v>101</v>
      </c>
      <c r="G267">
        <v>254</v>
      </c>
      <c r="H267" t="s">
        <v>102</v>
      </c>
      <c r="I267" t="s">
        <v>103</v>
      </c>
      <c r="J267" t="s">
        <v>104</v>
      </c>
      <c r="K267">
        <v>1050</v>
      </c>
      <c r="L267">
        <v>105042</v>
      </c>
      <c r="M267" t="s">
        <v>149</v>
      </c>
      <c r="N267" s="98">
        <v>0</v>
      </c>
      <c r="O267" s="98">
        <v>0</v>
      </c>
      <c r="P267" s="98">
        <v>0</v>
      </c>
      <c r="Q267" s="98">
        <v>0</v>
      </c>
    </row>
    <row r="268" spans="1:17" x14ac:dyDescent="0.35">
      <c r="A268" t="s">
        <v>108</v>
      </c>
      <c r="B268" t="s">
        <v>109</v>
      </c>
      <c r="C268">
        <v>3</v>
      </c>
      <c r="D268" t="s">
        <v>23</v>
      </c>
      <c r="E268" t="s">
        <v>100</v>
      </c>
      <c r="F268" t="s">
        <v>101</v>
      </c>
      <c r="G268">
        <v>254</v>
      </c>
      <c r="H268" t="s">
        <v>102</v>
      </c>
      <c r="I268" t="s">
        <v>103</v>
      </c>
      <c r="J268" t="s">
        <v>104</v>
      </c>
      <c r="K268">
        <v>1050</v>
      </c>
      <c r="L268">
        <v>105042</v>
      </c>
      <c r="M268" t="s">
        <v>149</v>
      </c>
      <c r="N268" s="98">
        <v>0</v>
      </c>
      <c r="O268" s="98">
        <v>0</v>
      </c>
      <c r="P268" s="98">
        <v>0</v>
      </c>
      <c r="Q268" s="98">
        <v>0</v>
      </c>
    </row>
    <row r="269" spans="1:17" x14ac:dyDescent="0.35">
      <c r="A269" t="s">
        <v>110</v>
      </c>
      <c r="B269" t="s">
        <v>111</v>
      </c>
      <c r="C269">
        <v>4</v>
      </c>
      <c r="D269" t="s">
        <v>23</v>
      </c>
      <c r="E269" t="s">
        <v>100</v>
      </c>
      <c r="F269" t="s">
        <v>101</v>
      </c>
      <c r="G269">
        <v>254</v>
      </c>
      <c r="H269" t="s">
        <v>102</v>
      </c>
      <c r="I269" t="s">
        <v>103</v>
      </c>
      <c r="J269" t="s">
        <v>104</v>
      </c>
      <c r="K269">
        <v>1050</v>
      </c>
      <c r="L269">
        <v>105042</v>
      </c>
      <c r="M269" t="s">
        <v>149</v>
      </c>
      <c r="N269" s="98">
        <v>0</v>
      </c>
      <c r="O269" s="98">
        <v>0</v>
      </c>
      <c r="P269" s="98">
        <v>0</v>
      </c>
      <c r="Q269" s="98">
        <v>0</v>
      </c>
    </row>
    <row r="270" spans="1:17" x14ac:dyDescent="0.35">
      <c r="A270" t="s">
        <v>112</v>
      </c>
      <c r="B270" t="s">
        <v>113</v>
      </c>
      <c r="C270">
        <v>5</v>
      </c>
      <c r="D270" t="s">
        <v>27</v>
      </c>
      <c r="E270" t="s">
        <v>100</v>
      </c>
      <c r="F270" t="s">
        <v>101</v>
      </c>
      <c r="G270">
        <v>254</v>
      </c>
      <c r="H270" t="s">
        <v>102</v>
      </c>
      <c r="I270" t="s">
        <v>103</v>
      </c>
      <c r="J270" t="s">
        <v>104</v>
      </c>
      <c r="K270">
        <v>1050</v>
      </c>
      <c r="L270">
        <v>105042</v>
      </c>
      <c r="M270" t="s">
        <v>149</v>
      </c>
      <c r="N270" s="98">
        <v>0</v>
      </c>
      <c r="O270" s="98">
        <v>0</v>
      </c>
      <c r="P270" s="98">
        <v>0</v>
      </c>
      <c r="Q270" s="98">
        <v>0</v>
      </c>
    </row>
    <row r="271" spans="1:17" x14ac:dyDescent="0.35">
      <c r="A271" t="s">
        <v>114</v>
      </c>
      <c r="B271" t="s">
        <v>115</v>
      </c>
      <c r="C271">
        <v>6</v>
      </c>
      <c r="D271" t="s">
        <v>27</v>
      </c>
      <c r="E271" t="s">
        <v>100</v>
      </c>
      <c r="F271" t="s">
        <v>101</v>
      </c>
      <c r="G271">
        <v>254</v>
      </c>
      <c r="H271" t="s">
        <v>102</v>
      </c>
      <c r="I271" t="s">
        <v>103</v>
      </c>
      <c r="J271" t="s">
        <v>104</v>
      </c>
      <c r="K271">
        <v>1050</v>
      </c>
      <c r="L271">
        <v>105042</v>
      </c>
      <c r="M271" t="s">
        <v>149</v>
      </c>
      <c r="N271" s="98">
        <v>0</v>
      </c>
      <c r="O271" s="98">
        <v>0</v>
      </c>
      <c r="P271" s="98">
        <v>0</v>
      </c>
      <c r="Q271" s="98">
        <v>0</v>
      </c>
    </row>
    <row r="272" spans="1:17" x14ac:dyDescent="0.35">
      <c r="A272" t="s">
        <v>116</v>
      </c>
      <c r="B272" t="s">
        <v>117</v>
      </c>
      <c r="C272">
        <v>7</v>
      </c>
      <c r="D272" t="s">
        <v>27</v>
      </c>
      <c r="E272" t="s">
        <v>100</v>
      </c>
      <c r="F272" t="s">
        <v>101</v>
      </c>
      <c r="G272">
        <v>254</v>
      </c>
      <c r="H272" t="s">
        <v>102</v>
      </c>
      <c r="I272" t="s">
        <v>103</v>
      </c>
      <c r="J272" t="s">
        <v>104</v>
      </c>
      <c r="K272">
        <v>1050</v>
      </c>
      <c r="L272">
        <v>105042</v>
      </c>
      <c r="M272" t="s">
        <v>149</v>
      </c>
      <c r="N272" s="98">
        <v>0</v>
      </c>
      <c r="O272" s="98">
        <v>0</v>
      </c>
      <c r="P272" s="98">
        <v>0</v>
      </c>
      <c r="Q272" s="98">
        <v>0</v>
      </c>
    </row>
    <row r="273" spans="1:17" x14ac:dyDescent="0.35">
      <c r="A273" t="s">
        <v>118</v>
      </c>
      <c r="B273" t="s">
        <v>119</v>
      </c>
      <c r="C273">
        <v>8</v>
      </c>
      <c r="D273" t="s">
        <v>27</v>
      </c>
      <c r="E273" t="s">
        <v>100</v>
      </c>
      <c r="F273" t="s">
        <v>101</v>
      </c>
      <c r="G273">
        <v>254</v>
      </c>
      <c r="H273" t="s">
        <v>102</v>
      </c>
      <c r="I273" t="s">
        <v>103</v>
      </c>
      <c r="J273" t="s">
        <v>104</v>
      </c>
      <c r="K273">
        <v>1050</v>
      </c>
      <c r="L273">
        <v>105042</v>
      </c>
      <c r="M273" t="s">
        <v>149</v>
      </c>
      <c r="N273" s="98">
        <v>0</v>
      </c>
      <c r="O273" s="98">
        <v>0</v>
      </c>
      <c r="P273" s="98">
        <v>0</v>
      </c>
      <c r="Q273" s="98">
        <v>0</v>
      </c>
    </row>
    <row r="274" spans="1:17" x14ac:dyDescent="0.35">
      <c r="A274" t="s">
        <v>120</v>
      </c>
      <c r="B274" t="s">
        <v>121</v>
      </c>
      <c r="C274">
        <v>9</v>
      </c>
      <c r="D274" t="s">
        <v>30</v>
      </c>
      <c r="E274" t="s">
        <v>5</v>
      </c>
      <c r="F274" t="s">
        <v>101</v>
      </c>
      <c r="G274">
        <v>254</v>
      </c>
      <c r="H274" t="s">
        <v>102</v>
      </c>
      <c r="I274" t="s">
        <v>103</v>
      </c>
      <c r="J274" t="s">
        <v>104</v>
      </c>
      <c r="K274">
        <v>1050</v>
      </c>
      <c r="L274">
        <v>105042</v>
      </c>
      <c r="M274" t="s">
        <v>149</v>
      </c>
      <c r="N274" s="98">
        <v>0</v>
      </c>
      <c r="O274" s="98">
        <v>0</v>
      </c>
      <c r="P274" s="98">
        <v>0</v>
      </c>
      <c r="Q274" s="98">
        <v>0</v>
      </c>
    </row>
    <row r="275" spans="1:17" x14ac:dyDescent="0.35">
      <c r="A275" t="s">
        <v>122</v>
      </c>
      <c r="B275" t="s">
        <v>123</v>
      </c>
      <c r="C275">
        <v>10</v>
      </c>
      <c r="D275" t="s">
        <v>30</v>
      </c>
      <c r="E275" t="s">
        <v>5</v>
      </c>
      <c r="F275" t="s">
        <v>101</v>
      </c>
      <c r="G275">
        <v>254</v>
      </c>
      <c r="H275" t="s">
        <v>102</v>
      </c>
      <c r="I275" t="s">
        <v>103</v>
      </c>
      <c r="J275" t="s">
        <v>104</v>
      </c>
      <c r="K275">
        <v>1050</v>
      </c>
      <c r="L275">
        <v>105042</v>
      </c>
      <c r="M275" t="s">
        <v>149</v>
      </c>
      <c r="N275" s="98">
        <v>0</v>
      </c>
      <c r="O275" s="98">
        <v>0</v>
      </c>
      <c r="P275" s="98">
        <v>0</v>
      </c>
      <c r="Q275" s="98">
        <v>0</v>
      </c>
    </row>
    <row r="276" spans="1:17" x14ac:dyDescent="0.35">
      <c r="A276" t="s">
        <v>124</v>
      </c>
      <c r="B276" t="s">
        <v>125</v>
      </c>
      <c r="C276">
        <v>11</v>
      </c>
      <c r="D276" t="s">
        <v>30</v>
      </c>
      <c r="E276" t="s">
        <v>5</v>
      </c>
      <c r="F276" t="s">
        <v>101</v>
      </c>
      <c r="G276">
        <v>254</v>
      </c>
      <c r="H276" t="s">
        <v>102</v>
      </c>
      <c r="I276" t="s">
        <v>103</v>
      </c>
      <c r="J276" t="s">
        <v>104</v>
      </c>
      <c r="K276">
        <v>1050</v>
      </c>
      <c r="L276">
        <v>105042</v>
      </c>
      <c r="M276" t="s">
        <v>149</v>
      </c>
      <c r="N276" s="98">
        <v>0</v>
      </c>
      <c r="O276" s="98">
        <v>0</v>
      </c>
      <c r="P276" s="98">
        <v>0</v>
      </c>
      <c r="Q276" s="98">
        <v>0</v>
      </c>
    </row>
    <row r="277" spans="1:17" x14ac:dyDescent="0.35">
      <c r="A277" t="s">
        <v>126</v>
      </c>
      <c r="B277" t="s">
        <v>127</v>
      </c>
      <c r="C277">
        <v>12</v>
      </c>
      <c r="D277" t="s">
        <v>30</v>
      </c>
      <c r="E277" t="s">
        <v>5</v>
      </c>
      <c r="F277" t="s">
        <v>101</v>
      </c>
      <c r="G277">
        <v>254</v>
      </c>
      <c r="H277" t="s">
        <v>102</v>
      </c>
      <c r="I277" t="s">
        <v>103</v>
      </c>
      <c r="J277" t="s">
        <v>104</v>
      </c>
      <c r="K277">
        <v>1050</v>
      </c>
      <c r="L277">
        <v>105042</v>
      </c>
      <c r="M277" t="s">
        <v>149</v>
      </c>
      <c r="N277" s="98">
        <v>0</v>
      </c>
      <c r="O277" s="98">
        <v>0</v>
      </c>
      <c r="P277" s="98">
        <v>0</v>
      </c>
      <c r="Q277" s="98">
        <v>0</v>
      </c>
    </row>
    <row r="278" spans="1:17" x14ac:dyDescent="0.35">
      <c r="A278" t="s">
        <v>98</v>
      </c>
      <c r="B278" t="s">
        <v>99</v>
      </c>
      <c r="C278">
        <v>1</v>
      </c>
      <c r="D278" t="s">
        <v>23</v>
      </c>
      <c r="E278" t="s">
        <v>100</v>
      </c>
      <c r="F278" t="s">
        <v>101</v>
      </c>
      <c r="G278">
        <v>254</v>
      </c>
      <c r="H278" t="s">
        <v>102</v>
      </c>
      <c r="I278" t="s">
        <v>103</v>
      </c>
      <c r="J278" t="s">
        <v>104</v>
      </c>
      <c r="K278">
        <v>1050</v>
      </c>
      <c r="L278">
        <v>105045</v>
      </c>
      <c r="M278" t="s">
        <v>150</v>
      </c>
      <c r="N278" s="98">
        <v>0</v>
      </c>
      <c r="O278" s="98">
        <v>0</v>
      </c>
      <c r="P278" s="98">
        <v>0</v>
      </c>
      <c r="Q278" s="98">
        <v>0</v>
      </c>
    </row>
    <row r="279" spans="1:17" x14ac:dyDescent="0.35">
      <c r="A279" t="s">
        <v>106</v>
      </c>
      <c r="B279" t="s">
        <v>107</v>
      </c>
      <c r="C279">
        <v>2</v>
      </c>
      <c r="D279" t="s">
        <v>23</v>
      </c>
      <c r="E279" t="s">
        <v>100</v>
      </c>
      <c r="F279" t="s">
        <v>101</v>
      </c>
      <c r="G279">
        <v>254</v>
      </c>
      <c r="H279" t="s">
        <v>102</v>
      </c>
      <c r="I279" t="s">
        <v>103</v>
      </c>
      <c r="J279" t="s">
        <v>104</v>
      </c>
      <c r="K279">
        <v>1050</v>
      </c>
      <c r="L279">
        <v>105045</v>
      </c>
      <c r="M279" t="s">
        <v>150</v>
      </c>
      <c r="N279" s="98">
        <v>0</v>
      </c>
      <c r="O279" s="98">
        <v>0</v>
      </c>
      <c r="P279" s="98">
        <v>0</v>
      </c>
      <c r="Q279" s="98">
        <v>0</v>
      </c>
    </row>
    <row r="280" spans="1:17" x14ac:dyDescent="0.35">
      <c r="A280" t="s">
        <v>108</v>
      </c>
      <c r="B280" t="s">
        <v>109</v>
      </c>
      <c r="C280">
        <v>3</v>
      </c>
      <c r="D280" t="s">
        <v>23</v>
      </c>
      <c r="E280" t="s">
        <v>100</v>
      </c>
      <c r="F280" t="s">
        <v>101</v>
      </c>
      <c r="G280">
        <v>254</v>
      </c>
      <c r="H280" t="s">
        <v>102</v>
      </c>
      <c r="I280" t="s">
        <v>103</v>
      </c>
      <c r="J280" t="s">
        <v>104</v>
      </c>
      <c r="K280">
        <v>1050</v>
      </c>
      <c r="L280">
        <v>105045</v>
      </c>
      <c r="M280" t="s">
        <v>150</v>
      </c>
      <c r="N280" s="98">
        <v>0</v>
      </c>
      <c r="O280" s="98">
        <v>12191.9</v>
      </c>
      <c r="P280" s="98">
        <v>-12191.9</v>
      </c>
      <c r="Q280" s="98">
        <v>12191.9</v>
      </c>
    </row>
    <row r="281" spans="1:17" x14ac:dyDescent="0.35">
      <c r="A281" t="s">
        <v>110</v>
      </c>
      <c r="B281" t="s">
        <v>111</v>
      </c>
      <c r="C281">
        <v>4</v>
      </c>
      <c r="D281" t="s">
        <v>23</v>
      </c>
      <c r="E281" t="s">
        <v>100</v>
      </c>
      <c r="F281" t="s">
        <v>101</v>
      </c>
      <c r="G281">
        <v>254</v>
      </c>
      <c r="H281" t="s">
        <v>102</v>
      </c>
      <c r="I281" t="s">
        <v>103</v>
      </c>
      <c r="J281" t="s">
        <v>104</v>
      </c>
      <c r="K281">
        <v>1050</v>
      </c>
      <c r="L281">
        <v>105045</v>
      </c>
      <c r="M281" t="s">
        <v>150</v>
      </c>
      <c r="N281" s="98">
        <v>0</v>
      </c>
      <c r="O281" s="98">
        <v>0</v>
      </c>
      <c r="P281" s="98">
        <v>0</v>
      </c>
      <c r="Q281" s="98">
        <v>0</v>
      </c>
    </row>
    <row r="282" spans="1:17" x14ac:dyDescent="0.35">
      <c r="A282" t="s">
        <v>112</v>
      </c>
      <c r="B282" t="s">
        <v>113</v>
      </c>
      <c r="C282">
        <v>5</v>
      </c>
      <c r="D282" t="s">
        <v>27</v>
      </c>
      <c r="E282" t="s">
        <v>100</v>
      </c>
      <c r="F282" t="s">
        <v>101</v>
      </c>
      <c r="G282">
        <v>254</v>
      </c>
      <c r="H282" t="s">
        <v>102</v>
      </c>
      <c r="I282" t="s">
        <v>103</v>
      </c>
      <c r="J282" t="s">
        <v>104</v>
      </c>
      <c r="K282">
        <v>1050</v>
      </c>
      <c r="L282">
        <v>105045</v>
      </c>
      <c r="M282" t="s">
        <v>150</v>
      </c>
      <c r="N282" s="98">
        <v>0</v>
      </c>
      <c r="O282" s="98">
        <v>1075.2</v>
      </c>
      <c r="P282" s="98">
        <v>-1075.2</v>
      </c>
      <c r="Q282" s="98">
        <v>1075.2</v>
      </c>
    </row>
    <row r="283" spans="1:17" x14ac:dyDescent="0.35">
      <c r="A283" t="s">
        <v>114</v>
      </c>
      <c r="B283" t="s">
        <v>115</v>
      </c>
      <c r="C283">
        <v>6</v>
      </c>
      <c r="D283" t="s">
        <v>27</v>
      </c>
      <c r="E283" t="s">
        <v>100</v>
      </c>
      <c r="F283" t="s">
        <v>101</v>
      </c>
      <c r="G283">
        <v>254</v>
      </c>
      <c r="H283" t="s">
        <v>102</v>
      </c>
      <c r="I283" t="s">
        <v>103</v>
      </c>
      <c r="J283" t="s">
        <v>104</v>
      </c>
      <c r="K283">
        <v>1050</v>
      </c>
      <c r="L283">
        <v>105045</v>
      </c>
      <c r="M283" t="s">
        <v>150</v>
      </c>
      <c r="N283" s="98">
        <v>0</v>
      </c>
      <c r="O283" s="98">
        <v>0</v>
      </c>
      <c r="P283" s="98">
        <v>0</v>
      </c>
      <c r="Q283" s="98">
        <v>0</v>
      </c>
    </row>
    <row r="284" spans="1:17" x14ac:dyDescent="0.35">
      <c r="A284" t="s">
        <v>116</v>
      </c>
      <c r="B284" t="s">
        <v>117</v>
      </c>
      <c r="C284">
        <v>7</v>
      </c>
      <c r="D284" t="s">
        <v>27</v>
      </c>
      <c r="E284" t="s">
        <v>100</v>
      </c>
      <c r="F284" t="s">
        <v>101</v>
      </c>
      <c r="G284">
        <v>254</v>
      </c>
      <c r="H284" t="s">
        <v>102</v>
      </c>
      <c r="I284" t="s">
        <v>103</v>
      </c>
      <c r="J284" t="s">
        <v>104</v>
      </c>
      <c r="K284">
        <v>1050</v>
      </c>
      <c r="L284">
        <v>105045</v>
      </c>
      <c r="M284" t="s">
        <v>150</v>
      </c>
      <c r="N284" s="98">
        <v>0</v>
      </c>
      <c r="O284" s="98">
        <v>0</v>
      </c>
      <c r="P284" s="98">
        <v>0</v>
      </c>
      <c r="Q284" s="98">
        <v>0</v>
      </c>
    </row>
    <row r="285" spans="1:17" x14ac:dyDescent="0.35">
      <c r="A285" t="s">
        <v>118</v>
      </c>
      <c r="B285" t="s">
        <v>119</v>
      </c>
      <c r="C285">
        <v>8</v>
      </c>
      <c r="D285" t="s">
        <v>27</v>
      </c>
      <c r="E285" t="s">
        <v>100</v>
      </c>
      <c r="F285" t="s">
        <v>101</v>
      </c>
      <c r="G285">
        <v>254</v>
      </c>
      <c r="H285" t="s">
        <v>102</v>
      </c>
      <c r="I285" t="s">
        <v>103</v>
      </c>
      <c r="J285" t="s">
        <v>104</v>
      </c>
      <c r="K285">
        <v>1050</v>
      </c>
      <c r="L285">
        <v>105045</v>
      </c>
      <c r="M285" t="s">
        <v>150</v>
      </c>
      <c r="N285" s="98">
        <v>0</v>
      </c>
      <c r="O285" s="98">
        <v>12519.36</v>
      </c>
      <c r="P285" s="98">
        <v>-12519.36</v>
      </c>
      <c r="Q285" s="98">
        <v>12519.36</v>
      </c>
    </row>
    <row r="286" spans="1:17" x14ac:dyDescent="0.35">
      <c r="A286" t="s">
        <v>120</v>
      </c>
      <c r="B286" t="s">
        <v>121</v>
      </c>
      <c r="C286">
        <v>9</v>
      </c>
      <c r="D286" t="s">
        <v>30</v>
      </c>
      <c r="E286" t="s">
        <v>5</v>
      </c>
      <c r="F286" t="s">
        <v>101</v>
      </c>
      <c r="G286">
        <v>254</v>
      </c>
      <c r="H286" t="s">
        <v>102</v>
      </c>
      <c r="I286" t="s">
        <v>103</v>
      </c>
      <c r="J286" t="s">
        <v>104</v>
      </c>
      <c r="K286">
        <v>1050</v>
      </c>
      <c r="L286">
        <v>105045</v>
      </c>
      <c r="M286" t="s">
        <v>150</v>
      </c>
      <c r="N286" s="98">
        <v>0</v>
      </c>
      <c r="O286" s="98">
        <v>0</v>
      </c>
      <c r="P286" s="98">
        <v>0</v>
      </c>
      <c r="Q286" s="98">
        <v>0</v>
      </c>
    </row>
    <row r="287" spans="1:17" x14ac:dyDescent="0.35">
      <c r="A287" t="s">
        <v>122</v>
      </c>
      <c r="B287" t="s">
        <v>123</v>
      </c>
      <c r="C287">
        <v>10</v>
      </c>
      <c r="D287" t="s">
        <v>30</v>
      </c>
      <c r="E287" t="s">
        <v>5</v>
      </c>
      <c r="F287" t="s">
        <v>101</v>
      </c>
      <c r="G287">
        <v>254</v>
      </c>
      <c r="H287" t="s">
        <v>102</v>
      </c>
      <c r="I287" t="s">
        <v>103</v>
      </c>
      <c r="J287" t="s">
        <v>104</v>
      </c>
      <c r="K287">
        <v>1050</v>
      </c>
      <c r="L287">
        <v>105045</v>
      </c>
      <c r="M287" t="s">
        <v>150</v>
      </c>
      <c r="N287" s="98">
        <v>0</v>
      </c>
      <c r="O287" s="98">
        <v>0</v>
      </c>
      <c r="P287" s="98">
        <v>0</v>
      </c>
      <c r="Q287" s="98">
        <v>0</v>
      </c>
    </row>
    <row r="288" spans="1:17" x14ac:dyDescent="0.35">
      <c r="A288" t="s">
        <v>124</v>
      </c>
      <c r="B288" t="s">
        <v>125</v>
      </c>
      <c r="C288">
        <v>11</v>
      </c>
      <c r="D288" t="s">
        <v>30</v>
      </c>
      <c r="E288" t="s">
        <v>5</v>
      </c>
      <c r="F288" t="s">
        <v>101</v>
      </c>
      <c r="G288">
        <v>254</v>
      </c>
      <c r="H288" t="s">
        <v>102</v>
      </c>
      <c r="I288" t="s">
        <v>103</v>
      </c>
      <c r="J288" t="s">
        <v>104</v>
      </c>
      <c r="K288">
        <v>1050</v>
      </c>
      <c r="L288">
        <v>105045</v>
      </c>
      <c r="M288" t="s">
        <v>150</v>
      </c>
      <c r="N288" s="98">
        <v>0</v>
      </c>
      <c r="O288" s="98">
        <v>0</v>
      </c>
      <c r="P288" s="98">
        <v>0</v>
      </c>
      <c r="Q288" s="98">
        <v>0</v>
      </c>
    </row>
    <row r="289" spans="1:17" x14ac:dyDescent="0.35">
      <c r="A289" t="s">
        <v>126</v>
      </c>
      <c r="B289" t="s">
        <v>127</v>
      </c>
      <c r="C289">
        <v>12</v>
      </c>
      <c r="D289" t="s">
        <v>30</v>
      </c>
      <c r="E289" t="s">
        <v>5</v>
      </c>
      <c r="F289" t="s">
        <v>101</v>
      </c>
      <c r="G289">
        <v>254</v>
      </c>
      <c r="H289" t="s">
        <v>102</v>
      </c>
      <c r="I289" t="s">
        <v>103</v>
      </c>
      <c r="J289" t="s">
        <v>104</v>
      </c>
      <c r="K289">
        <v>1050</v>
      </c>
      <c r="L289">
        <v>105045</v>
      </c>
      <c r="M289" t="s">
        <v>150</v>
      </c>
      <c r="N289" s="98">
        <v>0</v>
      </c>
      <c r="O289" s="98">
        <v>0</v>
      </c>
      <c r="P289" s="98">
        <v>0</v>
      </c>
      <c r="Q289" s="98">
        <v>0</v>
      </c>
    </row>
    <row r="290" spans="1:17" x14ac:dyDescent="0.35">
      <c r="A290" t="s">
        <v>98</v>
      </c>
      <c r="B290" t="s">
        <v>99</v>
      </c>
      <c r="C290">
        <v>1</v>
      </c>
      <c r="D290" t="s">
        <v>23</v>
      </c>
      <c r="E290" t="s">
        <v>100</v>
      </c>
      <c r="F290" t="s">
        <v>101</v>
      </c>
      <c r="G290">
        <v>254</v>
      </c>
      <c r="H290" t="s">
        <v>102</v>
      </c>
      <c r="I290" t="s">
        <v>103</v>
      </c>
      <c r="J290" t="s">
        <v>104</v>
      </c>
      <c r="K290">
        <v>1050</v>
      </c>
      <c r="L290">
        <v>105046</v>
      </c>
      <c r="M290" t="s">
        <v>151</v>
      </c>
      <c r="N290" s="98">
        <v>0</v>
      </c>
      <c r="O290" s="98">
        <v>0</v>
      </c>
      <c r="P290" s="98">
        <v>0</v>
      </c>
      <c r="Q290" s="98">
        <v>0</v>
      </c>
    </row>
    <row r="291" spans="1:17" x14ac:dyDescent="0.35">
      <c r="A291" t="s">
        <v>106</v>
      </c>
      <c r="B291" t="s">
        <v>107</v>
      </c>
      <c r="C291">
        <v>2</v>
      </c>
      <c r="D291" t="s">
        <v>23</v>
      </c>
      <c r="E291" t="s">
        <v>100</v>
      </c>
      <c r="F291" t="s">
        <v>101</v>
      </c>
      <c r="G291">
        <v>254</v>
      </c>
      <c r="H291" t="s">
        <v>102</v>
      </c>
      <c r="I291" t="s">
        <v>103</v>
      </c>
      <c r="J291" t="s">
        <v>104</v>
      </c>
      <c r="K291">
        <v>1050</v>
      </c>
      <c r="L291">
        <v>105046</v>
      </c>
      <c r="M291" t="s">
        <v>151</v>
      </c>
      <c r="N291" s="98">
        <v>0</v>
      </c>
      <c r="O291" s="98">
        <v>6334.29</v>
      </c>
      <c r="P291" s="98">
        <v>-6334.29</v>
      </c>
      <c r="Q291" s="98">
        <v>6334.29</v>
      </c>
    </row>
    <row r="292" spans="1:17" x14ac:dyDescent="0.35">
      <c r="A292" t="s">
        <v>108</v>
      </c>
      <c r="B292" t="s">
        <v>109</v>
      </c>
      <c r="C292">
        <v>3</v>
      </c>
      <c r="D292" t="s">
        <v>23</v>
      </c>
      <c r="E292" t="s">
        <v>100</v>
      </c>
      <c r="F292" t="s">
        <v>101</v>
      </c>
      <c r="G292">
        <v>254</v>
      </c>
      <c r="H292" t="s">
        <v>102</v>
      </c>
      <c r="I292" t="s">
        <v>103</v>
      </c>
      <c r="J292" t="s">
        <v>104</v>
      </c>
      <c r="K292">
        <v>1050</v>
      </c>
      <c r="L292">
        <v>105046</v>
      </c>
      <c r="M292" t="s">
        <v>151</v>
      </c>
      <c r="N292" s="98">
        <v>0</v>
      </c>
      <c r="O292" s="98">
        <v>3689.04</v>
      </c>
      <c r="P292" s="98">
        <v>-3689.04</v>
      </c>
      <c r="Q292" s="98">
        <v>3689.04</v>
      </c>
    </row>
    <row r="293" spans="1:17" x14ac:dyDescent="0.35">
      <c r="A293" t="s">
        <v>110</v>
      </c>
      <c r="B293" t="s">
        <v>111</v>
      </c>
      <c r="C293">
        <v>4</v>
      </c>
      <c r="D293" t="s">
        <v>23</v>
      </c>
      <c r="E293" t="s">
        <v>100</v>
      </c>
      <c r="F293" t="s">
        <v>101</v>
      </c>
      <c r="G293">
        <v>254</v>
      </c>
      <c r="H293" t="s">
        <v>102</v>
      </c>
      <c r="I293" t="s">
        <v>103</v>
      </c>
      <c r="J293" t="s">
        <v>104</v>
      </c>
      <c r="K293">
        <v>1050</v>
      </c>
      <c r="L293">
        <v>105046</v>
      </c>
      <c r="M293" t="s">
        <v>151</v>
      </c>
      <c r="N293" s="98">
        <v>0</v>
      </c>
      <c r="O293" s="98">
        <v>3891.32</v>
      </c>
      <c r="P293" s="98">
        <v>-3891.32</v>
      </c>
      <c r="Q293" s="98">
        <v>3891.32</v>
      </c>
    </row>
    <row r="294" spans="1:17" x14ac:dyDescent="0.35">
      <c r="A294" t="s">
        <v>112</v>
      </c>
      <c r="B294" t="s">
        <v>113</v>
      </c>
      <c r="C294">
        <v>5</v>
      </c>
      <c r="D294" t="s">
        <v>27</v>
      </c>
      <c r="E294" t="s">
        <v>100</v>
      </c>
      <c r="F294" t="s">
        <v>101</v>
      </c>
      <c r="G294">
        <v>254</v>
      </c>
      <c r="H294" t="s">
        <v>102</v>
      </c>
      <c r="I294" t="s">
        <v>103</v>
      </c>
      <c r="J294" t="s">
        <v>104</v>
      </c>
      <c r="K294">
        <v>1050</v>
      </c>
      <c r="L294">
        <v>105046</v>
      </c>
      <c r="M294" t="s">
        <v>151</v>
      </c>
      <c r="N294" s="98">
        <v>0</v>
      </c>
      <c r="O294" s="98">
        <v>72.260000000000005</v>
      </c>
      <c r="P294" s="98">
        <v>-72.260000000000005</v>
      </c>
      <c r="Q294" s="98">
        <v>72.260000000000005</v>
      </c>
    </row>
    <row r="295" spans="1:17" x14ac:dyDescent="0.35">
      <c r="A295" t="s">
        <v>114</v>
      </c>
      <c r="B295" t="s">
        <v>115</v>
      </c>
      <c r="C295">
        <v>6</v>
      </c>
      <c r="D295" t="s">
        <v>27</v>
      </c>
      <c r="E295" t="s">
        <v>100</v>
      </c>
      <c r="F295" t="s">
        <v>101</v>
      </c>
      <c r="G295">
        <v>254</v>
      </c>
      <c r="H295" t="s">
        <v>102</v>
      </c>
      <c r="I295" t="s">
        <v>103</v>
      </c>
      <c r="J295" t="s">
        <v>104</v>
      </c>
      <c r="K295">
        <v>1050</v>
      </c>
      <c r="L295">
        <v>105046</v>
      </c>
      <c r="M295" t="s">
        <v>151</v>
      </c>
      <c r="N295" s="98">
        <v>0</v>
      </c>
      <c r="O295" s="98">
        <v>990.72</v>
      </c>
      <c r="P295" s="98">
        <v>-990.72</v>
      </c>
      <c r="Q295" s="98">
        <v>990.72</v>
      </c>
    </row>
    <row r="296" spans="1:17" x14ac:dyDescent="0.35">
      <c r="A296" t="s">
        <v>116</v>
      </c>
      <c r="B296" t="s">
        <v>117</v>
      </c>
      <c r="C296">
        <v>7</v>
      </c>
      <c r="D296" t="s">
        <v>27</v>
      </c>
      <c r="E296" t="s">
        <v>100</v>
      </c>
      <c r="F296" t="s">
        <v>101</v>
      </c>
      <c r="G296">
        <v>254</v>
      </c>
      <c r="H296" t="s">
        <v>102</v>
      </c>
      <c r="I296" t="s">
        <v>103</v>
      </c>
      <c r="J296" t="s">
        <v>104</v>
      </c>
      <c r="K296">
        <v>1050</v>
      </c>
      <c r="L296">
        <v>105046</v>
      </c>
      <c r="M296" t="s">
        <v>151</v>
      </c>
      <c r="N296" s="98">
        <v>0</v>
      </c>
      <c r="O296" s="98">
        <v>1940.37</v>
      </c>
      <c r="P296" s="98">
        <v>-1940.37</v>
      </c>
      <c r="Q296" s="98">
        <v>1940.37</v>
      </c>
    </row>
    <row r="297" spans="1:17" x14ac:dyDescent="0.35">
      <c r="A297" t="s">
        <v>118</v>
      </c>
      <c r="B297" t="s">
        <v>119</v>
      </c>
      <c r="C297">
        <v>8</v>
      </c>
      <c r="D297" t="s">
        <v>27</v>
      </c>
      <c r="E297" t="s">
        <v>100</v>
      </c>
      <c r="F297" t="s">
        <v>101</v>
      </c>
      <c r="G297">
        <v>254</v>
      </c>
      <c r="H297" t="s">
        <v>102</v>
      </c>
      <c r="I297" t="s">
        <v>103</v>
      </c>
      <c r="J297" t="s">
        <v>104</v>
      </c>
      <c r="K297">
        <v>1050</v>
      </c>
      <c r="L297">
        <v>105046</v>
      </c>
      <c r="M297" t="s">
        <v>151</v>
      </c>
      <c r="N297" s="98">
        <v>0</v>
      </c>
      <c r="O297" s="98">
        <v>3424.71</v>
      </c>
      <c r="P297" s="98">
        <v>-3424.71</v>
      </c>
      <c r="Q297" s="98">
        <v>3424.71</v>
      </c>
    </row>
    <row r="298" spans="1:17" x14ac:dyDescent="0.35">
      <c r="A298" t="s">
        <v>120</v>
      </c>
      <c r="B298" t="s">
        <v>121</v>
      </c>
      <c r="C298">
        <v>9</v>
      </c>
      <c r="D298" t="s">
        <v>30</v>
      </c>
      <c r="E298" t="s">
        <v>5</v>
      </c>
      <c r="F298" t="s">
        <v>101</v>
      </c>
      <c r="G298">
        <v>254</v>
      </c>
      <c r="H298" t="s">
        <v>102</v>
      </c>
      <c r="I298" t="s">
        <v>103</v>
      </c>
      <c r="J298" t="s">
        <v>104</v>
      </c>
      <c r="K298">
        <v>1050</v>
      </c>
      <c r="L298">
        <v>105046</v>
      </c>
      <c r="M298" t="s">
        <v>151</v>
      </c>
      <c r="N298" s="98">
        <v>0</v>
      </c>
      <c r="O298" s="98">
        <v>0</v>
      </c>
      <c r="P298" s="98">
        <v>0</v>
      </c>
      <c r="Q298" s="98">
        <v>0</v>
      </c>
    </row>
    <row r="299" spans="1:17" x14ac:dyDescent="0.35">
      <c r="A299" t="s">
        <v>122</v>
      </c>
      <c r="B299" t="s">
        <v>123</v>
      </c>
      <c r="C299">
        <v>10</v>
      </c>
      <c r="D299" t="s">
        <v>30</v>
      </c>
      <c r="E299" t="s">
        <v>5</v>
      </c>
      <c r="F299" t="s">
        <v>101</v>
      </c>
      <c r="G299">
        <v>254</v>
      </c>
      <c r="H299" t="s">
        <v>102</v>
      </c>
      <c r="I299" t="s">
        <v>103</v>
      </c>
      <c r="J299" t="s">
        <v>104</v>
      </c>
      <c r="K299">
        <v>1050</v>
      </c>
      <c r="L299">
        <v>105046</v>
      </c>
      <c r="M299" t="s">
        <v>151</v>
      </c>
      <c r="N299" s="98">
        <v>0</v>
      </c>
      <c r="O299" s="98">
        <v>0</v>
      </c>
      <c r="P299" s="98">
        <v>0</v>
      </c>
      <c r="Q299" s="98">
        <v>0</v>
      </c>
    </row>
    <row r="300" spans="1:17" x14ac:dyDescent="0.35">
      <c r="A300" t="s">
        <v>124</v>
      </c>
      <c r="B300" t="s">
        <v>125</v>
      </c>
      <c r="C300">
        <v>11</v>
      </c>
      <c r="D300" t="s">
        <v>30</v>
      </c>
      <c r="E300" t="s">
        <v>5</v>
      </c>
      <c r="F300" t="s">
        <v>101</v>
      </c>
      <c r="G300">
        <v>254</v>
      </c>
      <c r="H300" t="s">
        <v>102</v>
      </c>
      <c r="I300" t="s">
        <v>103</v>
      </c>
      <c r="J300" t="s">
        <v>104</v>
      </c>
      <c r="K300">
        <v>1050</v>
      </c>
      <c r="L300">
        <v>105046</v>
      </c>
      <c r="M300" t="s">
        <v>151</v>
      </c>
      <c r="N300" s="98">
        <v>0</v>
      </c>
      <c r="O300" s="98">
        <v>0</v>
      </c>
      <c r="P300" s="98">
        <v>0</v>
      </c>
      <c r="Q300" s="98">
        <v>0</v>
      </c>
    </row>
    <row r="301" spans="1:17" x14ac:dyDescent="0.35">
      <c r="A301" t="s">
        <v>126</v>
      </c>
      <c r="B301" t="s">
        <v>127</v>
      </c>
      <c r="C301">
        <v>12</v>
      </c>
      <c r="D301" t="s">
        <v>30</v>
      </c>
      <c r="E301" t="s">
        <v>5</v>
      </c>
      <c r="F301" t="s">
        <v>101</v>
      </c>
      <c r="G301">
        <v>254</v>
      </c>
      <c r="H301" t="s">
        <v>102</v>
      </c>
      <c r="I301" t="s">
        <v>103</v>
      </c>
      <c r="J301" t="s">
        <v>104</v>
      </c>
      <c r="K301">
        <v>1050</v>
      </c>
      <c r="L301">
        <v>105046</v>
      </c>
      <c r="M301" t="s">
        <v>151</v>
      </c>
      <c r="N301" s="98">
        <v>0</v>
      </c>
      <c r="O301" s="98">
        <v>0</v>
      </c>
      <c r="P301" s="98">
        <v>0</v>
      </c>
      <c r="Q301" s="98">
        <v>0</v>
      </c>
    </row>
    <row r="302" spans="1:17" x14ac:dyDescent="0.35">
      <c r="A302" t="s">
        <v>98</v>
      </c>
      <c r="B302" t="s">
        <v>99</v>
      </c>
      <c r="C302">
        <v>1</v>
      </c>
      <c r="D302" t="s">
        <v>23</v>
      </c>
      <c r="E302" t="s">
        <v>100</v>
      </c>
      <c r="F302" t="s">
        <v>101</v>
      </c>
      <c r="G302">
        <v>254</v>
      </c>
      <c r="H302" t="s">
        <v>102</v>
      </c>
      <c r="I302" t="s">
        <v>103</v>
      </c>
      <c r="J302" t="s">
        <v>104</v>
      </c>
      <c r="K302">
        <v>1050</v>
      </c>
      <c r="L302">
        <v>105060</v>
      </c>
      <c r="M302" t="s">
        <v>152</v>
      </c>
      <c r="N302" s="98">
        <v>333</v>
      </c>
      <c r="O302" s="98">
        <v>0</v>
      </c>
      <c r="P302" s="98">
        <v>333</v>
      </c>
      <c r="Q302" s="98">
        <v>-333</v>
      </c>
    </row>
    <row r="303" spans="1:17" x14ac:dyDescent="0.35">
      <c r="A303" t="s">
        <v>106</v>
      </c>
      <c r="B303" t="s">
        <v>107</v>
      </c>
      <c r="C303">
        <v>2</v>
      </c>
      <c r="D303" t="s">
        <v>23</v>
      </c>
      <c r="E303" t="s">
        <v>100</v>
      </c>
      <c r="F303" t="s">
        <v>101</v>
      </c>
      <c r="G303">
        <v>254</v>
      </c>
      <c r="H303" t="s">
        <v>102</v>
      </c>
      <c r="I303" t="s">
        <v>103</v>
      </c>
      <c r="J303" t="s">
        <v>104</v>
      </c>
      <c r="K303">
        <v>1050</v>
      </c>
      <c r="L303">
        <v>105060</v>
      </c>
      <c r="M303" t="s">
        <v>152</v>
      </c>
      <c r="N303" s="98">
        <v>333</v>
      </c>
      <c r="O303" s="98">
        <v>0</v>
      </c>
      <c r="P303" s="98">
        <v>333</v>
      </c>
      <c r="Q303" s="98">
        <v>-333</v>
      </c>
    </row>
    <row r="304" spans="1:17" x14ac:dyDescent="0.35">
      <c r="A304" t="s">
        <v>108</v>
      </c>
      <c r="B304" t="s">
        <v>109</v>
      </c>
      <c r="C304">
        <v>3</v>
      </c>
      <c r="D304" t="s">
        <v>23</v>
      </c>
      <c r="E304" t="s">
        <v>100</v>
      </c>
      <c r="F304" t="s">
        <v>101</v>
      </c>
      <c r="G304">
        <v>254</v>
      </c>
      <c r="H304" t="s">
        <v>102</v>
      </c>
      <c r="I304" t="s">
        <v>103</v>
      </c>
      <c r="J304" t="s">
        <v>104</v>
      </c>
      <c r="K304">
        <v>1050</v>
      </c>
      <c r="L304">
        <v>105060</v>
      </c>
      <c r="M304" t="s">
        <v>152</v>
      </c>
      <c r="N304" s="98">
        <v>333</v>
      </c>
      <c r="O304" s="98">
        <v>0</v>
      </c>
      <c r="P304" s="98">
        <v>333</v>
      </c>
      <c r="Q304" s="98">
        <v>-333</v>
      </c>
    </row>
    <row r="305" spans="1:17" x14ac:dyDescent="0.35">
      <c r="A305" t="s">
        <v>110</v>
      </c>
      <c r="B305" t="s">
        <v>111</v>
      </c>
      <c r="C305">
        <v>4</v>
      </c>
      <c r="D305" t="s">
        <v>23</v>
      </c>
      <c r="E305" t="s">
        <v>100</v>
      </c>
      <c r="F305" t="s">
        <v>101</v>
      </c>
      <c r="G305">
        <v>254</v>
      </c>
      <c r="H305" t="s">
        <v>102</v>
      </c>
      <c r="I305" t="s">
        <v>103</v>
      </c>
      <c r="J305" t="s">
        <v>104</v>
      </c>
      <c r="K305">
        <v>1050</v>
      </c>
      <c r="L305">
        <v>105060</v>
      </c>
      <c r="M305" t="s">
        <v>152</v>
      </c>
      <c r="N305" s="98">
        <v>333</v>
      </c>
      <c r="O305" s="98">
        <v>0</v>
      </c>
      <c r="P305" s="98">
        <v>333</v>
      </c>
      <c r="Q305" s="98">
        <v>-333</v>
      </c>
    </row>
    <row r="306" spans="1:17" x14ac:dyDescent="0.35">
      <c r="A306" t="s">
        <v>112</v>
      </c>
      <c r="B306" t="s">
        <v>113</v>
      </c>
      <c r="C306">
        <v>5</v>
      </c>
      <c r="D306" t="s">
        <v>27</v>
      </c>
      <c r="E306" t="s">
        <v>100</v>
      </c>
      <c r="F306" t="s">
        <v>101</v>
      </c>
      <c r="G306">
        <v>254</v>
      </c>
      <c r="H306" t="s">
        <v>102</v>
      </c>
      <c r="I306" t="s">
        <v>103</v>
      </c>
      <c r="J306" t="s">
        <v>104</v>
      </c>
      <c r="K306">
        <v>1050</v>
      </c>
      <c r="L306">
        <v>105060</v>
      </c>
      <c r="M306" t="s">
        <v>152</v>
      </c>
      <c r="N306" s="98">
        <v>333</v>
      </c>
      <c r="O306" s="98">
        <v>0</v>
      </c>
      <c r="P306" s="98">
        <v>333</v>
      </c>
      <c r="Q306" s="98">
        <v>-333</v>
      </c>
    </row>
    <row r="307" spans="1:17" x14ac:dyDescent="0.35">
      <c r="A307" t="s">
        <v>114</v>
      </c>
      <c r="B307" t="s">
        <v>115</v>
      </c>
      <c r="C307">
        <v>6</v>
      </c>
      <c r="D307" t="s">
        <v>27</v>
      </c>
      <c r="E307" t="s">
        <v>100</v>
      </c>
      <c r="F307" t="s">
        <v>101</v>
      </c>
      <c r="G307">
        <v>254</v>
      </c>
      <c r="H307" t="s">
        <v>102</v>
      </c>
      <c r="I307" t="s">
        <v>103</v>
      </c>
      <c r="J307" t="s">
        <v>104</v>
      </c>
      <c r="K307">
        <v>1050</v>
      </c>
      <c r="L307">
        <v>105060</v>
      </c>
      <c r="M307" t="s">
        <v>152</v>
      </c>
      <c r="N307" s="98">
        <v>333</v>
      </c>
      <c r="O307" s="98">
        <v>0</v>
      </c>
      <c r="P307" s="98">
        <v>333</v>
      </c>
      <c r="Q307" s="98">
        <v>-333</v>
      </c>
    </row>
    <row r="308" spans="1:17" x14ac:dyDescent="0.35">
      <c r="A308" t="s">
        <v>116</v>
      </c>
      <c r="B308" t="s">
        <v>117</v>
      </c>
      <c r="C308">
        <v>7</v>
      </c>
      <c r="D308" t="s">
        <v>27</v>
      </c>
      <c r="E308" t="s">
        <v>100</v>
      </c>
      <c r="F308" t="s">
        <v>101</v>
      </c>
      <c r="G308">
        <v>254</v>
      </c>
      <c r="H308" t="s">
        <v>102</v>
      </c>
      <c r="I308" t="s">
        <v>103</v>
      </c>
      <c r="J308" t="s">
        <v>104</v>
      </c>
      <c r="K308">
        <v>1050</v>
      </c>
      <c r="L308">
        <v>105060</v>
      </c>
      <c r="M308" t="s">
        <v>152</v>
      </c>
      <c r="N308" s="98">
        <v>333</v>
      </c>
      <c r="O308" s="98">
        <v>0</v>
      </c>
      <c r="P308" s="98">
        <v>333</v>
      </c>
      <c r="Q308" s="98">
        <v>-333</v>
      </c>
    </row>
    <row r="309" spans="1:17" x14ac:dyDescent="0.35">
      <c r="A309" t="s">
        <v>118</v>
      </c>
      <c r="B309" t="s">
        <v>119</v>
      </c>
      <c r="C309">
        <v>8</v>
      </c>
      <c r="D309" t="s">
        <v>27</v>
      </c>
      <c r="E309" t="s">
        <v>100</v>
      </c>
      <c r="F309" t="s">
        <v>101</v>
      </c>
      <c r="G309">
        <v>254</v>
      </c>
      <c r="H309" t="s">
        <v>102</v>
      </c>
      <c r="I309" t="s">
        <v>103</v>
      </c>
      <c r="J309" t="s">
        <v>104</v>
      </c>
      <c r="K309">
        <v>1050</v>
      </c>
      <c r="L309">
        <v>105060</v>
      </c>
      <c r="M309" t="s">
        <v>152</v>
      </c>
      <c r="N309" s="98">
        <v>333</v>
      </c>
      <c r="O309" s="98">
        <v>0</v>
      </c>
      <c r="P309" s="98">
        <v>333</v>
      </c>
      <c r="Q309" s="98">
        <v>-333</v>
      </c>
    </row>
    <row r="310" spans="1:17" x14ac:dyDescent="0.35">
      <c r="A310" t="s">
        <v>120</v>
      </c>
      <c r="B310" t="s">
        <v>121</v>
      </c>
      <c r="C310">
        <v>9</v>
      </c>
      <c r="D310" t="s">
        <v>30</v>
      </c>
      <c r="E310" t="s">
        <v>5</v>
      </c>
      <c r="F310" t="s">
        <v>101</v>
      </c>
      <c r="G310">
        <v>254</v>
      </c>
      <c r="H310" t="s">
        <v>102</v>
      </c>
      <c r="I310" t="s">
        <v>103</v>
      </c>
      <c r="J310" t="s">
        <v>104</v>
      </c>
      <c r="K310">
        <v>1050</v>
      </c>
      <c r="L310">
        <v>105060</v>
      </c>
      <c r="M310" t="s">
        <v>152</v>
      </c>
      <c r="N310" s="98">
        <v>333</v>
      </c>
      <c r="O310" s="98">
        <v>0</v>
      </c>
      <c r="P310" s="98">
        <v>0</v>
      </c>
      <c r="Q310" s="98">
        <v>-333</v>
      </c>
    </row>
    <row r="311" spans="1:17" x14ac:dyDescent="0.35">
      <c r="A311" t="s">
        <v>122</v>
      </c>
      <c r="B311" t="s">
        <v>123</v>
      </c>
      <c r="C311">
        <v>10</v>
      </c>
      <c r="D311" t="s">
        <v>30</v>
      </c>
      <c r="E311" t="s">
        <v>5</v>
      </c>
      <c r="F311" t="s">
        <v>101</v>
      </c>
      <c r="G311">
        <v>254</v>
      </c>
      <c r="H311" t="s">
        <v>102</v>
      </c>
      <c r="I311" t="s">
        <v>103</v>
      </c>
      <c r="J311" t="s">
        <v>104</v>
      </c>
      <c r="K311">
        <v>1050</v>
      </c>
      <c r="L311">
        <v>105060</v>
      </c>
      <c r="M311" t="s">
        <v>152</v>
      </c>
      <c r="N311" s="98">
        <v>333</v>
      </c>
      <c r="O311" s="98">
        <v>0</v>
      </c>
      <c r="P311" s="98">
        <v>0</v>
      </c>
      <c r="Q311" s="98">
        <v>-333</v>
      </c>
    </row>
    <row r="312" spans="1:17" x14ac:dyDescent="0.35">
      <c r="A312" t="s">
        <v>124</v>
      </c>
      <c r="B312" t="s">
        <v>125</v>
      </c>
      <c r="C312">
        <v>11</v>
      </c>
      <c r="D312" t="s">
        <v>30</v>
      </c>
      <c r="E312" t="s">
        <v>5</v>
      </c>
      <c r="F312" t="s">
        <v>101</v>
      </c>
      <c r="G312">
        <v>254</v>
      </c>
      <c r="H312" t="s">
        <v>102</v>
      </c>
      <c r="I312" t="s">
        <v>103</v>
      </c>
      <c r="J312" t="s">
        <v>104</v>
      </c>
      <c r="K312">
        <v>1050</v>
      </c>
      <c r="L312">
        <v>105060</v>
      </c>
      <c r="M312" t="s">
        <v>152</v>
      </c>
      <c r="N312" s="98">
        <v>333</v>
      </c>
      <c r="O312" s="98">
        <v>0</v>
      </c>
      <c r="P312" s="98">
        <v>0</v>
      </c>
      <c r="Q312" s="98">
        <v>-333</v>
      </c>
    </row>
    <row r="313" spans="1:17" x14ac:dyDescent="0.35">
      <c r="A313" t="s">
        <v>126</v>
      </c>
      <c r="B313" t="s">
        <v>127</v>
      </c>
      <c r="C313">
        <v>12</v>
      </c>
      <c r="D313" t="s">
        <v>30</v>
      </c>
      <c r="E313" t="s">
        <v>5</v>
      </c>
      <c r="F313" t="s">
        <v>101</v>
      </c>
      <c r="G313">
        <v>254</v>
      </c>
      <c r="H313" t="s">
        <v>102</v>
      </c>
      <c r="I313" t="s">
        <v>103</v>
      </c>
      <c r="J313" t="s">
        <v>104</v>
      </c>
      <c r="K313">
        <v>1050</v>
      </c>
      <c r="L313">
        <v>105060</v>
      </c>
      <c r="M313" t="s">
        <v>152</v>
      </c>
      <c r="N313" s="98">
        <v>337</v>
      </c>
      <c r="O313" s="98">
        <v>0</v>
      </c>
      <c r="P313" s="98">
        <v>0</v>
      </c>
      <c r="Q313" s="98">
        <v>-337</v>
      </c>
    </row>
    <row r="314" spans="1:17" x14ac:dyDescent="0.35">
      <c r="A314" t="s">
        <v>98</v>
      </c>
      <c r="B314" t="s">
        <v>99</v>
      </c>
      <c r="C314">
        <v>1</v>
      </c>
      <c r="D314" t="s">
        <v>23</v>
      </c>
      <c r="E314" t="s">
        <v>100</v>
      </c>
      <c r="F314" t="s">
        <v>101</v>
      </c>
      <c r="G314">
        <v>254</v>
      </c>
      <c r="H314" t="s">
        <v>102</v>
      </c>
      <c r="I314" t="s">
        <v>103</v>
      </c>
      <c r="J314" t="s">
        <v>104</v>
      </c>
      <c r="K314">
        <v>1050</v>
      </c>
      <c r="L314">
        <v>105064</v>
      </c>
      <c r="M314" t="s">
        <v>153</v>
      </c>
      <c r="N314" s="98">
        <v>1416</v>
      </c>
      <c r="O314" s="98">
        <v>1127.32</v>
      </c>
      <c r="P314" s="98">
        <v>288.68</v>
      </c>
      <c r="Q314" s="98">
        <v>-288.68</v>
      </c>
    </row>
    <row r="315" spans="1:17" x14ac:dyDescent="0.35">
      <c r="A315" t="s">
        <v>106</v>
      </c>
      <c r="B315" t="s">
        <v>107</v>
      </c>
      <c r="C315">
        <v>2</v>
      </c>
      <c r="D315" t="s">
        <v>23</v>
      </c>
      <c r="E315" t="s">
        <v>100</v>
      </c>
      <c r="F315" t="s">
        <v>101</v>
      </c>
      <c r="G315">
        <v>254</v>
      </c>
      <c r="H315" t="s">
        <v>102</v>
      </c>
      <c r="I315" t="s">
        <v>103</v>
      </c>
      <c r="J315" t="s">
        <v>104</v>
      </c>
      <c r="K315">
        <v>1050</v>
      </c>
      <c r="L315">
        <v>105064</v>
      </c>
      <c r="M315" t="s">
        <v>153</v>
      </c>
      <c r="N315" s="98">
        <v>1416</v>
      </c>
      <c r="O315" s="98">
        <v>1295</v>
      </c>
      <c r="P315" s="98">
        <v>121</v>
      </c>
      <c r="Q315" s="98">
        <v>-121</v>
      </c>
    </row>
    <row r="316" spans="1:17" x14ac:dyDescent="0.35">
      <c r="A316" t="s">
        <v>108</v>
      </c>
      <c r="B316" t="s">
        <v>109</v>
      </c>
      <c r="C316">
        <v>3</v>
      </c>
      <c r="D316" t="s">
        <v>23</v>
      </c>
      <c r="E316" t="s">
        <v>100</v>
      </c>
      <c r="F316" t="s">
        <v>101</v>
      </c>
      <c r="G316">
        <v>254</v>
      </c>
      <c r="H316" t="s">
        <v>102</v>
      </c>
      <c r="I316" t="s">
        <v>103</v>
      </c>
      <c r="J316" t="s">
        <v>104</v>
      </c>
      <c r="K316">
        <v>1050</v>
      </c>
      <c r="L316">
        <v>105064</v>
      </c>
      <c r="M316" t="s">
        <v>153</v>
      </c>
      <c r="N316" s="98">
        <v>1416</v>
      </c>
      <c r="O316" s="98">
        <v>1180.8699999999999</v>
      </c>
      <c r="P316" s="98">
        <v>235.13</v>
      </c>
      <c r="Q316" s="98">
        <v>-235.13</v>
      </c>
    </row>
    <row r="317" spans="1:17" x14ac:dyDescent="0.35">
      <c r="A317" t="s">
        <v>110</v>
      </c>
      <c r="B317" t="s">
        <v>111</v>
      </c>
      <c r="C317">
        <v>4</v>
      </c>
      <c r="D317" t="s">
        <v>23</v>
      </c>
      <c r="E317" t="s">
        <v>100</v>
      </c>
      <c r="F317" t="s">
        <v>101</v>
      </c>
      <c r="G317">
        <v>254</v>
      </c>
      <c r="H317" t="s">
        <v>102</v>
      </c>
      <c r="I317" t="s">
        <v>103</v>
      </c>
      <c r="J317" t="s">
        <v>104</v>
      </c>
      <c r="K317">
        <v>1050</v>
      </c>
      <c r="L317">
        <v>105064</v>
      </c>
      <c r="M317" t="s">
        <v>153</v>
      </c>
      <c r="N317" s="98">
        <v>1416</v>
      </c>
      <c r="O317" s="98">
        <v>1070.2</v>
      </c>
      <c r="P317" s="98">
        <v>345.8</v>
      </c>
      <c r="Q317" s="98">
        <v>-345.8</v>
      </c>
    </row>
    <row r="318" spans="1:17" x14ac:dyDescent="0.35">
      <c r="A318" t="s">
        <v>112</v>
      </c>
      <c r="B318" t="s">
        <v>113</v>
      </c>
      <c r="C318">
        <v>5</v>
      </c>
      <c r="D318" t="s">
        <v>27</v>
      </c>
      <c r="E318" t="s">
        <v>100</v>
      </c>
      <c r="F318" t="s">
        <v>101</v>
      </c>
      <c r="G318">
        <v>254</v>
      </c>
      <c r="H318" t="s">
        <v>102</v>
      </c>
      <c r="I318" t="s">
        <v>103</v>
      </c>
      <c r="J318" t="s">
        <v>104</v>
      </c>
      <c r="K318">
        <v>1050</v>
      </c>
      <c r="L318">
        <v>105064</v>
      </c>
      <c r="M318" t="s">
        <v>153</v>
      </c>
      <c r="N318" s="98">
        <v>1416</v>
      </c>
      <c r="O318" s="98">
        <v>1107.8599999999999</v>
      </c>
      <c r="P318" s="98">
        <v>308.14</v>
      </c>
      <c r="Q318" s="98">
        <v>-308.14</v>
      </c>
    </row>
    <row r="319" spans="1:17" x14ac:dyDescent="0.35">
      <c r="A319" t="s">
        <v>114</v>
      </c>
      <c r="B319" t="s">
        <v>115</v>
      </c>
      <c r="C319">
        <v>6</v>
      </c>
      <c r="D319" t="s">
        <v>27</v>
      </c>
      <c r="E319" t="s">
        <v>100</v>
      </c>
      <c r="F319" t="s">
        <v>101</v>
      </c>
      <c r="G319">
        <v>254</v>
      </c>
      <c r="H319" t="s">
        <v>102</v>
      </c>
      <c r="I319" t="s">
        <v>103</v>
      </c>
      <c r="J319" t="s">
        <v>104</v>
      </c>
      <c r="K319">
        <v>1050</v>
      </c>
      <c r="L319">
        <v>105064</v>
      </c>
      <c r="M319" t="s">
        <v>153</v>
      </c>
      <c r="N319" s="98">
        <v>1416</v>
      </c>
      <c r="O319" s="98">
        <v>1016.81</v>
      </c>
      <c r="P319" s="98">
        <v>399.19</v>
      </c>
      <c r="Q319" s="98">
        <v>-399.19</v>
      </c>
    </row>
    <row r="320" spans="1:17" x14ac:dyDescent="0.35">
      <c r="A320" t="s">
        <v>116</v>
      </c>
      <c r="B320" t="s">
        <v>117</v>
      </c>
      <c r="C320">
        <v>7</v>
      </c>
      <c r="D320" t="s">
        <v>27</v>
      </c>
      <c r="E320" t="s">
        <v>100</v>
      </c>
      <c r="F320" t="s">
        <v>101</v>
      </c>
      <c r="G320">
        <v>254</v>
      </c>
      <c r="H320" t="s">
        <v>102</v>
      </c>
      <c r="I320" t="s">
        <v>103</v>
      </c>
      <c r="J320" t="s">
        <v>104</v>
      </c>
      <c r="K320">
        <v>1050</v>
      </c>
      <c r="L320">
        <v>105064</v>
      </c>
      <c r="M320" t="s">
        <v>153</v>
      </c>
      <c r="N320" s="98">
        <v>1416</v>
      </c>
      <c r="O320" s="98">
        <v>974.22</v>
      </c>
      <c r="P320" s="98">
        <v>441.78</v>
      </c>
      <c r="Q320" s="98">
        <v>-441.78</v>
      </c>
    </row>
    <row r="321" spans="1:17" x14ac:dyDescent="0.35">
      <c r="A321" t="s">
        <v>118</v>
      </c>
      <c r="B321" t="s">
        <v>119</v>
      </c>
      <c r="C321">
        <v>8</v>
      </c>
      <c r="D321" t="s">
        <v>27</v>
      </c>
      <c r="E321" t="s">
        <v>100</v>
      </c>
      <c r="F321" t="s">
        <v>101</v>
      </c>
      <c r="G321">
        <v>254</v>
      </c>
      <c r="H321" t="s">
        <v>102</v>
      </c>
      <c r="I321" t="s">
        <v>103</v>
      </c>
      <c r="J321" t="s">
        <v>104</v>
      </c>
      <c r="K321">
        <v>1050</v>
      </c>
      <c r="L321">
        <v>105064</v>
      </c>
      <c r="M321" t="s">
        <v>153</v>
      </c>
      <c r="N321" s="98">
        <v>1416</v>
      </c>
      <c r="O321" s="98">
        <v>974.22</v>
      </c>
      <c r="P321" s="98">
        <v>441.78</v>
      </c>
      <c r="Q321" s="98">
        <v>-441.78</v>
      </c>
    </row>
    <row r="322" spans="1:17" x14ac:dyDescent="0.35">
      <c r="A322" t="s">
        <v>120</v>
      </c>
      <c r="B322" t="s">
        <v>121</v>
      </c>
      <c r="C322">
        <v>9</v>
      </c>
      <c r="D322" t="s">
        <v>30</v>
      </c>
      <c r="E322" t="s">
        <v>5</v>
      </c>
      <c r="F322" t="s">
        <v>101</v>
      </c>
      <c r="G322">
        <v>254</v>
      </c>
      <c r="H322" t="s">
        <v>102</v>
      </c>
      <c r="I322" t="s">
        <v>103</v>
      </c>
      <c r="J322" t="s">
        <v>104</v>
      </c>
      <c r="K322">
        <v>1050</v>
      </c>
      <c r="L322">
        <v>105064</v>
      </c>
      <c r="M322" t="s">
        <v>153</v>
      </c>
      <c r="N322" s="98">
        <v>1416</v>
      </c>
      <c r="O322" s="98">
        <v>0</v>
      </c>
      <c r="P322" s="98">
        <v>0</v>
      </c>
      <c r="Q322" s="98">
        <v>-1416</v>
      </c>
    </row>
    <row r="323" spans="1:17" x14ac:dyDescent="0.35">
      <c r="A323" t="s">
        <v>122</v>
      </c>
      <c r="B323" t="s">
        <v>123</v>
      </c>
      <c r="C323">
        <v>10</v>
      </c>
      <c r="D323" t="s">
        <v>30</v>
      </c>
      <c r="E323" t="s">
        <v>5</v>
      </c>
      <c r="F323" t="s">
        <v>101</v>
      </c>
      <c r="G323">
        <v>254</v>
      </c>
      <c r="H323" t="s">
        <v>102</v>
      </c>
      <c r="I323" t="s">
        <v>103</v>
      </c>
      <c r="J323" t="s">
        <v>104</v>
      </c>
      <c r="K323">
        <v>1050</v>
      </c>
      <c r="L323">
        <v>105064</v>
      </c>
      <c r="M323" t="s">
        <v>153</v>
      </c>
      <c r="N323" s="98">
        <v>1416</v>
      </c>
      <c r="O323" s="98">
        <v>0</v>
      </c>
      <c r="P323" s="98">
        <v>0</v>
      </c>
      <c r="Q323" s="98">
        <v>-1416</v>
      </c>
    </row>
    <row r="324" spans="1:17" x14ac:dyDescent="0.35">
      <c r="A324" t="s">
        <v>124</v>
      </c>
      <c r="B324" t="s">
        <v>125</v>
      </c>
      <c r="C324">
        <v>11</v>
      </c>
      <c r="D324" t="s">
        <v>30</v>
      </c>
      <c r="E324" t="s">
        <v>5</v>
      </c>
      <c r="F324" t="s">
        <v>101</v>
      </c>
      <c r="G324">
        <v>254</v>
      </c>
      <c r="H324" t="s">
        <v>102</v>
      </c>
      <c r="I324" t="s">
        <v>103</v>
      </c>
      <c r="J324" t="s">
        <v>104</v>
      </c>
      <c r="K324">
        <v>1050</v>
      </c>
      <c r="L324">
        <v>105064</v>
      </c>
      <c r="M324" t="s">
        <v>153</v>
      </c>
      <c r="N324" s="98">
        <v>1416</v>
      </c>
      <c r="O324" s="98">
        <v>0</v>
      </c>
      <c r="P324" s="98">
        <v>0</v>
      </c>
      <c r="Q324" s="98">
        <v>-1416</v>
      </c>
    </row>
    <row r="325" spans="1:17" x14ac:dyDescent="0.35">
      <c r="A325" t="s">
        <v>126</v>
      </c>
      <c r="B325" t="s">
        <v>127</v>
      </c>
      <c r="C325">
        <v>12</v>
      </c>
      <c r="D325" t="s">
        <v>30</v>
      </c>
      <c r="E325" t="s">
        <v>5</v>
      </c>
      <c r="F325" t="s">
        <v>101</v>
      </c>
      <c r="G325">
        <v>254</v>
      </c>
      <c r="H325" t="s">
        <v>102</v>
      </c>
      <c r="I325" t="s">
        <v>103</v>
      </c>
      <c r="J325" t="s">
        <v>104</v>
      </c>
      <c r="K325">
        <v>1050</v>
      </c>
      <c r="L325">
        <v>105064</v>
      </c>
      <c r="M325" t="s">
        <v>153</v>
      </c>
      <c r="N325" s="98">
        <v>1424</v>
      </c>
      <c r="O325" s="98">
        <v>0</v>
      </c>
      <c r="P325" s="98">
        <v>0</v>
      </c>
      <c r="Q325" s="98">
        <v>-1424</v>
      </c>
    </row>
    <row r="326" spans="1:17" x14ac:dyDescent="0.35">
      <c r="A326" t="s">
        <v>98</v>
      </c>
      <c r="B326" t="s">
        <v>99</v>
      </c>
      <c r="C326">
        <v>1</v>
      </c>
      <c r="D326" t="s">
        <v>23</v>
      </c>
      <c r="E326" t="s">
        <v>100</v>
      </c>
      <c r="F326" t="s">
        <v>101</v>
      </c>
      <c r="G326">
        <v>254</v>
      </c>
      <c r="H326" t="s">
        <v>102</v>
      </c>
      <c r="I326" t="s">
        <v>103</v>
      </c>
      <c r="J326" t="s">
        <v>104</v>
      </c>
      <c r="K326">
        <v>1050</v>
      </c>
      <c r="L326">
        <v>105065</v>
      </c>
      <c r="M326" t="s">
        <v>154</v>
      </c>
      <c r="N326" s="98">
        <v>0</v>
      </c>
      <c r="O326" s="98">
        <v>0</v>
      </c>
      <c r="P326" s="98">
        <v>0</v>
      </c>
      <c r="Q326" s="98">
        <v>0</v>
      </c>
    </row>
    <row r="327" spans="1:17" x14ac:dyDescent="0.35">
      <c r="A327" t="s">
        <v>106</v>
      </c>
      <c r="B327" t="s">
        <v>107</v>
      </c>
      <c r="C327">
        <v>2</v>
      </c>
      <c r="D327" t="s">
        <v>23</v>
      </c>
      <c r="E327" t="s">
        <v>100</v>
      </c>
      <c r="F327" t="s">
        <v>101</v>
      </c>
      <c r="G327">
        <v>254</v>
      </c>
      <c r="H327" t="s">
        <v>102</v>
      </c>
      <c r="I327" t="s">
        <v>103</v>
      </c>
      <c r="J327" t="s">
        <v>104</v>
      </c>
      <c r="K327">
        <v>1050</v>
      </c>
      <c r="L327">
        <v>105065</v>
      </c>
      <c r="M327" t="s">
        <v>154</v>
      </c>
      <c r="N327" s="98">
        <v>0</v>
      </c>
      <c r="O327" s="98">
        <v>0</v>
      </c>
      <c r="P327" s="98">
        <v>0</v>
      </c>
      <c r="Q327" s="98">
        <v>0</v>
      </c>
    </row>
    <row r="328" spans="1:17" x14ac:dyDescent="0.35">
      <c r="A328" t="s">
        <v>108</v>
      </c>
      <c r="B328" t="s">
        <v>109</v>
      </c>
      <c r="C328">
        <v>3</v>
      </c>
      <c r="D328" t="s">
        <v>23</v>
      </c>
      <c r="E328" t="s">
        <v>100</v>
      </c>
      <c r="F328" t="s">
        <v>101</v>
      </c>
      <c r="G328">
        <v>254</v>
      </c>
      <c r="H328" t="s">
        <v>102</v>
      </c>
      <c r="I328" t="s">
        <v>103</v>
      </c>
      <c r="J328" t="s">
        <v>104</v>
      </c>
      <c r="K328">
        <v>1050</v>
      </c>
      <c r="L328">
        <v>105065</v>
      </c>
      <c r="M328" t="s">
        <v>154</v>
      </c>
      <c r="N328" s="98">
        <v>0</v>
      </c>
      <c r="O328" s="98">
        <v>0</v>
      </c>
      <c r="P328" s="98">
        <v>0</v>
      </c>
      <c r="Q328" s="98">
        <v>0</v>
      </c>
    </row>
    <row r="329" spans="1:17" x14ac:dyDescent="0.35">
      <c r="A329" t="s">
        <v>110</v>
      </c>
      <c r="B329" t="s">
        <v>111</v>
      </c>
      <c r="C329">
        <v>4</v>
      </c>
      <c r="D329" t="s">
        <v>23</v>
      </c>
      <c r="E329" t="s">
        <v>100</v>
      </c>
      <c r="F329" t="s">
        <v>101</v>
      </c>
      <c r="G329">
        <v>254</v>
      </c>
      <c r="H329" t="s">
        <v>102</v>
      </c>
      <c r="I329" t="s">
        <v>103</v>
      </c>
      <c r="J329" t="s">
        <v>104</v>
      </c>
      <c r="K329">
        <v>1050</v>
      </c>
      <c r="L329">
        <v>105065</v>
      </c>
      <c r="M329" t="s">
        <v>154</v>
      </c>
      <c r="N329" s="98">
        <v>0</v>
      </c>
      <c r="O329" s="98">
        <v>0</v>
      </c>
      <c r="P329" s="98">
        <v>0</v>
      </c>
      <c r="Q329" s="98">
        <v>0</v>
      </c>
    </row>
    <row r="330" spans="1:17" x14ac:dyDescent="0.35">
      <c r="A330" t="s">
        <v>112</v>
      </c>
      <c r="B330" t="s">
        <v>113</v>
      </c>
      <c r="C330">
        <v>5</v>
      </c>
      <c r="D330" t="s">
        <v>27</v>
      </c>
      <c r="E330" t="s">
        <v>100</v>
      </c>
      <c r="F330" t="s">
        <v>101</v>
      </c>
      <c r="G330">
        <v>254</v>
      </c>
      <c r="H330" t="s">
        <v>102</v>
      </c>
      <c r="I330" t="s">
        <v>103</v>
      </c>
      <c r="J330" t="s">
        <v>104</v>
      </c>
      <c r="K330">
        <v>1050</v>
      </c>
      <c r="L330">
        <v>105065</v>
      </c>
      <c r="M330" t="s">
        <v>154</v>
      </c>
      <c r="N330" s="98">
        <v>0</v>
      </c>
      <c r="O330" s="98">
        <v>0</v>
      </c>
      <c r="P330" s="98">
        <v>0</v>
      </c>
      <c r="Q330" s="98">
        <v>0</v>
      </c>
    </row>
    <row r="331" spans="1:17" x14ac:dyDescent="0.35">
      <c r="A331" t="s">
        <v>114</v>
      </c>
      <c r="B331" t="s">
        <v>115</v>
      </c>
      <c r="C331">
        <v>6</v>
      </c>
      <c r="D331" t="s">
        <v>27</v>
      </c>
      <c r="E331" t="s">
        <v>100</v>
      </c>
      <c r="F331" t="s">
        <v>101</v>
      </c>
      <c r="G331">
        <v>254</v>
      </c>
      <c r="H331" t="s">
        <v>102</v>
      </c>
      <c r="I331" t="s">
        <v>103</v>
      </c>
      <c r="J331" t="s">
        <v>104</v>
      </c>
      <c r="K331">
        <v>1050</v>
      </c>
      <c r="L331">
        <v>105065</v>
      </c>
      <c r="M331" t="s">
        <v>154</v>
      </c>
      <c r="N331" s="98">
        <v>0</v>
      </c>
      <c r="O331" s="98">
        <v>81.14</v>
      </c>
      <c r="P331" s="98">
        <v>-81.14</v>
      </c>
      <c r="Q331" s="98">
        <v>81.14</v>
      </c>
    </row>
    <row r="332" spans="1:17" x14ac:dyDescent="0.35">
      <c r="A332" t="s">
        <v>116</v>
      </c>
      <c r="B332" t="s">
        <v>117</v>
      </c>
      <c r="C332">
        <v>7</v>
      </c>
      <c r="D332" t="s">
        <v>27</v>
      </c>
      <c r="E332" t="s">
        <v>100</v>
      </c>
      <c r="F332" t="s">
        <v>101</v>
      </c>
      <c r="G332">
        <v>254</v>
      </c>
      <c r="H332" t="s">
        <v>102</v>
      </c>
      <c r="I332" t="s">
        <v>103</v>
      </c>
      <c r="J332" t="s">
        <v>104</v>
      </c>
      <c r="K332">
        <v>1050</v>
      </c>
      <c r="L332">
        <v>105065</v>
      </c>
      <c r="M332" t="s">
        <v>154</v>
      </c>
      <c r="N332" s="98">
        <v>0</v>
      </c>
      <c r="O332" s="98">
        <v>411.89</v>
      </c>
      <c r="P332" s="98">
        <v>-411.89</v>
      </c>
      <c r="Q332" s="98">
        <v>411.89</v>
      </c>
    </row>
    <row r="333" spans="1:17" x14ac:dyDescent="0.35">
      <c r="A333" t="s">
        <v>118</v>
      </c>
      <c r="B333" t="s">
        <v>119</v>
      </c>
      <c r="C333">
        <v>8</v>
      </c>
      <c r="D333" t="s">
        <v>27</v>
      </c>
      <c r="E333" t="s">
        <v>100</v>
      </c>
      <c r="F333" t="s">
        <v>101</v>
      </c>
      <c r="G333">
        <v>254</v>
      </c>
      <c r="H333" t="s">
        <v>102</v>
      </c>
      <c r="I333" t="s">
        <v>103</v>
      </c>
      <c r="J333" t="s">
        <v>104</v>
      </c>
      <c r="K333">
        <v>1050</v>
      </c>
      <c r="L333">
        <v>105065</v>
      </c>
      <c r="M333" t="s">
        <v>154</v>
      </c>
      <c r="N333" s="98">
        <v>0</v>
      </c>
      <c r="O333" s="98">
        <v>0</v>
      </c>
      <c r="P333" s="98">
        <v>0</v>
      </c>
      <c r="Q333" s="98">
        <v>0</v>
      </c>
    </row>
    <row r="334" spans="1:17" x14ac:dyDescent="0.35">
      <c r="A334" t="s">
        <v>120</v>
      </c>
      <c r="B334" t="s">
        <v>121</v>
      </c>
      <c r="C334">
        <v>9</v>
      </c>
      <c r="D334" t="s">
        <v>30</v>
      </c>
      <c r="E334" t="s">
        <v>5</v>
      </c>
      <c r="F334" t="s">
        <v>101</v>
      </c>
      <c r="G334">
        <v>254</v>
      </c>
      <c r="H334" t="s">
        <v>102</v>
      </c>
      <c r="I334" t="s">
        <v>103</v>
      </c>
      <c r="J334" t="s">
        <v>104</v>
      </c>
      <c r="K334">
        <v>1050</v>
      </c>
      <c r="L334">
        <v>105065</v>
      </c>
      <c r="M334" t="s">
        <v>154</v>
      </c>
      <c r="N334" s="98">
        <v>0</v>
      </c>
      <c r="O334" s="98">
        <v>0</v>
      </c>
      <c r="P334" s="98">
        <v>0</v>
      </c>
      <c r="Q334" s="98">
        <v>0</v>
      </c>
    </row>
    <row r="335" spans="1:17" x14ac:dyDescent="0.35">
      <c r="A335" t="s">
        <v>122</v>
      </c>
      <c r="B335" t="s">
        <v>123</v>
      </c>
      <c r="C335">
        <v>10</v>
      </c>
      <c r="D335" t="s">
        <v>30</v>
      </c>
      <c r="E335" t="s">
        <v>5</v>
      </c>
      <c r="F335" t="s">
        <v>101</v>
      </c>
      <c r="G335">
        <v>254</v>
      </c>
      <c r="H335" t="s">
        <v>102</v>
      </c>
      <c r="I335" t="s">
        <v>103</v>
      </c>
      <c r="J335" t="s">
        <v>104</v>
      </c>
      <c r="K335">
        <v>1050</v>
      </c>
      <c r="L335">
        <v>105065</v>
      </c>
      <c r="M335" t="s">
        <v>154</v>
      </c>
      <c r="N335" s="98">
        <v>0</v>
      </c>
      <c r="O335" s="98">
        <v>0</v>
      </c>
      <c r="P335" s="98">
        <v>0</v>
      </c>
      <c r="Q335" s="98">
        <v>0</v>
      </c>
    </row>
    <row r="336" spans="1:17" x14ac:dyDescent="0.35">
      <c r="A336" t="s">
        <v>124</v>
      </c>
      <c r="B336" t="s">
        <v>125</v>
      </c>
      <c r="C336">
        <v>11</v>
      </c>
      <c r="D336" t="s">
        <v>30</v>
      </c>
      <c r="E336" t="s">
        <v>5</v>
      </c>
      <c r="F336" t="s">
        <v>101</v>
      </c>
      <c r="G336">
        <v>254</v>
      </c>
      <c r="H336" t="s">
        <v>102</v>
      </c>
      <c r="I336" t="s">
        <v>103</v>
      </c>
      <c r="J336" t="s">
        <v>104</v>
      </c>
      <c r="K336">
        <v>1050</v>
      </c>
      <c r="L336">
        <v>105065</v>
      </c>
      <c r="M336" t="s">
        <v>154</v>
      </c>
      <c r="N336" s="98">
        <v>0</v>
      </c>
      <c r="O336" s="98">
        <v>0</v>
      </c>
      <c r="P336" s="98">
        <v>0</v>
      </c>
      <c r="Q336" s="98">
        <v>0</v>
      </c>
    </row>
    <row r="337" spans="1:17" x14ac:dyDescent="0.35">
      <c r="A337" t="s">
        <v>126</v>
      </c>
      <c r="B337" t="s">
        <v>127</v>
      </c>
      <c r="C337">
        <v>12</v>
      </c>
      <c r="D337" t="s">
        <v>30</v>
      </c>
      <c r="E337" t="s">
        <v>5</v>
      </c>
      <c r="F337" t="s">
        <v>101</v>
      </c>
      <c r="G337">
        <v>254</v>
      </c>
      <c r="H337" t="s">
        <v>102</v>
      </c>
      <c r="I337" t="s">
        <v>103</v>
      </c>
      <c r="J337" t="s">
        <v>104</v>
      </c>
      <c r="K337">
        <v>1050</v>
      </c>
      <c r="L337">
        <v>105065</v>
      </c>
      <c r="M337" t="s">
        <v>154</v>
      </c>
      <c r="N337" s="98">
        <v>0</v>
      </c>
      <c r="O337" s="98">
        <v>0</v>
      </c>
      <c r="P337" s="98">
        <v>0</v>
      </c>
      <c r="Q337" s="98">
        <v>0</v>
      </c>
    </row>
    <row r="338" spans="1:17" x14ac:dyDescent="0.35">
      <c r="A338" t="s">
        <v>98</v>
      </c>
      <c r="B338" t="s">
        <v>99</v>
      </c>
      <c r="C338">
        <v>1</v>
      </c>
      <c r="D338" t="s">
        <v>23</v>
      </c>
      <c r="E338" t="s">
        <v>100</v>
      </c>
      <c r="F338" t="s">
        <v>101</v>
      </c>
      <c r="G338">
        <v>254</v>
      </c>
      <c r="H338" t="s">
        <v>102</v>
      </c>
      <c r="I338" t="s">
        <v>103</v>
      </c>
      <c r="J338" t="s">
        <v>104</v>
      </c>
      <c r="K338">
        <v>1090</v>
      </c>
      <c r="L338">
        <v>109000</v>
      </c>
      <c r="M338" t="s">
        <v>155</v>
      </c>
      <c r="N338" s="98">
        <v>171251</v>
      </c>
      <c r="O338" s="98">
        <v>111774.79</v>
      </c>
      <c r="P338" s="98">
        <v>59476.21</v>
      </c>
      <c r="Q338" s="98">
        <v>-59476.21</v>
      </c>
    </row>
    <row r="339" spans="1:17" x14ac:dyDescent="0.35">
      <c r="A339" t="s">
        <v>106</v>
      </c>
      <c r="B339" t="s">
        <v>107</v>
      </c>
      <c r="C339">
        <v>2</v>
      </c>
      <c r="D339" t="s">
        <v>23</v>
      </c>
      <c r="E339" t="s">
        <v>100</v>
      </c>
      <c r="F339" t="s">
        <v>101</v>
      </c>
      <c r="G339">
        <v>254</v>
      </c>
      <c r="H339" t="s">
        <v>102</v>
      </c>
      <c r="I339" t="s">
        <v>103</v>
      </c>
      <c r="J339" t="s">
        <v>104</v>
      </c>
      <c r="K339">
        <v>1090</v>
      </c>
      <c r="L339">
        <v>109000</v>
      </c>
      <c r="M339" t="s">
        <v>155</v>
      </c>
      <c r="N339" s="98">
        <v>171250</v>
      </c>
      <c r="O339" s="98">
        <v>201470.68</v>
      </c>
      <c r="P339" s="98">
        <v>-30220.68</v>
      </c>
      <c r="Q339" s="98">
        <v>30220.68</v>
      </c>
    </row>
    <row r="340" spans="1:17" x14ac:dyDescent="0.35">
      <c r="A340" t="s">
        <v>108</v>
      </c>
      <c r="B340" t="s">
        <v>109</v>
      </c>
      <c r="C340">
        <v>3</v>
      </c>
      <c r="D340" t="s">
        <v>23</v>
      </c>
      <c r="E340" t="s">
        <v>100</v>
      </c>
      <c r="F340" t="s">
        <v>101</v>
      </c>
      <c r="G340">
        <v>254</v>
      </c>
      <c r="H340" t="s">
        <v>102</v>
      </c>
      <c r="I340" t="s">
        <v>103</v>
      </c>
      <c r="J340" t="s">
        <v>104</v>
      </c>
      <c r="K340">
        <v>1090</v>
      </c>
      <c r="L340">
        <v>109000</v>
      </c>
      <c r="M340" t="s">
        <v>155</v>
      </c>
      <c r="N340" s="98">
        <v>171248</v>
      </c>
      <c r="O340" s="98">
        <v>168932.97</v>
      </c>
      <c r="P340" s="98">
        <v>2315.0300000000002</v>
      </c>
      <c r="Q340" s="98">
        <v>-2315.0300000000002</v>
      </c>
    </row>
    <row r="341" spans="1:17" x14ac:dyDescent="0.35">
      <c r="A341" t="s">
        <v>110</v>
      </c>
      <c r="B341" t="s">
        <v>111</v>
      </c>
      <c r="C341">
        <v>4</v>
      </c>
      <c r="D341" t="s">
        <v>23</v>
      </c>
      <c r="E341" t="s">
        <v>100</v>
      </c>
      <c r="F341" t="s">
        <v>101</v>
      </c>
      <c r="G341">
        <v>254</v>
      </c>
      <c r="H341" t="s">
        <v>102</v>
      </c>
      <c r="I341" t="s">
        <v>103</v>
      </c>
      <c r="J341" t="s">
        <v>104</v>
      </c>
      <c r="K341">
        <v>1090</v>
      </c>
      <c r="L341">
        <v>109000</v>
      </c>
      <c r="M341" t="s">
        <v>155</v>
      </c>
      <c r="N341" s="98">
        <v>1055848</v>
      </c>
      <c r="O341" s="98">
        <v>1034142.89</v>
      </c>
      <c r="P341" s="98">
        <v>21705.11</v>
      </c>
      <c r="Q341" s="98">
        <v>-21705.11</v>
      </c>
    </row>
    <row r="342" spans="1:17" x14ac:dyDescent="0.35">
      <c r="A342" t="s">
        <v>112</v>
      </c>
      <c r="B342" t="s">
        <v>113</v>
      </c>
      <c r="C342">
        <v>5</v>
      </c>
      <c r="D342" t="s">
        <v>27</v>
      </c>
      <c r="E342" t="s">
        <v>100</v>
      </c>
      <c r="F342" t="s">
        <v>101</v>
      </c>
      <c r="G342">
        <v>254</v>
      </c>
      <c r="H342" t="s">
        <v>102</v>
      </c>
      <c r="I342" t="s">
        <v>103</v>
      </c>
      <c r="J342" t="s">
        <v>104</v>
      </c>
      <c r="K342">
        <v>1090</v>
      </c>
      <c r="L342">
        <v>109000</v>
      </c>
      <c r="M342" t="s">
        <v>155</v>
      </c>
      <c r="N342" s="98">
        <v>177108</v>
      </c>
      <c r="O342" s="98">
        <v>165027.57999999999</v>
      </c>
      <c r="P342" s="98">
        <v>12080.42</v>
      </c>
      <c r="Q342" s="98">
        <v>-12080.42</v>
      </c>
    </row>
    <row r="343" spans="1:17" x14ac:dyDescent="0.35">
      <c r="A343" t="s">
        <v>114</v>
      </c>
      <c r="B343" t="s">
        <v>115</v>
      </c>
      <c r="C343">
        <v>6</v>
      </c>
      <c r="D343" t="s">
        <v>27</v>
      </c>
      <c r="E343" t="s">
        <v>100</v>
      </c>
      <c r="F343" t="s">
        <v>101</v>
      </c>
      <c r="G343">
        <v>254</v>
      </c>
      <c r="H343" t="s">
        <v>102</v>
      </c>
      <c r="I343" t="s">
        <v>103</v>
      </c>
      <c r="J343" t="s">
        <v>104</v>
      </c>
      <c r="K343">
        <v>1090</v>
      </c>
      <c r="L343">
        <v>109000</v>
      </c>
      <c r="M343" t="s">
        <v>155</v>
      </c>
      <c r="N343" s="98">
        <v>115925</v>
      </c>
      <c r="O343" s="98">
        <v>174781.14</v>
      </c>
      <c r="P343" s="98">
        <v>-58856.14</v>
      </c>
      <c r="Q343" s="98">
        <v>58856.14</v>
      </c>
    </row>
    <row r="344" spans="1:17" x14ac:dyDescent="0.35">
      <c r="A344" t="s">
        <v>116</v>
      </c>
      <c r="B344" t="s">
        <v>117</v>
      </c>
      <c r="C344">
        <v>7</v>
      </c>
      <c r="D344" t="s">
        <v>27</v>
      </c>
      <c r="E344" t="s">
        <v>100</v>
      </c>
      <c r="F344" t="s">
        <v>101</v>
      </c>
      <c r="G344">
        <v>254</v>
      </c>
      <c r="H344" t="s">
        <v>102</v>
      </c>
      <c r="I344" t="s">
        <v>103</v>
      </c>
      <c r="J344" t="s">
        <v>104</v>
      </c>
      <c r="K344">
        <v>1090</v>
      </c>
      <c r="L344">
        <v>109000</v>
      </c>
      <c r="M344" t="s">
        <v>155</v>
      </c>
      <c r="N344" s="98">
        <v>176359</v>
      </c>
      <c r="O344" s="98">
        <v>174748.32</v>
      </c>
      <c r="P344" s="98">
        <v>1610.68</v>
      </c>
      <c r="Q344" s="98">
        <v>-1610.68</v>
      </c>
    </row>
    <row r="345" spans="1:17" x14ac:dyDescent="0.35">
      <c r="A345" t="s">
        <v>118</v>
      </c>
      <c r="B345" t="s">
        <v>119</v>
      </c>
      <c r="C345">
        <v>8</v>
      </c>
      <c r="D345" t="s">
        <v>27</v>
      </c>
      <c r="E345" t="s">
        <v>100</v>
      </c>
      <c r="F345" t="s">
        <v>101</v>
      </c>
      <c r="G345">
        <v>254</v>
      </c>
      <c r="H345" t="s">
        <v>102</v>
      </c>
      <c r="I345" t="s">
        <v>103</v>
      </c>
      <c r="J345" t="s">
        <v>104</v>
      </c>
      <c r="K345">
        <v>1090</v>
      </c>
      <c r="L345">
        <v>109000</v>
      </c>
      <c r="M345" t="s">
        <v>155</v>
      </c>
      <c r="N345" s="98">
        <v>177110</v>
      </c>
      <c r="O345" s="98">
        <v>180009.25</v>
      </c>
      <c r="P345" s="98">
        <v>-2899.25</v>
      </c>
      <c r="Q345" s="98">
        <v>2899.25</v>
      </c>
    </row>
    <row r="346" spans="1:17" x14ac:dyDescent="0.35">
      <c r="A346" t="s">
        <v>120</v>
      </c>
      <c r="B346" t="s">
        <v>121</v>
      </c>
      <c r="C346">
        <v>9</v>
      </c>
      <c r="D346" t="s">
        <v>30</v>
      </c>
      <c r="E346" t="s">
        <v>5</v>
      </c>
      <c r="F346" t="s">
        <v>101</v>
      </c>
      <c r="G346">
        <v>254</v>
      </c>
      <c r="H346" t="s">
        <v>102</v>
      </c>
      <c r="I346" t="s">
        <v>103</v>
      </c>
      <c r="J346" t="s">
        <v>104</v>
      </c>
      <c r="K346">
        <v>1090</v>
      </c>
      <c r="L346">
        <v>109000</v>
      </c>
      <c r="M346" t="s">
        <v>155</v>
      </c>
      <c r="N346" s="98">
        <v>177108</v>
      </c>
      <c r="O346" s="98">
        <v>0</v>
      </c>
      <c r="P346" s="98">
        <v>0</v>
      </c>
      <c r="Q346" s="98">
        <v>-177108</v>
      </c>
    </row>
    <row r="347" spans="1:17" x14ac:dyDescent="0.35">
      <c r="A347" t="s">
        <v>122</v>
      </c>
      <c r="B347" t="s">
        <v>123</v>
      </c>
      <c r="C347">
        <v>10</v>
      </c>
      <c r="D347" t="s">
        <v>30</v>
      </c>
      <c r="E347" t="s">
        <v>5</v>
      </c>
      <c r="F347" t="s">
        <v>101</v>
      </c>
      <c r="G347">
        <v>254</v>
      </c>
      <c r="H347" t="s">
        <v>102</v>
      </c>
      <c r="I347" t="s">
        <v>103</v>
      </c>
      <c r="J347" t="s">
        <v>104</v>
      </c>
      <c r="K347">
        <v>1090</v>
      </c>
      <c r="L347">
        <v>109000</v>
      </c>
      <c r="M347" t="s">
        <v>155</v>
      </c>
      <c r="N347" s="98">
        <v>177107</v>
      </c>
      <c r="O347" s="98">
        <v>0</v>
      </c>
      <c r="P347" s="98">
        <v>0</v>
      </c>
      <c r="Q347" s="98">
        <v>-177107</v>
      </c>
    </row>
    <row r="348" spans="1:17" x14ac:dyDescent="0.35">
      <c r="A348" t="s">
        <v>124</v>
      </c>
      <c r="B348" t="s">
        <v>125</v>
      </c>
      <c r="C348">
        <v>11</v>
      </c>
      <c r="D348" t="s">
        <v>30</v>
      </c>
      <c r="E348" t="s">
        <v>5</v>
      </c>
      <c r="F348" t="s">
        <v>101</v>
      </c>
      <c r="G348">
        <v>254</v>
      </c>
      <c r="H348" t="s">
        <v>102</v>
      </c>
      <c r="I348" t="s">
        <v>103</v>
      </c>
      <c r="J348" t="s">
        <v>104</v>
      </c>
      <c r="K348">
        <v>1090</v>
      </c>
      <c r="L348">
        <v>109000</v>
      </c>
      <c r="M348" t="s">
        <v>155</v>
      </c>
      <c r="N348" s="98">
        <v>177103</v>
      </c>
      <c r="O348" s="98">
        <v>0</v>
      </c>
      <c r="P348" s="98">
        <v>0</v>
      </c>
      <c r="Q348" s="98">
        <v>-177103</v>
      </c>
    </row>
    <row r="349" spans="1:17" x14ac:dyDescent="0.35">
      <c r="A349" t="s">
        <v>126</v>
      </c>
      <c r="B349" t="s">
        <v>127</v>
      </c>
      <c r="C349">
        <v>12</v>
      </c>
      <c r="D349" t="s">
        <v>30</v>
      </c>
      <c r="E349" t="s">
        <v>5</v>
      </c>
      <c r="F349" t="s">
        <v>101</v>
      </c>
      <c r="G349">
        <v>254</v>
      </c>
      <c r="H349" t="s">
        <v>102</v>
      </c>
      <c r="I349" t="s">
        <v>103</v>
      </c>
      <c r="J349" t="s">
        <v>104</v>
      </c>
      <c r="K349">
        <v>1090</v>
      </c>
      <c r="L349">
        <v>109000</v>
      </c>
      <c r="M349" t="s">
        <v>155</v>
      </c>
      <c r="N349" s="98">
        <v>297706</v>
      </c>
      <c r="O349" s="98">
        <v>0</v>
      </c>
      <c r="P349" s="98">
        <v>0</v>
      </c>
      <c r="Q349" s="98">
        <v>-297706</v>
      </c>
    </row>
    <row r="350" spans="1:17" x14ac:dyDescent="0.35">
      <c r="A350" t="s">
        <v>98</v>
      </c>
      <c r="B350" t="s">
        <v>99</v>
      </c>
      <c r="C350">
        <v>1</v>
      </c>
      <c r="D350" t="s">
        <v>23</v>
      </c>
      <c r="E350" t="s">
        <v>100</v>
      </c>
      <c r="F350" t="s">
        <v>101</v>
      </c>
      <c r="G350">
        <v>254</v>
      </c>
      <c r="H350" t="s">
        <v>102</v>
      </c>
      <c r="I350" t="s">
        <v>103</v>
      </c>
      <c r="J350" t="s">
        <v>104</v>
      </c>
      <c r="K350">
        <v>1099</v>
      </c>
      <c r="L350">
        <v>109999</v>
      </c>
      <c r="M350" t="s">
        <v>156</v>
      </c>
      <c r="N350" s="98">
        <v>184285</v>
      </c>
      <c r="O350" s="98">
        <v>123019.51</v>
      </c>
      <c r="P350" s="98">
        <v>61265.49</v>
      </c>
      <c r="Q350" s="98">
        <v>-61265.49</v>
      </c>
    </row>
    <row r="351" spans="1:17" x14ac:dyDescent="0.35">
      <c r="A351" t="s">
        <v>106</v>
      </c>
      <c r="B351" t="s">
        <v>107</v>
      </c>
      <c r="C351">
        <v>2</v>
      </c>
      <c r="D351" t="s">
        <v>23</v>
      </c>
      <c r="E351" t="s">
        <v>100</v>
      </c>
      <c r="F351" t="s">
        <v>101</v>
      </c>
      <c r="G351">
        <v>254</v>
      </c>
      <c r="H351" t="s">
        <v>102</v>
      </c>
      <c r="I351" t="s">
        <v>103</v>
      </c>
      <c r="J351" t="s">
        <v>104</v>
      </c>
      <c r="K351">
        <v>1099</v>
      </c>
      <c r="L351">
        <v>109999</v>
      </c>
      <c r="M351" t="s">
        <v>156</v>
      </c>
      <c r="N351" s="98">
        <v>184284</v>
      </c>
      <c r="O351" s="98">
        <v>263333.65999999997</v>
      </c>
      <c r="P351" s="98">
        <v>-79049.66</v>
      </c>
      <c r="Q351" s="98">
        <v>79049.66</v>
      </c>
    </row>
    <row r="352" spans="1:17" x14ac:dyDescent="0.35">
      <c r="A352" t="s">
        <v>108</v>
      </c>
      <c r="B352" t="s">
        <v>109</v>
      </c>
      <c r="C352">
        <v>3</v>
      </c>
      <c r="D352" t="s">
        <v>23</v>
      </c>
      <c r="E352" t="s">
        <v>100</v>
      </c>
      <c r="F352" t="s">
        <v>101</v>
      </c>
      <c r="G352">
        <v>254</v>
      </c>
      <c r="H352" t="s">
        <v>102</v>
      </c>
      <c r="I352" t="s">
        <v>103</v>
      </c>
      <c r="J352" t="s">
        <v>104</v>
      </c>
      <c r="K352">
        <v>1099</v>
      </c>
      <c r="L352">
        <v>109999</v>
      </c>
      <c r="M352" t="s">
        <v>156</v>
      </c>
      <c r="N352" s="98">
        <v>184283</v>
      </c>
      <c r="O352" s="98">
        <v>199701.82</v>
      </c>
      <c r="P352" s="98">
        <v>-15418.82</v>
      </c>
      <c r="Q352" s="98">
        <v>15418.82</v>
      </c>
    </row>
    <row r="353" spans="1:17" x14ac:dyDescent="0.35">
      <c r="A353" t="s">
        <v>110</v>
      </c>
      <c r="B353" t="s">
        <v>111</v>
      </c>
      <c r="C353">
        <v>4</v>
      </c>
      <c r="D353" t="s">
        <v>23</v>
      </c>
      <c r="E353" t="s">
        <v>100</v>
      </c>
      <c r="F353" t="s">
        <v>101</v>
      </c>
      <c r="G353">
        <v>254</v>
      </c>
      <c r="H353" t="s">
        <v>102</v>
      </c>
      <c r="I353" t="s">
        <v>103</v>
      </c>
      <c r="J353" t="s">
        <v>104</v>
      </c>
      <c r="K353">
        <v>1099</v>
      </c>
      <c r="L353">
        <v>109999</v>
      </c>
      <c r="M353" t="s">
        <v>156</v>
      </c>
      <c r="N353" s="98">
        <v>308983</v>
      </c>
      <c r="O353" s="98">
        <v>286457.09999999998</v>
      </c>
      <c r="P353" s="98">
        <v>22525.9</v>
      </c>
      <c r="Q353" s="98">
        <v>-22525.9</v>
      </c>
    </row>
    <row r="354" spans="1:17" x14ac:dyDescent="0.35">
      <c r="A354" t="s">
        <v>112</v>
      </c>
      <c r="B354" t="s">
        <v>113</v>
      </c>
      <c r="C354">
        <v>5</v>
      </c>
      <c r="D354" t="s">
        <v>27</v>
      </c>
      <c r="E354" t="s">
        <v>100</v>
      </c>
      <c r="F354" t="s">
        <v>101</v>
      </c>
      <c r="G354">
        <v>254</v>
      </c>
      <c r="H354" t="s">
        <v>102</v>
      </c>
      <c r="I354" t="s">
        <v>103</v>
      </c>
      <c r="J354" t="s">
        <v>104</v>
      </c>
      <c r="K354">
        <v>1099</v>
      </c>
      <c r="L354">
        <v>109999</v>
      </c>
      <c r="M354" t="s">
        <v>156</v>
      </c>
      <c r="N354" s="98">
        <v>190108</v>
      </c>
      <c r="O354" s="98">
        <v>190833.22</v>
      </c>
      <c r="P354" s="98">
        <v>-725.22</v>
      </c>
      <c r="Q354" s="98">
        <v>725.22</v>
      </c>
    </row>
    <row r="355" spans="1:17" x14ac:dyDescent="0.35">
      <c r="A355" t="s">
        <v>114</v>
      </c>
      <c r="B355" t="s">
        <v>115</v>
      </c>
      <c r="C355">
        <v>6</v>
      </c>
      <c r="D355" t="s">
        <v>27</v>
      </c>
      <c r="E355" t="s">
        <v>100</v>
      </c>
      <c r="F355" t="s">
        <v>101</v>
      </c>
      <c r="G355">
        <v>254</v>
      </c>
      <c r="H355" t="s">
        <v>102</v>
      </c>
      <c r="I355" t="s">
        <v>103</v>
      </c>
      <c r="J355" t="s">
        <v>104</v>
      </c>
      <c r="K355">
        <v>1099</v>
      </c>
      <c r="L355">
        <v>109999</v>
      </c>
      <c r="M355" t="s">
        <v>156</v>
      </c>
      <c r="N355" s="98">
        <v>-5583</v>
      </c>
      <c r="O355" s="98">
        <v>70719.100000000006</v>
      </c>
      <c r="P355" s="98">
        <v>-76302.100000000006</v>
      </c>
      <c r="Q355" s="98">
        <v>76302.100000000006</v>
      </c>
    </row>
    <row r="356" spans="1:17" x14ac:dyDescent="0.35">
      <c r="A356" t="s">
        <v>116</v>
      </c>
      <c r="B356" t="s">
        <v>117</v>
      </c>
      <c r="C356">
        <v>7</v>
      </c>
      <c r="D356" t="s">
        <v>27</v>
      </c>
      <c r="E356" t="s">
        <v>100</v>
      </c>
      <c r="F356" t="s">
        <v>101</v>
      </c>
      <c r="G356">
        <v>254</v>
      </c>
      <c r="H356" t="s">
        <v>102</v>
      </c>
      <c r="I356" t="s">
        <v>103</v>
      </c>
      <c r="J356" t="s">
        <v>104</v>
      </c>
      <c r="K356">
        <v>1099</v>
      </c>
      <c r="L356">
        <v>109999</v>
      </c>
      <c r="M356" t="s">
        <v>156</v>
      </c>
      <c r="N356" s="98">
        <v>189347</v>
      </c>
      <c r="O356" s="98">
        <v>210674.84</v>
      </c>
      <c r="P356" s="98">
        <v>-21327.84</v>
      </c>
      <c r="Q356" s="98">
        <v>21327.84</v>
      </c>
    </row>
    <row r="357" spans="1:17" x14ac:dyDescent="0.35">
      <c r="A357" t="s">
        <v>118</v>
      </c>
      <c r="B357" t="s">
        <v>119</v>
      </c>
      <c r="C357">
        <v>8</v>
      </c>
      <c r="D357" t="s">
        <v>27</v>
      </c>
      <c r="E357" t="s">
        <v>100</v>
      </c>
      <c r="F357" t="s">
        <v>101</v>
      </c>
      <c r="G357">
        <v>254</v>
      </c>
      <c r="H357" t="s">
        <v>102</v>
      </c>
      <c r="I357" t="s">
        <v>103</v>
      </c>
      <c r="J357" t="s">
        <v>104</v>
      </c>
      <c r="K357">
        <v>1099</v>
      </c>
      <c r="L357">
        <v>109999</v>
      </c>
      <c r="M357" t="s">
        <v>156</v>
      </c>
      <c r="N357" s="98">
        <v>190110</v>
      </c>
      <c r="O357" s="98">
        <v>182691.88</v>
      </c>
      <c r="P357" s="98">
        <v>7418.12</v>
      </c>
      <c r="Q357" s="98">
        <v>-7418.12</v>
      </c>
    </row>
    <row r="358" spans="1:17" x14ac:dyDescent="0.35">
      <c r="A358" t="s">
        <v>120</v>
      </c>
      <c r="B358" t="s">
        <v>121</v>
      </c>
      <c r="C358">
        <v>9</v>
      </c>
      <c r="D358" t="s">
        <v>30</v>
      </c>
      <c r="E358" t="s">
        <v>5</v>
      </c>
      <c r="F358" t="s">
        <v>101</v>
      </c>
      <c r="G358">
        <v>254</v>
      </c>
      <c r="H358" t="s">
        <v>102</v>
      </c>
      <c r="I358" t="s">
        <v>103</v>
      </c>
      <c r="J358" t="s">
        <v>104</v>
      </c>
      <c r="K358">
        <v>1099</v>
      </c>
      <c r="L358">
        <v>109999</v>
      </c>
      <c r="M358" t="s">
        <v>156</v>
      </c>
      <c r="N358" s="98">
        <v>190113</v>
      </c>
      <c r="O358" s="98">
        <v>0</v>
      </c>
      <c r="P358" s="98">
        <v>0</v>
      </c>
      <c r="Q358" s="98">
        <v>-190113</v>
      </c>
    </row>
    <row r="359" spans="1:17" x14ac:dyDescent="0.35">
      <c r="A359" t="s">
        <v>122</v>
      </c>
      <c r="B359" t="s">
        <v>123</v>
      </c>
      <c r="C359">
        <v>10</v>
      </c>
      <c r="D359" t="s">
        <v>30</v>
      </c>
      <c r="E359" t="s">
        <v>5</v>
      </c>
      <c r="F359" t="s">
        <v>101</v>
      </c>
      <c r="G359">
        <v>254</v>
      </c>
      <c r="H359" t="s">
        <v>102</v>
      </c>
      <c r="I359" t="s">
        <v>103</v>
      </c>
      <c r="J359" t="s">
        <v>104</v>
      </c>
      <c r="K359">
        <v>1099</v>
      </c>
      <c r="L359">
        <v>109999</v>
      </c>
      <c r="M359" t="s">
        <v>156</v>
      </c>
      <c r="N359" s="98">
        <v>190115</v>
      </c>
      <c r="O359" s="98">
        <v>0</v>
      </c>
      <c r="P359" s="98">
        <v>0</v>
      </c>
      <c r="Q359" s="98">
        <v>-190115</v>
      </c>
    </row>
    <row r="360" spans="1:17" x14ac:dyDescent="0.35">
      <c r="A360" t="s">
        <v>124</v>
      </c>
      <c r="B360" t="s">
        <v>125</v>
      </c>
      <c r="C360">
        <v>11</v>
      </c>
      <c r="D360" t="s">
        <v>30</v>
      </c>
      <c r="E360" t="s">
        <v>5</v>
      </c>
      <c r="F360" t="s">
        <v>101</v>
      </c>
      <c r="G360">
        <v>254</v>
      </c>
      <c r="H360" t="s">
        <v>102</v>
      </c>
      <c r="I360" t="s">
        <v>103</v>
      </c>
      <c r="J360" t="s">
        <v>104</v>
      </c>
      <c r="K360">
        <v>1099</v>
      </c>
      <c r="L360">
        <v>109999</v>
      </c>
      <c r="M360" t="s">
        <v>156</v>
      </c>
      <c r="N360" s="98">
        <v>190111</v>
      </c>
      <c r="O360" s="98">
        <v>0</v>
      </c>
      <c r="P360" s="98">
        <v>0</v>
      </c>
      <c r="Q360" s="98">
        <v>-190111</v>
      </c>
    </row>
    <row r="361" spans="1:17" x14ac:dyDescent="0.35">
      <c r="A361" t="s">
        <v>126</v>
      </c>
      <c r="B361" t="s">
        <v>127</v>
      </c>
      <c r="C361">
        <v>12</v>
      </c>
      <c r="D361" t="s">
        <v>30</v>
      </c>
      <c r="E361" t="s">
        <v>5</v>
      </c>
      <c r="F361" t="s">
        <v>101</v>
      </c>
      <c r="G361">
        <v>254</v>
      </c>
      <c r="H361" t="s">
        <v>102</v>
      </c>
      <c r="I361" t="s">
        <v>103</v>
      </c>
      <c r="J361" t="s">
        <v>104</v>
      </c>
      <c r="K361">
        <v>1099</v>
      </c>
      <c r="L361">
        <v>109999</v>
      </c>
      <c r="M361" t="s">
        <v>156</v>
      </c>
      <c r="N361" s="98">
        <v>207011</v>
      </c>
      <c r="O361" s="98">
        <v>0</v>
      </c>
      <c r="P361" s="98">
        <v>0</v>
      </c>
      <c r="Q361" s="98">
        <v>-207011</v>
      </c>
    </row>
    <row r="362" spans="1:17" x14ac:dyDescent="0.35">
      <c r="A362" t="s">
        <v>98</v>
      </c>
      <c r="B362" t="s">
        <v>99</v>
      </c>
      <c r="C362">
        <v>1</v>
      </c>
      <c r="D362" t="s">
        <v>23</v>
      </c>
      <c r="E362" t="s">
        <v>100</v>
      </c>
      <c r="F362" t="s">
        <v>101</v>
      </c>
      <c r="G362">
        <v>254</v>
      </c>
      <c r="H362" t="s">
        <v>102</v>
      </c>
      <c r="I362" t="s">
        <v>103</v>
      </c>
      <c r="J362" t="s">
        <v>157</v>
      </c>
      <c r="K362">
        <v>1710</v>
      </c>
      <c r="L362">
        <v>171000</v>
      </c>
      <c r="M362" t="s">
        <v>158</v>
      </c>
      <c r="N362" s="98">
        <v>-45399</v>
      </c>
      <c r="O362" s="98">
        <v>-5370</v>
      </c>
      <c r="P362" s="98">
        <v>-40029</v>
      </c>
      <c r="Q362" s="98">
        <v>40029</v>
      </c>
    </row>
    <row r="363" spans="1:17" x14ac:dyDescent="0.35">
      <c r="A363" t="s">
        <v>106</v>
      </c>
      <c r="B363" t="s">
        <v>107</v>
      </c>
      <c r="C363">
        <v>2</v>
      </c>
      <c r="D363" t="s">
        <v>23</v>
      </c>
      <c r="E363" t="s">
        <v>100</v>
      </c>
      <c r="F363" t="s">
        <v>101</v>
      </c>
      <c r="G363">
        <v>254</v>
      </c>
      <c r="H363" t="s">
        <v>102</v>
      </c>
      <c r="I363" t="s">
        <v>103</v>
      </c>
      <c r="J363" t="s">
        <v>157</v>
      </c>
      <c r="K363">
        <v>1710</v>
      </c>
      <c r="L363">
        <v>171000</v>
      </c>
      <c r="M363" t="s">
        <v>158</v>
      </c>
      <c r="N363" s="98">
        <v>-45399</v>
      </c>
      <c r="O363" s="98">
        <v>-80559</v>
      </c>
      <c r="P363" s="98">
        <v>35160</v>
      </c>
      <c r="Q363" s="98">
        <v>-35160</v>
      </c>
    </row>
    <row r="364" spans="1:17" x14ac:dyDescent="0.35">
      <c r="A364" t="s">
        <v>108</v>
      </c>
      <c r="B364" t="s">
        <v>109</v>
      </c>
      <c r="C364">
        <v>3</v>
      </c>
      <c r="D364" t="s">
        <v>23</v>
      </c>
      <c r="E364" t="s">
        <v>100</v>
      </c>
      <c r="F364" t="s">
        <v>101</v>
      </c>
      <c r="G364">
        <v>254</v>
      </c>
      <c r="H364" t="s">
        <v>102</v>
      </c>
      <c r="I364" t="s">
        <v>103</v>
      </c>
      <c r="J364" t="s">
        <v>157</v>
      </c>
      <c r="K364">
        <v>1710</v>
      </c>
      <c r="L364">
        <v>171000</v>
      </c>
      <c r="M364" t="s">
        <v>158</v>
      </c>
      <c r="N364" s="98">
        <v>-45399</v>
      </c>
      <c r="O364" s="98">
        <v>-45142</v>
      </c>
      <c r="P364" s="98">
        <v>-257</v>
      </c>
      <c r="Q364" s="98">
        <v>257</v>
      </c>
    </row>
    <row r="365" spans="1:17" x14ac:dyDescent="0.35">
      <c r="A365" t="s">
        <v>110</v>
      </c>
      <c r="B365" t="s">
        <v>111</v>
      </c>
      <c r="C365">
        <v>4</v>
      </c>
      <c r="D365" t="s">
        <v>23</v>
      </c>
      <c r="E365" t="s">
        <v>100</v>
      </c>
      <c r="F365" t="s">
        <v>101</v>
      </c>
      <c r="G365">
        <v>254</v>
      </c>
      <c r="H365" t="s">
        <v>102</v>
      </c>
      <c r="I365" t="s">
        <v>103</v>
      </c>
      <c r="J365" t="s">
        <v>157</v>
      </c>
      <c r="K365">
        <v>1710</v>
      </c>
      <c r="L365">
        <v>171000</v>
      </c>
      <c r="M365" t="s">
        <v>158</v>
      </c>
      <c r="N365" s="98">
        <v>-45399</v>
      </c>
      <c r="O365" s="98">
        <v>-73049</v>
      </c>
      <c r="P365" s="98">
        <v>27650</v>
      </c>
      <c r="Q365" s="98">
        <v>-27650</v>
      </c>
    </row>
    <row r="366" spans="1:17" x14ac:dyDescent="0.35">
      <c r="A366" t="s">
        <v>112</v>
      </c>
      <c r="B366" t="s">
        <v>113</v>
      </c>
      <c r="C366">
        <v>5</v>
      </c>
      <c r="D366" t="s">
        <v>27</v>
      </c>
      <c r="E366" t="s">
        <v>100</v>
      </c>
      <c r="F366" t="s">
        <v>101</v>
      </c>
      <c r="G366">
        <v>254</v>
      </c>
      <c r="H366" t="s">
        <v>102</v>
      </c>
      <c r="I366" t="s">
        <v>103</v>
      </c>
      <c r="J366" t="s">
        <v>157</v>
      </c>
      <c r="K366">
        <v>1710</v>
      </c>
      <c r="L366">
        <v>171000</v>
      </c>
      <c r="M366" t="s">
        <v>158</v>
      </c>
      <c r="N366" s="98">
        <v>-45399</v>
      </c>
      <c r="O366" s="98">
        <v>-1975</v>
      </c>
      <c r="P366" s="98">
        <v>-43424</v>
      </c>
      <c r="Q366" s="98">
        <v>43424</v>
      </c>
    </row>
    <row r="367" spans="1:17" x14ac:dyDescent="0.35">
      <c r="A367" t="s">
        <v>114</v>
      </c>
      <c r="B367" t="s">
        <v>115</v>
      </c>
      <c r="C367">
        <v>6</v>
      </c>
      <c r="D367" t="s">
        <v>27</v>
      </c>
      <c r="E367" t="s">
        <v>100</v>
      </c>
      <c r="F367" t="s">
        <v>101</v>
      </c>
      <c r="G367">
        <v>254</v>
      </c>
      <c r="H367" t="s">
        <v>102</v>
      </c>
      <c r="I367" t="s">
        <v>103</v>
      </c>
      <c r="J367" t="s">
        <v>157</v>
      </c>
      <c r="K367">
        <v>1710</v>
      </c>
      <c r="L367">
        <v>171000</v>
      </c>
      <c r="M367" t="s">
        <v>158</v>
      </c>
      <c r="N367" s="98">
        <v>-45399</v>
      </c>
      <c r="O367" s="98">
        <v>-62611</v>
      </c>
      <c r="P367" s="98">
        <v>17212</v>
      </c>
      <c r="Q367" s="98">
        <v>-17212</v>
      </c>
    </row>
    <row r="368" spans="1:17" x14ac:dyDescent="0.35">
      <c r="A368" t="s">
        <v>116</v>
      </c>
      <c r="B368" t="s">
        <v>117</v>
      </c>
      <c r="C368">
        <v>7</v>
      </c>
      <c r="D368" t="s">
        <v>27</v>
      </c>
      <c r="E368" t="s">
        <v>100</v>
      </c>
      <c r="F368" t="s">
        <v>101</v>
      </c>
      <c r="G368">
        <v>254</v>
      </c>
      <c r="H368" t="s">
        <v>102</v>
      </c>
      <c r="I368" t="s">
        <v>103</v>
      </c>
      <c r="J368" t="s">
        <v>157</v>
      </c>
      <c r="K368">
        <v>1710</v>
      </c>
      <c r="L368">
        <v>171000</v>
      </c>
      <c r="M368" t="s">
        <v>158</v>
      </c>
      <c r="N368" s="98">
        <v>-45399</v>
      </c>
      <c r="O368" s="98">
        <v>-66066</v>
      </c>
      <c r="P368" s="98">
        <v>20667</v>
      </c>
      <c r="Q368" s="98">
        <v>-20667</v>
      </c>
    </row>
    <row r="369" spans="1:17" x14ac:dyDescent="0.35">
      <c r="A369" t="s">
        <v>118</v>
      </c>
      <c r="B369" t="s">
        <v>119</v>
      </c>
      <c r="C369">
        <v>8</v>
      </c>
      <c r="D369" t="s">
        <v>27</v>
      </c>
      <c r="E369" t="s">
        <v>100</v>
      </c>
      <c r="F369" t="s">
        <v>101</v>
      </c>
      <c r="G369">
        <v>254</v>
      </c>
      <c r="H369" t="s">
        <v>102</v>
      </c>
      <c r="I369" t="s">
        <v>103</v>
      </c>
      <c r="J369" t="s">
        <v>157</v>
      </c>
      <c r="K369">
        <v>1710</v>
      </c>
      <c r="L369">
        <v>171000</v>
      </c>
      <c r="M369" t="s">
        <v>158</v>
      </c>
      <c r="N369" s="98">
        <v>-45399</v>
      </c>
      <c r="O369" s="98">
        <v>-36621</v>
      </c>
      <c r="P369" s="98">
        <v>-8778</v>
      </c>
      <c r="Q369" s="98">
        <v>8778</v>
      </c>
    </row>
    <row r="370" spans="1:17" x14ac:dyDescent="0.35">
      <c r="A370" t="s">
        <v>120</v>
      </c>
      <c r="B370" t="s">
        <v>121</v>
      </c>
      <c r="C370">
        <v>9</v>
      </c>
      <c r="D370" t="s">
        <v>30</v>
      </c>
      <c r="E370" t="s">
        <v>5</v>
      </c>
      <c r="F370" t="s">
        <v>101</v>
      </c>
      <c r="G370">
        <v>254</v>
      </c>
      <c r="H370" t="s">
        <v>102</v>
      </c>
      <c r="I370" t="s">
        <v>103</v>
      </c>
      <c r="J370" t="s">
        <v>157</v>
      </c>
      <c r="K370">
        <v>1710</v>
      </c>
      <c r="L370">
        <v>171000</v>
      </c>
      <c r="M370" t="s">
        <v>158</v>
      </c>
      <c r="N370" s="98">
        <v>-45399</v>
      </c>
      <c r="O370" s="98">
        <v>0</v>
      </c>
      <c r="P370" s="98">
        <v>0</v>
      </c>
      <c r="Q370" s="98">
        <v>45399</v>
      </c>
    </row>
    <row r="371" spans="1:17" x14ac:dyDescent="0.35">
      <c r="A371" t="s">
        <v>122</v>
      </c>
      <c r="B371" t="s">
        <v>123</v>
      </c>
      <c r="C371">
        <v>10</v>
      </c>
      <c r="D371" t="s">
        <v>30</v>
      </c>
      <c r="E371" t="s">
        <v>5</v>
      </c>
      <c r="F371" t="s">
        <v>101</v>
      </c>
      <c r="G371">
        <v>254</v>
      </c>
      <c r="H371" t="s">
        <v>102</v>
      </c>
      <c r="I371" t="s">
        <v>103</v>
      </c>
      <c r="J371" t="s">
        <v>157</v>
      </c>
      <c r="K371">
        <v>1710</v>
      </c>
      <c r="L371">
        <v>171000</v>
      </c>
      <c r="M371" t="s">
        <v>158</v>
      </c>
      <c r="N371" s="98">
        <v>-45399</v>
      </c>
      <c r="O371" s="98">
        <v>0</v>
      </c>
      <c r="P371" s="98">
        <v>0</v>
      </c>
      <c r="Q371" s="98">
        <v>45399</v>
      </c>
    </row>
    <row r="372" spans="1:17" x14ac:dyDescent="0.35">
      <c r="A372" t="s">
        <v>124</v>
      </c>
      <c r="B372" t="s">
        <v>125</v>
      </c>
      <c r="C372">
        <v>11</v>
      </c>
      <c r="D372" t="s">
        <v>30</v>
      </c>
      <c r="E372" t="s">
        <v>5</v>
      </c>
      <c r="F372" t="s">
        <v>101</v>
      </c>
      <c r="G372">
        <v>254</v>
      </c>
      <c r="H372" t="s">
        <v>102</v>
      </c>
      <c r="I372" t="s">
        <v>103</v>
      </c>
      <c r="J372" t="s">
        <v>157</v>
      </c>
      <c r="K372">
        <v>1710</v>
      </c>
      <c r="L372">
        <v>171000</v>
      </c>
      <c r="M372" t="s">
        <v>158</v>
      </c>
      <c r="N372" s="98">
        <v>-45399</v>
      </c>
      <c r="O372" s="98">
        <v>0</v>
      </c>
      <c r="P372" s="98">
        <v>0</v>
      </c>
      <c r="Q372" s="98">
        <v>45399</v>
      </c>
    </row>
    <row r="373" spans="1:17" x14ac:dyDescent="0.35">
      <c r="A373" t="s">
        <v>126</v>
      </c>
      <c r="B373" t="s">
        <v>127</v>
      </c>
      <c r="C373">
        <v>12</v>
      </c>
      <c r="D373" t="s">
        <v>30</v>
      </c>
      <c r="E373" t="s">
        <v>5</v>
      </c>
      <c r="F373" t="s">
        <v>101</v>
      </c>
      <c r="G373">
        <v>254</v>
      </c>
      <c r="H373" t="s">
        <v>102</v>
      </c>
      <c r="I373" t="s">
        <v>103</v>
      </c>
      <c r="J373" t="s">
        <v>157</v>
      </c>
      <c r="K373">
        <v>1710</v>
      </c>
      <c r="L373">
        <v>171000</v>
      </c>
      <c r="M373" t="s">
        <v>158</v>
      </c>
      <c r="N373" s="98">
        <v>-45611</v>
      </c>
      <c r="O373" s="98">
        <v>0</v>
      </c>
      <c r="P373" s="98">
        <v>0</v>
      </c>
      <c r="Q373" s="98">
        <v>45611</v>
      </c>
    </row>
    <row r="374" spans="1:17" x14ac:dyDescent="0.35">
      <c r="A374" t="s">
        <v>98</v>
      </c>
      <c r="B374" t="s">
        <v>99</v>
      </c>
      <c r="C374">
        <v>1</v>
      </c>
      <c r="D374" t="s">
        <v>23</v>
      </c>
      <c r="E374" t="s">
        <v>100</v>
      </c>
      <c r="F374" t="s">
        <v>101</v>
      </c>
      <c r="G374">
        <v>254</v>
      </c>
      <c r="H374" t="s">
        <v>102</v>
      </c>
      <c r="I374" t="s">
        <v>103</v>
      </c>
      <c r="J374" t="s">
        <v>157</v>
      </c>
      <c r="K374">
        <v>1710</v>
      </c>
      <c r="L374">
        <v>171005</v>
      </c>
      <c r="M374" t="s">
        <v>159</v>
      </c>
      <c r="N374" s="98">
        <v>-44149</v>
      </c>
      <c r="O374" s="98">
        <v>0</v>
      </c>
      <c r="P374" s="98">
        <v>-44149</v>
      </c>
      <c r="Q374" s="98">
        <v>44149</v>
      </c>
    </row>
    <row r="375" spans="1:17" x14ac:dyDescent="0.35">
      <c r="A375" t="s">
        <v>106</v>
      </c>
      <c r="B375" t="s">
        <v>107</v>
      </c>
      <c r="C375">
        <v>2</v>
      </c>
      <c r="D375" t="s">
        <v>23</v>
      </c>
      <c r="E375" t="s">
        <v>100</v>
      </c>
      <c r="F375" t="s">
        <v>101</v>
      </c>
      <c r="G375">
        <v>254</v>
      </c>
      <c r="H375" t="s">
        <v>102</v>
      </c>
      <c r="I375" t="s">
        <v>103</v>
      </c>
      <c r="J375" t="s">
        <v>157</v>
      </c>
      <c r="K375">
        <v>1710</v>
      </c>
      <c r="L375">
        <v>171005</v>
      </c>
      <c r="M375" t="s">
        <v>159</v>
      </c>
      <c r="N375" s="98">
        <v>-44149</v>
      </c>
      <c r="O375" s="98">
        <v>-3928</v>
      </c>
      <c r="P375" s="98">
        <v>-40221</v>
      </c>
      <c r="Q375" s="98">
        <v>40221</v>
      </c>
    </row>
    <row r="376" spans="1:17" x14ac:dyDescent="0.35">
      <c r="A376" t="s">
        <v>108</v>
      </c>
      <c r="B376" t="s">
        <v>109</v>
      </c>
      <c r="C376">
        <v>3</v>
      </c>
      <c r="D376" t="s">
        <v>23</v>
      </c>
      <c r="E376" t="s">
        <v>100</v>
      </c>
      <c r="F376" t="s">
        <v>101</v>
      </c>
      <c r="G376">
        <v>254</v>
      </c>
      <c r="H376" t="s">
        <v>102</v>
      </c>
      <c r="I376" t="s">
        <v>103</v>
      </c>
      <c r="J376" t="s">
        <v>157</v>
      </c>
      <c r="K376">
        <v>1710</v>
      </c>
      <c r="L376">
        <v>171005</v>
      </c>
      <c r="M376" t="s">
        <v>159</v>
      </c>
      <c r="N376" s="98">
        <v>-44149</v>
      </c>
      <c r="O376" s="98">
        <v>-72352</v>
      </c>
      <c r="P376" s="98">
        <v>28203</v>
      </c>
      <c r="Q376" s="98">
        <v>-28203</v>
      </c>
    </row>
    <row r="377" spans="1:17" x14ac:dyDescent="0.35">
      <c r="A377" t="s">
        <v>110</v>
      </c>
      <c r="B377" t="s">
        <v>111</v>
      </c>
      <c r="C377">
        <v>4</v>
      </c>
      <c r="D377" t="s">
        <v>23</v>
      </c>
      <c r="E377" t="s">
        <v>100</v>
      </c>
      <c r="F377" t="s">
        <v>101</v>
      </c>
      <c r="G377">
        <v>254</v>
      </c>
      <c r="H377" t="s">
        <v>102</v>
      </c>
      <c r="I377" t="s">
        <v>103</v>
      </c>
      <c r="J377" t="s">
        <v>157</v>
      </c>
      <c r="K377">
        <v>1710</v>
      </c>
      <c r="L377">
        <v>171005</v>
      </c>
      <c r="M377" t="s">
        <v>159</v>
      </c>
      <c r="N377" s="98">
        <v>-44149</v>
      </c>
      <c r="O377" s="98">
        <v>-34750</v>
      </c>
      <c r="P377" s="98">
        <v>-9399</v>
      </c>
      <c r="Q377" s="98">
        <v>9399</v>
      </c>
    </row>
    <row r="378" spans="1:17" x14ac:dyDescent="0.35">
      <c r="A378" t="s">
        <v>112</v>
      </c>
      <c r="B378" t="s">
        <v>113</v>
      </c>
      <c r="C378">
        <v>5</v>
      </c>
      <c r="D378" t="s">
        <v>27</v>
      </c>
      <c r="E378" t="s">
        <v>100</v>
      </c>
      <c r="F378" t="s">
        <v>101</v>
      </c>
      <c r="G378">
        <v>254</v>
      </c>
      <c r="H378" t="s">
        <v>102</v>
      </c>
      <c r="I378" t="s">
        <v>103</v>
      </c>
      <c r="J378" t="s">
        <v>157</v>
      </c>
      <c r="K378">
        <v>1710</v>
      </c>
      <c r="L378">
        <v>171005</v>
      </c>
      <c r="M378" t="s">
        <v>159</v>
      </c>
      <c r="N378" s="98">
        <v>-44149</v>
      </c>
      <c r="O378" s="98">
        <v>-91375</v>
      </c>
      <c r="P378" s="98">
        <v>47226</v>
      </c>
      <c r="Q378" s="98">
        <v>-47226</v>
      </c>
    </row>
    <row r="379" spans="1:17" x14ac:dyDescent="0.35">
      <c r="A379" t="s">
        <v>114</v>
      </c>
      <c r="B379" t="s">
        <v>115</v>
      </c>
      <c r="C379">
        <v>6</v>
      </c>
      <c r="D379" t="s">
        <v>27</v>
      </c>
      <c r="E379" t="s">
        <v>100</v>
      </c>
      <c r="F379" t="s">
        <v>101</v>
      </c>
      <c r="G379">
        <v>254</v>
      </c>
      <c r="H379" t="s">
        <v>102</v>
      </c>
      <c r="I379" t="s">
        <v>103</v>
      </c>
      <c r="J379" t="s">
        <v>157</v>
      </c>
      <c r="K379">
        <v>1710</v>
      </c>
      <c r="L379">
        <v>171005</v>
      </c>
      <c r="M379" t="s">
        <v>159</v>
      </c>
      <c r="N379" s="98">
        <v>-44150</v>
      </c>
      <c r="O379" s="98">
        <v>-49830</v>
      </c>
      <c r="P379" s="98">
        <v>5680</v>
      </c>
      <c r="Q379" s="98">
        <v>-5680</v>
      </c>
    </row>
    <row r="380" spans="1:17" x14ac:dyDescent="0.35">
      <c r="A380" t="s">
        <v>116</v>
      </c>
      <c r="B380" t="s">
        <v>117</v>
      </c>
      <c r="C380">
        <v>7</v>
      </c>
      <c r="D380" t="s">
        <v>27</v>
      </c>
      <c r="E380" t="s">
        <v>100</v>
      </c>
      <c r="F380" t="s">
        <v>101</v>
      </c>
      <c r="G380">
        <v>254</v>
      </c>
      <c r="H380" t="s">
        <v>102</v>
      </c>
      <c r="I380" t="s">
        <v>103</v>
      </c>
      <c r="J380" t="s">
        <v>157</v>
      </c>
      <c r="K380">
        <v>1710</v>
      </c>
      <c r="L380">
        <v>171005</v>
      </c>
      <c r="M380" t="s">
        <v>159</v>
      </c>
      <c r="N380" s="98">
        <v>-44149</v>
      </c>
      <c r="O380" s="98">
        <v>-49529</v>
      </c>
      <c r="P380" s="98">
        <v>5380</v>
      </c>
      <c r="Q380" s="98">
        <v>-5380</v>
      </c>
    </row>
    <row r="381" spans="1:17" x14ac:dyDescent="0.35">
      <c r="A381" t="s">
        <v>118</v>
      </c>
      <c r="B381" t="s">
        <v>119</v>
      </c>
      <c r="C381">
        <v>8</v>
      </c>
      <c r="D381" t="s">
        <v>27</v>
      </c>
      <c r="E381" t="s">
        <v>100</v>
      </c>
      <c r="F381" t="s">
        <v>101</v>
      </c>
      <c r="G381">
        <v>254</v>
      </c>
      <c r="H381" t="s">
        <v>102</v>
      </c>
      <c r="I381" t="s">
        <v>103</v>
      </c>
      <c r="J381" t="s">
        <v>157</v>
      </c>
      <c r="K381">
        <v>1710</v>
      </c>
      <c r="L381">
        <v>171005</v>
      </c>
      <c r="M381" t="s">
        <v>159</v>
      </c>
      <c r="N381" s="98">
        <v>-44149</v>
      </c>
      <c r="O381" s="98">
        <v>-59548</v>
      </c>
      <c r="P381" s="98">
        <v>15399</v>
      </c>
      <c r="Q381" s="98">
        <v>-15399</v>
      </c>
    </row>
    <row r="382" spans="1:17" x14ac:dyDescent="0.35">
      <c r="A382" t="s">
        <v>120</v>
      </c>
      <c r="B382" t="s">
        <v>121</v>
      </c>
      <c r="C382">
        <v>9</v>
      </c>
      <c r="D382" t="s">
        <v>30</v>
      </c>
      <c r="E382" t="s">
        <v>5</v>
      </c>
      <c r="F382" t="s">
        <v>101</v>
      </c>
      <c r="G382">
        <v>254</v>
      </c>
      <c r="H382" t="s">
        <v>102</v>
      </c>
      <c r="I382" t="s">
        <v>103</v>
      </c>
      <c r="J382" t="s">
        <v>157</v>
      </c>
      <c r="K382">
        <v>1710</v>
      </c>
      <c r="L382">
        <v>171005</v>
      </c>
      <c r="M382" t="s">
        <v>159</v>
      </c>
      <c r="N382" s="98">
        <v>-44149</v>
      </c>
      <c r="O382" s="98">
        <v>0</v>
      </c>
      <c r="P382" s="98">
        <v>0</v>
      </c>
      <c r="Q382" s="98">
        <v>44149</v>
      </c>
    </row>
    <row r="383" spans="1:17" x14ac:dyDescent="0.35">
      <c r="A383" t="s">
        <v>122</v>
      </c>
      <c r="B383" t="s">
        <v>123</v>
      </c>
      <c r="C383">
        <v>10</v>
      </c>
      <c r="D383" t="s">
        <v>30</v>
      </c>
      <c r="E383" t="s">
        <v>5</v>
      </c>
      <c r="F383" t="s">
        <v>101</v>
      </c>
      <c r="G383">
        <v>254</v>
      </c>
      <c r="H383" t="s">
        <v>102</v>
      </c>
      <c r="I383" t="s">
        <v>103</v>
      </c>
      <c r="J383" t="s">
        <v>157</v>
      </c>
      <c r="K383">
        <v>1710</v>
      </c>
      <c r="L383">
        <v>171005</v>
      </c>
      <c r="M383" t="s">
        <v>159</v>
      </c>
      <c r="N383" s="98">
        <v>-44149</v>
      </c>
      <c r="O383" s="98">
        <v>0</v>
      </c>
      <c r="P383" s="98">
        <v>0</v>
      </c>
      <c r="Q383" s="98">
        <v>44149</v>
      </c>
    </row>
    <row r="384" spans="1:17" x14ac:dyDescent="0.35">
      <c r="A384" t="s">
        <v>124</v>
      </c>
      <c r="B384" t="s">
        <v>125</v>
      </c>
      <c r="C384">
        <v>11</v>
      </c>
      <c r="D384" t="s">
        <v>30</v>
      </c>
      <c r="E384" t="s">
        <v>5</v>
      </c>
      <c r="F384" t="s">
        <v>101</v>
      </c>
      <c r="G384">
        <v>254</v>
      </c>
      <c r="H384" t="s">
        <v>102</v>
      </c>
      <c r="I384" t="s">
        <v>103</v>
      </c>
      <c r="J384" t="s">
        <v>157</v>
      </c>
      <c r="K384">
        <v>1710</v>
      </c>
      <c r="L384">
        <v>171005</v>
      </c>
      <c r="M384" t="s">
        <v>159</v>
      </c>
      <c r="N384" s="98">
        <v>-44149</v>
      </c>
      <c r="O384" s="98">
        <v>0</v>
      </c>
      <c r="P384" s="98">
        <v>0</v>
      </c>
      <c r="Q384" s="98">
        <v>44149</v>
      </c>
    </row>
    <row r="385" spans="1:17" x14ac:dyDescent="0.35">
      <c r="A385" t="s">
        <v>126</v>
      </c>
      <c r="B385" t="s">
        <v>127</v>
      </c>
      <c r="C385">
        <v>12</v>
      </c>
      <c r="D385" t="s">
        <v>30</v>
      </c>
      <c r="E385" t="s">
        <v>5</v>
      </c>
      <c r="F385" t="s">
        <v>101</v>
      </c>
      <c r="G385">
        <v>254</v>
      </c>
      <c r="H385" t="s">
        <v>102</v>
      </c>
      <c r="I385" t="s">
        <v>103</v>
      </c>
      <c r="J385" t="s">
        <v>157</v>
      </c>
      <c r="K385">
        <v>1710</v>
      </c>
      <c r="L385">
        <v>171005</v>
      </c>
      <c r="M385" t="s">
        <v>159</v>
      </c>
      <c r="N385" s="98">
        <v>-44360</v>
      </c>
      <c r="O385" s="98">
        <v>0</v>
      </c>
      <c r="P385" s="98">
        <v>0</v>
      </c>
      <c r="Q385" s="98">
        <v>44360</v>
      </c>
    </row>
    <row r="386" spans="1:17" x14ac:dyDescent="0.35">
      <c r="A386" t="s">
        <v>98</v>
      </c>
      <c r="B386" t="s">
        <v>99</v>
      </c>
      <c r="C386">
        <v>1</v>
      </c>
      <c r="D386" t="s">
        <v>23</v>
      </c>
      <c r="E386" t="s">
        <v>100</v>
      </c>
      <c r="F386" t="s">
        <v>101</v>
      </c>
      <c r="G386">
        <v>254</v>
      </c>
      <c r="H386" t="s">
        <v>102</v>
      </c>
      <c r="I386" t="s">
        <v>160</v>
      </c>
      <c r="J386" t="s">
        <v>157</v>
      </c>
      <c r="K386">
        <v>1100</v>
      </c>
      <c r="L386">
        <v>110000</v>
      </c>
      <c r="M386" t="s">
        <v>161</v>
      </c>
      <c r="N386" s="98">
        <v>1000</v>
      </c>
      <c r="O386" s="98">
        <v>412.8</v>
      </c>
      <c r="P386" s="98">
        <v>587.20000000000005</v>
      </c>
      <c r="Q386" s="98">
        <v>-587.20000000000005</v>
      </c>
    </row>
    <row r="387" spans="1:17" x14ac:dyDescent="0.35">
      <c r="A387" t="s">
        <v>106</v>
      </c>
      <c r="B387" t="s">
        <v>107</v>
      </c>
      <c r="C387">
        <v>2</v>
      </c>
      <c r="D387" t="s">
        <v>23</v>
      </c>
      <c r="E387" t="s">
        <v>100</v>
      </c>
      <c r="F387" t="s">
        <v>101</v>
      </c>
      <c r="G387">
        <v>254</v>
      </c>
      <c r="H387" t="s">
        <v>102</v>
      </c>
      <c r="I387" t="s">
        <v>160</v>
      </c>
      <c r="J387" t="s">
        <v>157</v>
      </c>
      <c r="K387">
        <v>1100</v>
      </c>
      <c r="L387">
        <v>110000</v>
      </c>
      <c r="M387" t="s">
        <v>161</v>
      </c>
      <c r="N387" s="98">
        <v>1000</v>
      </c>
      <c r="O387" s="98">
        <v>609.30999999999995</v>
      </c>
      <c r="P387" s="98">
        <v>390.69</v>
      </c>
      <c r="Q387" s="98">
        <v>-390.69</v>
      </c>
    </row>
    <row r="388" spans="1:17" x14ac:dyDescent="0.35">
      <c r="A388" t="s">
        <v>108</v>
      </c>
      <c r="B388" t="s">
        <v>109</v>
      </c>
      <c r="C388">
        <v>3</v>
      </c>
      <c r="D388" t="s">
        <v>23</v>
      </c>
      <c r="E388" t="s">
        <v>100</v>
      </c>
      <c r="F388" t="s">
        <v>101</v>
      </c>
      <c r="G388">
        <v>254</v>
      </c>
      <c r="H388" t="s">
        <v>102</v>
      </c>
      <c r="I388" t="s">
        <v>160</v>
      </c>
      <c r="J388" t="s">
        <v>157</v>
      </c>
      <c r="K388">
        <v>1100</v>
      </c>
      <c r="L388">
        <v>110000</v>
      </c>
      <c r="M388" t="s">
        <v>161</v>
      </c>
      <c r="N388" s="98">
        <v>1000</v>
      </c>
      <c r="O388" s="98">
        <v>1262.18</v>
      </c>
      <c r="P388" s="98">
        <v>-262.18</v>
      </c>
      <c r="Q388" s="98">
        <v>262.18</v>
      </c>
    </row>
    <row r="389" spans="1:17" x14ac:dyDescent="0.35">
      <c r="A389" t="s">
        <v>110</v>
      </c>
      <c r="B389" t="s">
        <v>111</v>
      </c>
      <c r="C389">
        <v>4</v>
      </c>
      <c r="D389" t="s">
        <v>23</v>
      </c>
      <c r="E389" t="s">
        <v>100</v>
      </c>
      <c r="F389" t="s">
        <v>101</v>
      </c>
      <c r="G389">
        <v>254</v>
      </c>
      <c r="H389" t="s">
        <v>102</v>
      </c>
      <c r="I389" t="s">
        <v>160</v>
      </c>
      <c r="J389" t="s">
        <v>157</v>
      </c>
      <c r="K389">
        <v>1100</v>
      </c>
      <c r="L389">
        <v>110000</v>
      </c>
      <c r="M389" t="s">
        <v>161</v>
      </c>
      <c r="N389" s="98">
        <v>1000</v>
      </c>
      <c r="O389" s="98">
        <v>564.9</v>
      </c>
      <c r="P389" s="98">
        <v>435.1</v>
      </c>
      <c r="Q389" s="98">
        <v>-435.1</v>
      </c>
    </row>
    <row r="390" spans="1:17" x14ac:dyDescent="0.35">
      <c r="A390" t="s">
        <v>112</v>
      </c>
      <c r="B390" t="s">
        <v>113</v>
      </c>
      <c r="C390">
        <v>5</v>
      </c>
      <c r="D390" t="s">
        <v>27</v>
      </c>
      <c r="E390" t="s">
        <v>100</v>
      </c>
      <c r="F390" t="s">
        <v>101</v>
      </c>
      <c r="G390">
        <v>254</v>
      </c>
      <c r="H390" t="s">
        <v>102</v>
      </c>
      <c r="I390" t="s">
        <v>160</v>
      </c>
      <c r="J390" t="s">
        <v>157</v>
      </c>
      <c r="K390">
        <v>1100</v>
      </c>
      <c r="L390">
        <v>110000</v>
      </c>
      <c r="M390" t="s">
        <v>161</v>
      </c>
      <c r="N390" s="98">
        <v>1000</v>
      </c>
      <c r="O390" s="98">
        <v>0</v>
      </c>
      <c r="P390" s="98">
        <v>1000</v>
      </c>
      <c r="Q390" s="98">
        <v>-1000</v>
      </c>
    </row>
    <row r="391" spans="1:17" x14ac:dyDescent="0.35">
      <c r="A391" t="s">
        <v>114</v>
      </c>
      <c r="B391" t="s">
        <v>115</v>
      </c>
      <c r="C391">
        <v>6</v>
      </c>
      <c r="D391" t="s">
        <v>27</v>
      </c>
      <c r="E391" t="s">
        <v>100</v>
      </c>
      <c r="F391" t="s">
        <v>101</v>
      </c>
      <c r="G391">
        <v>254</v>
      </c>
      <c r="H391" t="s">
        <v>102</v>
      </c>
      <c r="I391" t="s">
        <v>160</v>
      </c>
      <c r="J391" t="s">
        <v>157</v>
      </c>
      <c r="K391">
        <v>1100</v>
      </c>
      <c r="L391">
        <v>110000</v>
      </c>
      <c r="M391" t="s">
        <v>161</v>
      </c>
      <c r="N391" s="98">
        <v>1000</v>
      </c>
      <c r="O391" s="98">
        <v>813.95</v>
      </c>
      <c r="P391" s="98">
        <v>186.05</v>
      </c>
      <c r="Q391" s="98">
        <v>-186.05</v>
      </c>
    </row>
    <row r="392" spans="1:17" x14ac:dyDescent="0.35">
      <c r="A392" t="s">
        <v>116</v>
      </c>
      <c r="B392" t="s">
        <v>117</v>
      </c>
      <c r="C392">
        <v>7</v>
      </c>
      <c r="D392" t="s">
        <v>27</v>
      </c>
      <c r="E392" t="s">
        <v>100</v>
      </c>
      <c r="F392" t="s">
        <v>101</v>
      </c>
      <c r="G392">
        <v>254</v>
      </c>
      <c r="H392" t="s">
        <v>102</v>
      </c>
      <c r="I392" t="s">
        <v>160</v>
      </c>
      <c r="J392" t="s">
        <v>157</v>
      </c>
      <c r="K392">
        <v>1100</v>
      </c>
      <c r="L392">
        <v>110000</v>
      </c>
      <c r="M392" t="s">
        <v>161</v>
      </c>
      <c r="N392" s="98">
        <v>1000</v>
      </c>
      <c r="O392" s="98">
        <v>0</v>
      </c>
      <c r="P392" s="98">
        <v>1000</v>
      </c>
      <c r="Q392" s="98">
        <v>-1000</v>
      </c>
    </row>
    <row r="393" spans="1:17" x14ac:dyDescent="0.35">
      <c r="A393" t="s">
        <v>118</v>
      </c>
      <c r="B393" t="s">
        <v>119</v>
      </c>
      <c r="C393">
        <v>8</v>
      </c>
      <c r="D393" t="s">
        <v>27</v>
      </c>
      <c r="E393" t="s">
        <v>100</v>
      </c>
      <c r="F393" t="s">
        <v>101</v>
      </c>
      <c r="G393">
        <v>254</v>
      </c>
      <c r="H393" t="s">
        <v>102</v>
      </c>
      <c r="I393" t="s">
        <v>160</v>
      </c>
      <c r="J393" t="s">
        <v>157</v>
      </c>
      <c r="K393">
        <v>1100</v>
      </c>
      <c r="L393">
        <v>110000</v>
      </c>
      <c r="M393" t="s">
        <v>161</v>
      </c>
      <c r="N393" s="98">
        <v>1000</v>
      </c>
      <c r="O393" s="98">
        <v>295.07</v>
      </c>
      <c r="P393" s="98">
        <v>704.93</v>
      </c>
      <c r="Q393" s="98">
        <v>-704.93</v>
      </c>
    </row>
    <row r="394" spans="1:17" x14ac:dyDescent="0.35">
      <c r="A394" t="s">
        <v>120</v>
      </c>
      <c r="B394" t="s">
        <v>121</v>
      </c>
      <c r="C394">
        <v>9</v>
      </c>
      <c r="D394" t="s">
        <v>30</v>
      </c>
      <c r="E394" t="s">
        <v>5</v>
      </c>
      <c r="F394" t="s">
        <v>101</v>
      </c>
      <c r="G394">
        <v>254</v>
      </c>
      <c r="H394" t="s">
        <v>102</v>
      </c>
      <c r="I394" t="s">
        <v>160</v>
      </c>
      <c r="J394" t="s">
        <v>157</v>
      </c>
      <c r="K394">
        <v>1100</v>
      </c>
      <c r="L394">
        <v>110000</v>
      </c>
      <c r="M394" t="s">
        <v>161</v>
      </c>
      <c r="N394" s="98">
        <v>1000</v>
      </c>
      <c r="O394" s="98">
        <v>0</v>
      </c>
      <c r="P394" s="98">
        <v>0</v>
      </c>
      <c r="Q394" s="98">
        <v>-1000</v>
      </c>
    </row>
    <row r="395" spans="1:17" x14ac:dyDescent="0.35">
      <c r="A395" t="s">
        <v>122</v>
      </c>
      <c r="B395" t="s">
        <v>123</v>
      </c>
      <c r="C395">
        <v>10</v>
      </c>
      <c r="D395" t="s">
        <v>30</v>
      </c>
      <c r="E395" t="s">
        <v>5</v>
      </c>
      <c r="F395" t="s">
        <v>101</v>
      </c>
      <c r="G395">
        <v>254</v>
      </c>
      <c r="H395" t="s">
        <v>102</v>
      </c>
      <c r="I395" t="s">
        <v>160</v>
      </c>
      <c r="J395" t="s">
        <v>157</v>
      </c>
      <c r="K395">
        <v>1100</v>
      </c>
      <c r="L395">
        <v>110000</v>
      </c>
      <c r="M395" t="s">
        <v>161</v>
      </c>
      <c r="N395" s="98">
        <v>1000</v>
      </c>
      <c r="O395" s="98">
        <v>0</v>
      </c>
      <c r="P395" s="98">
        <v>0</v>
      </c>
      <c r="Q395" s="98">
        <v>-1000</v>
      </c>
    </row>
    <row r="396" spans="1:17" x14ac:dyDescent="0.35">
      <c r="A396" t="s">
        <v>124</v>
      </c>
      <c r="B396" t="s">
        <v>125</v>
      </c>
      <c r="C396">
        <v>11</v>
      </c>
      <c r="D396" t="s">
        <v>30</v>
      </c>
      <c r="E396" t="s">
        <v>5</v>
      </c>
      <c r="F396" t="s">
        <v>101</v>
      </c>
      <c r="G396">
        <v>254</v>
      </c>
      <c r="H396" t="s">
        <v>102</v>
      </c>
      <c r="I396" t="s">
        <v>160</v>
      </c>
      <c r="J396" t="s">
        <v>157</v>
      </c>
      <c r="K396">
        <v>1100</v>
      </c>
      <c r="L396">
        <v>110000</v>
      </c>
      <c r="M396" t="s">
        <v>161</v>
      </c>
      <c r="N396" s="98">
        <v>1000</v>
      </c>
      <c r="O396" s="98">
        <v>0</v>
      </c>
      <c r="P396" s="98">
        <v>0</v>
      </c>
      <c r="Q396" s="98">
        <v>-1000</v>
      </c>
    </row>
    <row r="397" spans="1:17" x14ac:dyDescent="0.35">
      <c r="A397" t="s">
        <v>126</v>
      </c>
      <c r="B397" t="s">
        <v>127</v>
      </c>
      <c r="C397">
        <v>12</v>
      </c>
      <c r="D397" t="s">
        <v>30</v>
      </c>
      <c r="E397" t="s">
        <v>5</v>
      </c>
      <c r="F397" t="s">
        <v>101</v>
      </c>
      <c r="G397">
        <v>254</v>
      </c>
      <c r="H397" t="s">
        <v>102</v>
      </c>
      <c r="I397" t="s">
        <v>160</v>
      </c>
      <c r="J397" t="s">
        <v>157</v>
      </c>
      <c r="K397">
        <v>1100</v>
      </c>
      <c r="L397">
        <v>110000</v>
      </c>
      <c r="M397" t="s">
        <v>161</v>
      </c>
      <c r="N397" s="98">
        <v>1000</v>
      </c>
      <c r="O397" s="98">
        <v>0</v>
      </c>
      <c r="P397" s="98">
        <v>0</v>
      </c>
      <c r="Q397" s="98">
        <v>-1000</v>
      </c>
    </row>
    <row r="398" spans="1:17" x14ac:dyDescent="0.35">
      <c r="A398" t="s">
        <v>98</v>
      </c>
      <c r="B398" t="s">
        <v>99</v>
      </c>
      <c r="C398">
        <v>1</v>
      </c>
      <c r="D398" t="s">
        <v>23</v>
      </c>
      <c r="E398" t="s">
        <v>100</v>
      </c>
      <c r="F398" t="s">
        <v>101</v>
      </c>
      <c r="G398">
        <v>254</v>
      </c>
      <c r="H398" t="s">
        <v>102</v>
      </c>
      <c r="I398" t="s">
        <v>160</v>
      </c>
      <c r="J398" t="s">
        <v>157</v>
      </c>
      <c r="K398">
        <v>1100</v>
      </c>
      <c r="L398">
        <v>110020</v>
      </c>
      <c r="M398" t="s">
        <v>162</v>
      </c>
      <c r="N398" s="98">
        <v>270</v>
      </c>
      <c r="O398" s="98">
        <v>0</v>
      </c>
      <c r="P398" s="98">
        <v>270</v>
      </c>
      <c r="Q398" s="98">
        <v>-270</v>
      </c>
    </row>
    <row r="399" spans="1:17" x14ac:dyDescent="0.35">
      <c r="A399" t="s">
        <v>106</v>
      </c>
      <c r="B399" t="s">
        <v>107</v>
      </c>
      <c r="C399">
        <v>2</v>
      </c>
      <c r="D399" t="s">
        <v>23</v>
      </c>
      <c r="E399" t="s">
        <v>100</v>
      </c>
      <c r="F399" t="s">
        <v>101</v>
      </c>
      <c r="G399">
        <v>254</v>
      </c>
      <c r="H399" t="s">
        <v>102</v>
      </c>
      <c r="I399" t="s">
        <v>160</v>
      </c>
      <c r="J399" t="s">
        <v>157</v>
      </c>
      <c r="K399">
        <v>1100</v>
      </c>
      <c r="L399">
        <v>110020</v>
      </c>
      <c r="M399" t="s">
        <v>162</v>
      </c>
      <c r="N399" s="98">
        <v>270</v>
      </c>
      <c r="O399" s="98">
        <v>0</v>
      </c>
      <c r="P399" s="98">
        <v>270</v>
      </c>
      <c r="Q399" s="98">
        <v>-270</v>
      </c>
    </row>
    <row r="400" spans="1:17" x14ac:dyDescent="0.35">
      <c r="A400" t="s">
        <v>108</v>
      </c>
      <c r="B400" t="s">
        <v>109</v>
      </c>
      <c r="C400">
        <v>3</v>
      </c>
      <c r="D400" t="s">
        <v>23</v>
      </c>
      <c r="E400" t="s">
        <v>100</v>
      </c>
      <c r="F400" t="s">
        <v>101</v>
      </c>
      <c r="G400">
        <v>254</v>
      </c>
      <c r="H400" t="s">
        <v>102</v>
      </c>
      <c r="I400" t="s">
        <v>160</v>
      </c>
      <c r="J400" t="s">
        <v>157</v>
      </c>
      <c r="K400">
        <v>1100</v>
      </c>
      <c r="L400">
        <v>110020</v>
      </c>
      <c r="M400" t="s">
        <v>162</v>
      </c>
      <c r="N400" s="98">
        <v>270</v>
      </c>
      <c r="O400" s="98">
        <v>0</v>
      </c>
      <c r="P400" s="98">
        <v>270</v>
      </c>
      <c r="Q400" s="98">
        <v>-270</v>
      </c>
    </row>
    <row r="401" spans="1:17" x14ac:dyDescent="0.35">
      <c r="A401" t="s">
        <v>110</v>
      </c>
      <c r="B401" t="s">
        <v>111</v>
      </c>
      <c r="C401">
        <v>4</v>
      </c>
      <c r="D401" t="s">
        <v>23</v>
      </c>
      <c r="E401" t="s">
        <v>100</v>
      </c>
      <c r="F401" t="s">
        <v>101</v>
      </c>
      <c r="G401">
        <v>254</v>
      </c>
      <c r="H401" t="s">
        <v>102</v>
      </c>
      <c r="I401" t="s">
        <v>160</v>
      </c>
      <c r="J401" t="s">
        <v>157</v>
      </c>
      <c r="K401">
        <v>1100</v>
      </c>
      <c r="L401">
        <v>110020</v>
      </c>
      <c r="M401" t="s">
        <v>162</v>
      </c>
      <c r="N401" s="98">
        <v>270</v>
      </c>
      <c r="O401" s="98">
        <v>0</v>
      </c>
      <c r="P401" s="98">
        <v>270</v>
      </c>
      <c r="Q401" s="98">
        <v>-270</v>
      </c>
    </row>
    <row r="402" spans="1:17" x14ac:dyDescent="0.35">
      <c r="A402" t="s">
        <v>112</v>
      </c>
      <c r="B402" t="s">
        <v>113</v>
      </c>
      <c r="C402">
        <v>5</v>
      </c>
      <c r="D402" t="s">
        <v>27</v>
      </c>
      <c r="E402" t="s">
        <v>100</v>
      </c>
      <c r="F402" t="s">
        <v>101</v>
      </c>
      <c r="G402">
        <v>254</v>
      </c>
      <c r="H402" t="s">
        <v>102</v>
      </c>
      <c r="I402" t="s">
        <v>160</v>
      </c>
      <c r="J402" t="s">
        <v>157</v>
      </c>
      <c r="K402">
        <v>1100</v>
      </c>
      <c r="L402">
        <v>110020</v>
      </c>
      <c r="M402" t="s">
        <v>162</v>
      </c>
      <c r="N402" s="98">
        <v>270</v>
      </c>
      <c r="O402" s="98">
        <v>0</v>
      </c>
      <c r="P402" s="98">
        <v>270</v>
      </c>
      <c r="Q402" s="98">
        <v>-270</v>
      </c>
    </row>
    <row r="403" spans="1:17" x14ac:dyDescent="0.35">
      <c r="A403" t="s">
        <v>114</v>
      </c>
      <c r="B403" t="s">
        <v>115</v>
      </c>
      <c r="C403">
        <v>6</v>
      </c>
      <c r="D403" t="s">
        <v>27</v>
      </c>
      <c r="E403" t="s">
        <v>100</v>
      </c>
      <c r="F403" t="s">
        <v>101</v>
      </c>
      <c r="G403">
        <v>254</v>
      </c>
      <c r="H403" t="s">
        <v>102</v>
      </c>
      <c r="I403" t="s">
        <v>160</v>
      </c>
      <c r="J403" t="s">
        <v>157</v>
      </c>
      <c r="K403">
        <v>1100</v>
      </c>
      <c r="L403">
        <v>110020</v>
      </c>
      <c r="M403" t="s">
        <v>162</v>
      </c>
      <c r="N403" s="98">
        <v>270</v>
      </c>
      <c r="O403" s="98">
        <v>0</v>
      </c>
      <c r="P403" s="98">
        <v>270</v>
      </c>
      <c r="Q403" s="98">
        <v>-270</v>
      </c>
    </row>
    <row r="404" spans="1:17" x14ac:dyDescent="0.35">
      <c r="A404" t="s">
        <v>116</v>
      </c>
      <c r="B404" t="s">
        <v>117</v>
      </c>
      <c r="C404">
        <v>7</v>
      </c>
      <c r="D404" t="s">
        <v>27</v>
      </c>
      <c r="E404" t="s">
        <v>100</v>
      </c>
      <c r="F404" t="s">
        <v>101</v>
      </c>
      <c r="G404">
        <v>254</v>
      </c>
      <c r="H404" t="s">
        <v>102</v>
      </c>
      <c r="I404" t="s">
        <v>160</v>
      </c>
      <c r="J404" t="s">
        <v>157</v>
      </c>
      <c r="K404">
        <v>1100</v>
      </c>
      <c r="L404">
        <v>110020</v>
      </c>
      <c r="M404" t="s">
        <v>162</v>
      </c>
      <c r="N404" s="98">
        <v>270</v>
      </c>
      <c r="O404" s="98">
        <v>0</v>
      </c>
      <c r="P404" s="98">
        <v>270</v>
      </c>
      <c r="Q404" s="98">
        <v>-270</v>
      </c>
    </row>
    <row r="405" spans="1:17" x14ac:dyDescent="0.35">
      <c r="A405" t="s">
        <v>118</v>
      </c>
      <c r="B405" t="s">
        <v>119</v>
      </c>
      <c r="C405">
        <v>8</v>
      </c>
      <c r="D405" t="s">
        <v>27</v>
      </c>
      <c r="E405" t="s">
        <v>100</v>
      </c>
      <c r="F405" t="s">
        <v>101</v>
      </c>
      <c r="G405">
        <v>254</v>
      </c>
      <c r="H405" t="s">
        <v>102</v>
      </c>
      <c r="I405" t="s">
        <v>160</v>
      </c>
      <c r="J405" t="s">
        <v>157</v>
      </c>
      <c r="K405">
        <v>1100</v>
      </c>
      <c r="L405">
        <v>110020</v>
      </c>
      <c r="M405" t="s">
        <v>162</v>
      </c>
      <c r="N405" s="98">
        <v>270</v>
      </c>
      <c r="O405" s="98">
        <v>0</v>
      </c>
      <c r="P405" s="98">
        <v>270</v>
      </c>
      <c r="Q405" s="98">
        <v>-270</v>
      </c>
    </row>
    <row r="406" spans="1:17" x14ac:dyDescent="0.35">
      <c r="A406" t="s">
        <v>120</v>
      </c>
      <c r="B406" t="s">
        <v>121</v>
      </c>
      <c r="C406">
        <v>9</v>
      </c>
      <c r="D406" t="s">
        <v>30</v>
      </c>
      <c r="E406" t="s">
        <v>5</v>
      </c>
      <c r="F406" t="s">
        <v>101</v>
      </c>
      <c r="G406">
        <v>254</v>
      </c>
      <c r="H406" t="s">
        <v>102</v>
      </c>
      <c r="I406" t="s">
        <v>160</v>
      </c>
      <c r="J406" t="s">
        <v>157</v>
      </c>
      <c r="K406">
        <v>1100</v>
      </c>
      <c r="L406">
        <v>110020</v>
      </c>
      <c r="M406" t="s">
        <v>162</v>
      </c>
      <c r="N406" s="98">
        <v>270</v>
      </c>
      <c r="O406" s="98">
        <v>0</v>
      </c>
      <c r="P406" s="98">
        <v>0</v>
      </c>
      <c r="Q406" s="98">
        <v>-270</v>
      </c>
    </row>
    <row r="407" spans="1:17" x14ac:dyDescent="0.35">
      <c r="A407" t="s">
        <v>122</v>
      </c>
      <c r="B407" t="s">
        <v>123</v>
      </c>
      <c r="C407">
        <v>10</v>
      </c>
      <c r="D407" t="s">
        <v>30</v>
      </c>
      <c r="E407" t="s">
        <v>5</v>
      </c>
      <c r="F407" t="s">
        <v>101</v>
      </c>
      <c r="G407">
        <v>254</v>
      </c>
      <c r="H407" t="s">
        <v>102</v>
      </c>
      <c r="I407" t="s">
        <v>160</v>
      </c>
      <c r="J407" t="s">
        <v>157</v>
      </c>
      <c r="K407">
        <v>1100</v>
      </c>
      <c r="L407">
        <v>110020</v>
      </c>
      <c r="M407" t="s">
        <v>162</v>
      </c>
      <c r="N407" s="98">
        <v>270</v>
      </c>
      <c r="O407" s="98">
        <v>0</v>
      </c>
      <c r="P407" s="98">
        <v>0</v>
      </c>
      <c r="Q407" s="98">
        <v>-270</v>
      </c>
    </row>
    <row r="408" spans="1:17" x14ac:dyDescent="0.35">
      <c r="A408" t="s">
        <v>124</v>
      </c>
      <c r="B408" t="s">
        <v>125</v>
      </c>
      <c r="C408">
        <v>11</v>
      </c>
      <c r="D408" t="s">
        <v>30</v>
      </c>
      <c r="E408" t="s">
        <v>5</v>
      </c>
      <c r="F408" t="s">
        <v>101</v>
      </c>
      <c r="G408">
        <v>254</v>
      </c>
      <c r="H408" t="s">
        <v>102</v>
      </c>
      <c r="I408" t="s">
        <v>160</v>
      </c>
      <c r="J408" t="s">
        <v>157</v>
      </c>
      <c r="K408">
        <v>1100</v>
      </c>
      <c r="L408">
        <v>110020</v>
      </c>
      <c r="M408" t="s">
        <v>162</v>
      </c>
      <c r="N408" s="98">
        <v>270</v>
      </c>
      <c r="O408" s="98">
        <v>0</v>
      </c>
      <c r="P408" s="98">
        <v>0</v>
      </c>
      <c r="Q408" s="98">
        <v>-270</v>
      </c>
    </row>
    <row r="409" spans="1:17" x14ac:dyDescent="0.35">
      <c r="A409" t="s">
        <v>126</v>
      </c>
      <c r="B409" t="s">
        <v>127</v>
      </c>
      <c r="C409">
        <v>12</v>
      </c>
      <c r="D409" t="s">
        <v>30</v>
      </c>
      <c r="E409" t="s">
        <v>5</v>
      </c>
      <c r="F409" t="s">
        <v>101</v>
      </c>
      <c r="G409">
        <v>254</v>
      </c>
      <c r="H409" t="s">
        <v>102</v>
      </c>
      <c r="I409" t="s">
        <v>160</v>
      </c>
      <c r="J409" t="s">
        <v>157</v>
      </c>
      <c r="K409">
        <v>1100</v>
      </c>
      <c r="L409">
        <v>110020</v>
      </c>
      <c r="M409" t="s">
        <v>162</v>
      </c>
      <c r="N409" s="98">
        <v>30</v>
      </c>
      <c r="O409" s="98">
        <v>0</v>
      </c>
      <c r="P409" s="98">
        <v>0</v>
      </c>
      <c r="Q409" s="98">
        <v>-30</v>
      </c>
    </row>
    <row r="410" spans="1:17" x14ac:dyDescent="0.35">
      <c r="A410" t="s">
        <v>98</v>
      </c>
      <c r="B410" t="s">
        <v>99</v>
      </c>
      <c r="C410">
        <v>1</v>
      </c>
      <c r="D410" t="s">
        <v>23</v>
      </c>
      <c r="E410" t="s">
        <v>100</v>
      </c>
      <c r="F410" t="s">
        <v>101</v>
      </c>
      <c r="G410">
        <v>254</v>
      </c>
      <c r="H410" t="s">
        <v>102</v>
      </c>
      <c r="I410" t="s">
        <v>160</v>
      </c>
      <c r="J410" t="s">
        <v>157</v>
      </c>
      <c r="K410">
        <v>1110</v>
      </c>
      <c r="L410">
        <v>111000</v>
      </c>
      <c r="M410" t="s">
        <v>163</v>
      </c>
      <c r="N410" s="98">
        <v>2210</v>
      </c>
      <c r="O410" s="98">
        <v>2238.7399999999998</v>
      </c>
      <c r="P410" s="98">
        <v>-28.74</v>
      </c>
      <c r="Q410" s="98">
        <v>28.74</v>
      </c>
    </row>
    <row r="411" spans="1:17" x14ac:dyDescent="0.35">
      <c r="A411" t="s">
        <v>106</v>
      </c>
      <c r="B411" t="s">
        <v>107</v>
      </c>
      <c r="C411">
        <v>2</v>
      </c>
      <c r="D411" t="s">
        <v>23</v>
      </c>
      <c r="E411" t="s">
        <v>100</v>
      </c>
      <c r="F411" t="s">
        <v>101</v>
      </c>
      <c r="G411">
        <v>254</v>
      </c>
      <c r="H411" t="s">
        <v>102</v>
      </c>
      <c r="I411" t="s">
        <v>160</v>
      </c>
      <c r="J411" t="s">
        <v>157</v>
      </c>
      <c r="K411">
        <v>1110</v>
      </c>
      <c r="L411">
        <v>111000</v>
      </c>
      <c r="M411" t="s">
        <v>163</v>
      </c>
      <c r="N411" s="98">
        <v>2210</v>
      </c>
      <c r="O411" s="98">
        <v>3843.9</v>
      </c>
      <c r="P411" s="98">
        <v>-1633.9</v>
      </c>
      <c r="Q411" s="98">
        <v>1633.9</v>
      </c>
    </row>
    <row r="412" spans="1:17" x14ac:dyDescent="0.35">
      <c r="A412" t="s">
        <v>108</v>
      </c>
      <c r="B412" t="s">
        <v>109</v>
      </c>
      <c r="C412">
        <v>3</v>
      </c>
      <c r="D412" t="s">
        <v>23</v>
      </c>
      <c r="E412" t="s">
        <v>100</v>
      </c>
      <c r="F412" t="s">
        <v>101</v>
      </c>
      <c r="G412">
        <v>254</v>
      </c>
      <c r="H412" t="s">
        <v>102</v>
      </c>
      <c r="I412" t="s">
        <v>160</v>
      </c>
      <c r="J412" t="s">
        <v>157</v>
      </c>
      <c r="K412">
        <v>1110</v>
      </c>
      <c r="L412">
        <v>111000</v>
      </c>
      <c r="M412" t="s">
        <v>163</v>
      </c>
      <c r="N412" s="98">
        <v>2210</v>
      </c>
      <c r="O412" s="98">
        <v>0</v>
      </c>
      <c r="P412" s="98">
        <v>2210</v>
      </c>
      <c r="Q412" s="98">
        <v>-2210</v>
      </c>
    </row>
    <row r="413" spans="1:17" x14ac:dyDescent="0.35">
      <c r="A413" t="s">
        <v>110</v>
      </c>
      <c r="B413" t="s">
        <v>111</v>
      </c>
      <c r="C413">
        <v>4</v>
      </c>
      <c r="D413" t="s">
        <v>23</v>
      </c>
      <c r="E413" t="s">
        <v>100</v>
      </c>
      <c r="F413" t="s">
        <v>101</v>
      </c>
      <c r="G413">
        <v>254</v>
      </c>
      <c r="H413" t="s">
        <v>102</v>
      </c>
      <c r="I413" t="s">
        <v>160</v>
      </c>
      <c r="J413" t="s">
        <v>157</v>
      </c>
      <c r="K413">
        <v>1110</v>
      </c>
      <c r="L413">
        <v>111000</v>
      </c>
      <c r="M413" t="s">
        <v>163</v>
      </c>
      <c r="N413" s="98">
        <v>2210</v>
      </c>
      <c r="O413" s="98">
        <v>2060.1</v>
      </c>
      <c r="P413" s="98">
        <v>149.9</v>
      </c>
      <c r="Q413" s="98">
        <v>-149.9</v>
      </c>
    </row>
    <row r="414" spans="1:17" x14ac:dyDescent="0.35">
      <c r="A414" t="s">
        <v>112</v>
      </c>
      <c r="B414" t="s">
        <v>113</v>
      </c>
      <c r="C414">
        <v>5</v>
      </c>
      <c r="D414" t="s">
        <v>27</v>
      </c>
      <c r="E414" t="s">
        <v>100</v>
      </c>
      <c r="F414" t="s">
        <v>101</v>
      </c>
      <c r="G414">
        <v>254</v>
      </c>
      <c r="H414" t="s">
        <v>102</v>
      </c>
      <c r="I414" t="s">
        <v>160</v>
      </c>
      <c r="J414" t="s">
        <v>157</v>
      </c>
      <c r="K414">
        <v>1110</v>
      </c>
      <c r="L414">
        <v>111000</v>
      </c>
      <c r="M414" t="s">
        <v>163</v>
      </c>
      <c r="N414" s="98">
        <v>2210</v>
      </c>
      <c r="O414" s="98">
        <v>553.20000000000005</v>
      </c>
      <c r="P414" s="98">
        <v>1656.8</v>
      </c>
      <c r="Q414" s="98">
        <v>-1656.8</v>
      </c>
    </row>
    <row r="415" spans="1:17" x14ac:dyDescent="0.35">
      <c r="A415" t="s">
        <v>114</v>
      </c>
      <c r="B415" t="s">
        <v>115</v>
      </c>
      <c r="C415">
        <v>6</v>
      </c>
      <c r="D415" t="s">
        <v>27</v>
      </c>
      <c r="E415" t="s">
        <v>100</v>
      </c>
      <c r="F415" t="s">
        <v>101</v>
      </c>
      <c r="G415">
        <v>254</v>
      </c>
      <c r="H415" t="s">
        <v>102</v>
      </c>
      <c r="I415" t="s">
        <v>160</v>
      </c>
      <c r="J415" t="s">
        <v>157</v>
      </c>
      <c r="K415">
        <v>1110</v>
      </c>
      <c r="L415">
        <v>111000</v>
      </c>
      <c r="M415" t="s">
        <v>163</v>
      </c>
      <c r="N415" s="98">
        <v>2210</v>
      </c>
      <c r="O415" s="98">
        <v>2296.35</v>
      </c>
      <c r="P415" s="98">
        <v>-86.35</v>
      </c>
      <c r="Q415" s="98">
        <v>86.35</v>
      </c>
    </row>
    <row r="416" spans="1:17" x14ac:dyDescent="0.35">
      <c r="A416" t="s">
        <v>116</v>
      </c>
      <c r="B416" t="s">
        <v>117</v>
      </c>
      <c r="C416">
        <v>7</v>
      </c>
      <c r="D416" t="s">
        <v>27</v>
      </c>
      <c r="E416" t="s">
        <v>100</v>
      </c>
      <c r="F416" t="s">
        <v>101</v>
      </c>
      <c r="G416">
        <v>254</v>
      </c>
      <c r="H416" t="s">
        <v>102</v>
      </c>
      <c r="I416" t="s">
        <v>160</v>
      </c>
      <c r="J416" t="s">
        <v>157</v>
      </c>
      <c r="K416">
        <v>1110</v>
      </c>
      <c r="L416">
        <v>111000</v>
      </c>
      <c r="M416" t="s">
        <v>163</v>
      </c>
      <c r="N416" s="98">
        <v>2210</v>
      </c>
      <c r="O416" s="98">
        <v>0</v>
      </c>
      <c r="P416" s="98">
        <v>2210</v>
      </c>
      <c r="Q416" s="98">
        <v>-2210</v>
      </c>
    </row>
    <row r="417" spans="1:17" x14ac:dyDescent="0.35">
      <c r="A417" t="s">
        <v>118</v>
      </c>
      <c r="B417" t="s">
        <v>119</v>
      </c>
      <c r="C417">
        <v>8</v>
      </c>
      <c r="D417" t="s">
        <v>27</v>
      </c>
      <c r="E417" t="s">
        <v>100</v>
      </c>
      <c r="F417" t="s">
        <v>101</v>
      </c>
      <c r="G417">
        <v>254</v>
      </c>
      <c r="H417" t="s">
        <v>102</v>
      </c>
      <c r="I417" t="s">
        <v>160</v>
      </c>
      <c r="J417" t="s">
        <v>157</v>
      </c>
      <c r="K417">
        <v>1110</v>
      </c>
      <c r="L417">
        <v>111000</v>
      </c>
      <c r="M417" t="s">
        <v>163</v>
      </c>
      <c r="N417" s="98">
        <v>2210</v>
      </c>
      <c r="O417" s="98">
        <v>881</v>
      </c>
      <c r="P417" s="98">
        <v>1329</v>
      </c>
      <c r="Q417" s="98">
        <v>-1329</v>
      </c>
    </row>
    <row r="418" spans="1:17" x14ac:dyDescent="0.35">
      <c r="A418" t="s">
        <v>120</v>
      </c>
      <c r="B418" t="s">
        <v>121</v>
      </c>
      <c r="C418">
        <v>9</v>
      </c>
      <c r="D418" t="s">
        <v>30</v>
      </c>
      <c r="E418" t="s">
        <v>5</v>
      </c>
      <c r="F418" t="s">
        <v>101</v>
      </c>
      <c r="G418">
        <v>254</v>
      </c>
      <c r="H418" t="s">
        <v>102</v>
      </c>
      <c r="I418" t="s">
        <v>160</v>
      </c>
      <c r="J418" t="s">
        <v>157</v>
      </c>
      <c r="K418">
        <v>1110</v>
      </c>
      <c r="L418">
        <v>111000</v>
      </c>
      <c r="M418" t="s">
        <v>163</v>
      </c>
      <c r="N418" s="98">
        <v>2210</v>
      </c>
      <c r="O418" s="98">
        <v>0</v>
      </c>
      <c r="P418" s="98">
        <v>0</v>
      </c>
      <c r="Q418" s="98">
        <v>-2210</v>
      </c>
    </row>
    <row r="419" spans="1:17" x14ac:dyDescent="0.35">
      <c r="A419" t="s">
        <v>122</v>
      </c>
      <c r="B419" t="s">
        <v>123</v>
      </c>
      <c r="C419">
        <v>10</v>
      </c>
      <c r="D419" t="s">
        <v>30</v>
      </c>
      <c r="E419" t="s">
        <v>5</v>
      </c>
      <c r="F419" t="s">
        <v>101</v>
      </c>
      <c r="G419">
        <v>254</v>
      </c>
      <c r="H419" t="s">
        <v>102</v>
      </c>
      <c r="I419" t="s">
        <v>160</v>
      </c>
      <c r="J419" t="s">
        <v>157</v>
      </c>
      <c r="K419">
        <v>1110</v>
      </c>
      <c r="L419">
        <v>111000</v>
      </c>
      <c r="M419" t="s">
        <v>163</v>
      </c>
      <c r="N419" s="98">
        <v>2210</v>
      </c>
      <c r="O419" s="98">
        <v>0</v>
      </c>
      <c r="P419" s="98">
        <v>0</v>
      </c>
      <c r="Q419" s="98">
        <v>-2210</v>
      </c>
    </row>
    <row r="420" spans="1:17" x14ac:dyDescent="0.35">
      <c r="A420" t="s">
        <v>124</v>
      </c>
      <c r="B420" t="s">
        <v>125</v>
      </c>
      <c r="C420">
        <v>11</v>
      </c>
      <c r="D420" t="s">
        <v>30</v>
      </c>
      <c r="E420" t="s">
        <v>5</v>
      </c>
      <c r="F420" t="s">
        <v>101</v>
      </c>
      <c r="G420">
        <v>254</v>
      </c>
      <c r="H420" t="s">
        <v>102</v>
      </c>
      <c r="I420" t="s">
        <v>160</v>
      </c>
      <c r="J420" t="s">
        <v>157</v>
      </c>
      <c r="K420">
        <v>1110</v>
      </c>
      <c r="L420">
        <v>111000</v>
      </c>
      <c r="M420" t="s">
        <v>163</v>
      </c>
      <c r="N420" s="98">
        <v>2210</v>
      </c>
      <c r="O420" s="98">
        <v>0</v>
      </c>
      <c r="P420" s="98">
        <v>0</v>
      </c>
      <c r="Q420" s="98">
        <v>-2210</v>
      </c>
    </row>
    <row r="421" spans="1:17" x14ac:dyDescent="0.35">
      <c r="A421" t="s">
        <v>126</v>
      </c>
      <c r="B421" t="s">
        <v>127</v>
      </c>
      <c r="C421">
        <v>12</v>
      </c>
      <c r="D421" t="s">
        <v>30</v>
      </c>
      <c r="E421" t="s">
        <v>5</v>
      </c>
      <c r="F421" t="s">
        <v>101</v>
      </c>
      <c r="G421">
        <v>254</v>
      </c>
      <c r="H421" t="s">
        <v>102</v>
      </c>
      <c r="I421" t="s">
        <v>160</v>
      </c>
      <c r="J421" t="s">
        <v>157</v>
      </c>
      <c r="K421">
        <v>1110</v>
      </c>
      <c r="L421">
        <v>111000</v>
      </c>
      <c r="M421" t="s">
        <v>163</v>
      </c>
      <c r="N421" s="98">
        <v>2690</v>
      </c>
      <c r="O421" s="98">
        <v>0</v>
      </c>
      <c r="P421" s="98">
        <v>0</v>
      </c>
      <c r="Q421" s="98">
        <v>-2690</v>
      </c>
    </row>
    <row r="422" spans="1:17" x14ac:dyDescent="0.35">
      <c r="A422" t="s">
        <v>98</v>
      </c>
      <c r="B422" t="s">
        <v>99</v>
      </c>
      <c r="C422">
        <v>1</v>
      </c>
      <c r="D422" t="s">
        <v>23</v>
      </c>
      <c r="E422" t="s">
        <v>100</v>
      </c>
      <c r="F422" t="s">
        <v>101</v>
      </c>
      <c r="G422">
        <v>254</v>
      </c>
      <c r="H422" t="s">
        <v>102</v>
      </c>
      <c r="I422" t="s">
        <v>160</v>
      </c>
      <c r="J422" t="s">
        <v>157</v>
      </c>
      <c r="K422">
        <v>1114</v>
      </c>
      <c r="L422">
        <v>111400</v>
      </c>
      <c r="M422" t="s">
        <v>164</v>
      </c>
      <c r="N422" s="98">
        <v>850</v>
      </c>
      <c r="O422" s="98">
        <v>0</v>
      </c>
      <c r="P422" s="98">
        <v>850</v>
      </c>
      <c r="Q422" s="98">
        <v>-850</v>
      </c>
    </row>
    <row r="423" spans="1:17" x14ac:dyDescent="0.35">
      <c r="A423" t="s">
        <v>106</v>
      </c>
      <c r="B423" t="s">
        <v>107</v>
      </c>
      <c r="C423">
        <v>2</v>
      </c>
      <c r="D423" t="s">
        <v>23</v>
      </c>
      <c r="E423" t="s">
        <v>100</v>
      </c>
      <c r="F423" t="s">
        <v>101</v>
      </c>
      <c r="G423">
        <v>254</v>
      </c>
      <c r="H423" t="s">
        <v>102</v>
      </c>
      <c r="I423" t="s">
        <v>160</v>
      </c>
      <c r="J423" t="s">
        <v>157</v>
      </c>
      <c r="K423">
        <v>1114</v>
      </c>
      <c r="L423">
        <v>111400</v>
      </c>
      <c r="M423" t="s">
        <v>164</v>
      </c>
      <c r="N423" s="98">
        <v>850</v>
      </c>
      <c r="O423" s="98">
        <v>0</v>
      </c>
      <c r="P423" s="98">
        <v>850</v>
      </c>
      <c r="Q423" s="98">
        <v>-850</v>
      </c>
    </row>
    <row r="424" spans="1:17" x14ac:dyDescent="0.35">
      <c r="A424" t="s">
        <v>108</v>
      </c>
      <c r="B424" t="s">
        <v>109</v>
      </c>
      <c r="C424">
        <v>3</v>
      </c>
      <c r="D424" t="s">
        <v>23</v>
      </c>
      <c r="E424" t="s">
        <v>100</v>
      </c>
      <c r="F424" t="s">
        <v>101</v>
      </c>
      <c r="G424">
        <v>254</v>
      </c>
      <c r="H424" t="s">
        <v>102</v>
      </c>
      <c r="I424" t="s">
        <v>160</v>
      </c>
      <c r="J424" t="s">
        <v>157</v>
      </c>
      <c r="K424">
        <v>1114</v>
      </c>
      <c r="L424">
        <v>111400</v>
      </c>
      <c r="M424" t="s">
        <v>164</v>
      </c>
      <c r="N424" s="98">
        <v>850</v>
      </c>
      <c r="O424" s="98">
        <v>0</v>
      </c>
      <c r="P424" s="98">
        <v>850</v>
      </c>
      <c r="Q424" s="98">
        <v>-850</v>
      </c>
    </row>
    <row r="425" spans="1:17" x14ac:dyDescent="0.35">
      <c r="A425" t="s">
        <v>110</v>
      </c>
      <c r="B425" t="s">
        <v>111</v>
      </c>
      <c r="C425">
        <v>4</v>
      </c>
      <c r="D425" t="s">
        <v>23</v>
      </c>
      <c r="E425" t="s">
        <v>100</v>
      </c>
      <c r="F425" t="s">
        <v>101</v>
      </c>
      <c r="G425">
        <v>254</v>
      </c>
      <c r="H425" t="s">
        <v>102</v>
      </c>
      <c r="I425" t="s">
        <v>160</v>
      </c>
      <c r="J425" t="s">
        <v>157</v>
      </c>
      <c r="K425">
        <v>1114</v>
      </c>
      <c r="L425">
        <v>111400</v>
      </c>
      <c r="M425" t="s">
        <v>164</v>
      </c>
      <c r="N425" s="98">
        <v>850</v>
      </c>
      <c r="O425" s="98">
        <v>2562.0500000000002</v>
      </c>
      <c r="P425" s="98">
        <v>-1712.05</v>
      </c>
      <c r="Q425" s="98">
        <v>1712.05</v>
      </c>
    </row>
    <row r="426" spans="1:17" x14ac:dyDescent="0.35">
      <c r="A426" t="s">
        <v>112</v>
      </c>
      <c r="B426" t="s">
        <v>113</v>
      </c>
      <c r="C426">
        <v>5</v>
      </c>
      <c r="D426" t="s">
        <v>27</v>
      </c>
      <c r="E426" t="s">
        <v>100</v>
      </c>
      <c r="F426" t="s">
        <v>101</v>
      </c>
      <c r="G426">
        <v>254</v>
      </c>
      <c r="H426" t="s">
        <v>102</v>
      </c>
      <c r="I426" t="s">
        <v>160</v>
      </c>
      <c r="J426" t="s">
        <v>157</v>
      </c>
      <c r="K426">
        <v>1114</v>
      </c>
      <c r="L426">
        <v>111400</v>
      </c>
      <c r="M426" t="s">
        <v>164</v>
      </c>
      <c r="N426" s="98">
        <v>850</v>
      </c>
      <c r="O426" s="98">
        <v>0</v>
      </c>
      <c r="P426" s="98">
        <v>850</v>
      </c>
      <c r="Q426" s="98">
        <v>-850</v>
      </c>
    </row>
    <row r="427" spans="1:17" x14ac:dyDescent="0.35">
      <c r="A427" t="s">
        <v>114</v>
      </c>
      <c r="B427" t="s">
        <v>115</v>
      </c>
      <c r="C427">
        <v>6</v>
      </c>
      <c r="D427" t="s">
        <v>27</v>
      </c>
      <c r="E427" t="s">
        <v>100</v>
      </c>
      <c r="F427" t="s">
        <v>101</v>
      </c>
      <c r="G427">
        <v>254</v>
      </c>
      <c r="H427" t="s">
        <v>102</v>
      </c>
      <c r="I427" t="s">
        <v>160</v>
      </c>
      <c r="J427" t="s">
        <v>157</v>
      </c>
      <c r="K427">
        <v>1114</v>
      </c>
      <c r="L427">
        <v>111400</v>
      </c>
      <c r="M427" t="s">
        <v>164</v>
      </c>
      <c r="N427" s="98">
        <v>850</v>
      </c>
      <c r="O427" s="98">
        <v>0</v>
      </c>
      <c r="P427" s="98">
        <v>850</v>
      </c>
      <c r="Q427" s="98">
        <v>-850</v>
      </c>
    </row>
    <row r="428" spans="1:17" x14ac:dyDescent="0.35">
      <c r="A428" t="s">
        <v>116</v>
      </c>
      <c r="B428" t="s">
        <v>117</v>
      </c>
      <c r="C428">
        <v>7</v>
      </c>
      <c r="D428" t="s">
        <v>27</v>
      </c>
      <c r="E428" t="s">
        <v>100</v>
      </c>
      <c r="F428" t="s">
        <v>101</v>
      </c>
      <c r="G428">
        <v>254</v>
      </c>
      <c r="H428" t="s">
        <v>102</v>
      </c>
      <c r="I428" t="s">
        <v>160</v>
      </c>
      <c r="J428" t="s">
        <v>157</v>
      </c>
      <c r="K428">
        <v>1114</v>
      </c>
      <c r="L428">
        <v>111400</v>
      </c>
      <c r="M428" t="s">
        <v>164</v>
      </c>
      <c r="N428" s="98">
        <v>850</v>
      </c>
      <c r="O428" s="98">
        <v>0</v>
      </c>
      <c r="P428" s="98">
        <v>850</v>
      </c>
      <c r="Q428" s="98">
        <v>-850</v>
      </c>
    </row>
    <row r="429" spans="1:17" x14ac:dyDescent="0.35">
      <c r="A429" t="s">
        <v>118</v>
      </c>
      <c r="B429" t="s">
        <v>119</v>
      </c>
      <c r="C429">
        <v>8</v>
      </c>
      <c r="D429" t="s">
        <v>27</v>
      </c>
      <c r="E429" t="s">
        <v>100</v>
      </c>
      <c r="F429" t="s">
        <v>101</v>
      </c>
      <c r="G429">
        <v>254</v>
      </c>
      <c r="H429" t="s">
        <v>102</v>
      </c>
      <c r="I429" t="s">
        <v>160</v>
      </c>
      <c r="J429" t="s">
        <v>157</v>
      </c>
      <c r="K429">
        <v>1114</v>
      </c>
      <c r="L429">
        <v>111400</v>
      </c>
      <c r="M429" t="s">
        <v>164</v>
      </c>
      <c r="N429" s="98">
        <v>850</v>
      </c>
      <c r="O429" s="98">
        <v>0</v>
      </c>
      <c r="P429" s="98">
        <v>850</v>
      </c>
      <c r="Q429" s="98">
        <v>-850</v>
      </c>
    </row>
    <row r="430" spans="1:17" x14ac:dyDescent="0.35">
      <c r="A430" t="s">
        <v>120</v>
      </c>
      <c r="B430" t="s">
        <v>121</v>
      </c>
      <c r="C430">
        <v>9</v>
      </c>
      <c r="D430" t="s">
        <v>30</v>
      </c>
      <c r="E430" t="s">
        <v>5</v>
      </c>
      <c r="F430" t="s">
        <v>101</v>
      </c>
      <c r="G430">
        <v>254</v>
      </c>
      <c r="H430" t="s">
        <v>102</v>
      </c>
      <c r="I430" t="s">
        <v>160</v>
      </c>
      <c r="J430" t="s">
        <v>157</v>
      </c>
      <c r="K430">
        <v>1114</v>
      </c>
      <c r="L430">
        <v>111400</v>
      </c>
      <c r="M430" t="s">
        <v>164</v>
      </c>
      <c r="N430" s="98">
        <v>850</v>
      </c>
      <c r="O430" s="98">
        <v>0</v>
      </c>
      <c r="P430" s="98">
        <v>0</v>
      </c>
      <c r="Q430" s="98">
        <v>-850</v>
      </c>
    </row>
    <row r="431" spans="1:17" x14ac:dyDescent="0.35">
      <c r="A431" t="s">
        <v>122</v>
      </c>
      <c r="B431" t="s">
        <v>123</v>
      </c>
      <c r="C431">
        <v>10</v>
      </c>
      <c r="D431" t="s">
        <v>30</v>
      </c>
      <c r="E431" t="s">
        <v>5</v>
      </c>
      <c r="F431" t="s">
        <v>101</v>
      </c>
      <c r="G431">
        <v>254</v>
      </c>
      <c r="H431" t="s">
        <v>102</v>
      </c>
      <c r="I431" t="s">
        <v>160</v>
      </c>
      <c r="J431" t="s">
        <v>157</v>
      </c>
      <c r="K431">
        <v>1114</v>
      </c>
      <c r="L431">
        <v>111400</v>
      </c>
      <c r="M431" t="s">
        <v>164</v>
      </c>
      <c r="N431" s="98">
        <v>850</v>
      </c>
      <c r="O431" s="98">
        <v>0</v>
      </c>
      <c r="P431" s="98">
        <v>0</v>
      </c>
      <c r="Q431" s="98">
        <v>-850</v>
      </c>
    </row>
    <row r="432" spans="1:17" x14ac:dyDescent="0.35">
      <c r="A432" t="s">
        <v>124</v>
      </c>
      <c r="B432" t="s">
        <v>125</v>
      </c>
      <c r="C432">
        <v>11</v>
      </c>
      <c r="D432" t="s">
        <v>30</v>
      </c>
      <c r="E432" t="s">
        <v>5</v>
      </c>
      <c r="F432" t="s">
        <v>101</v>
      </c>
      <c r="G432">
        <v>254</v>
      </c>
      <c r="H432" t="s">
        <v>102</v>
      </c>
      <c r="I432" t="s">
        <v>160</v>
      </c>
      <c r="J432" t="s">
        <v>157</v>
      </c>
      <c r="K432">
        <v>1114</v>
      </c>
      <c r="L432">
        <v>111400</v>
      </c>
      <c r="M432" t="s">
        <v>164</v>
      </c>
      <c r="N432" s="98">
        <v>850</v>
      </c>
      <c r="O432" s="98">
        <v>0</v>
      </c>
      <c r="P432" s="98">
        <v>0</v>
      </c>
      <c r="Q432" s="98">
        <v>-850</v>
      </c>
    </row>
    <row r="433" spans="1:17" x14ac:dyDescent="0.35">
      <c r="A433" t="s">
        <v>126</v>
      </c>
      <c r="B433" t="s">
        <v>127</v>
      </c>
      <c r="C433">
        <v>12</v>
      </c>
      <c r="D433" t="s">
        <v>30</v>
      </c>
      <c r="E433" t="s">
        <v>5</v>
      </c>
      <c r="F433" t="s">
        <v>101</v>
      </c>
      <c r="G433">
        <v>254</v>
      </c>
      <c r="H433" t="s">
        <v>102</v>
      </c>
      <c r="I433" t="s">
        <v>160</v>
      </c>
      <c r="J433" t="s">
        <v>157</v>
      </c>
      <c r="K433">
        <v>1114</v>
      </c>
      <c r="L433">
        <v>111400</v>
      </c>
      <c r="M433" t="s">
        <v>164</v>
      </c>
      <c r="N433" s="98">
        <v>650</v>
      </c>
      <c r="O433" s="98">
        <v>0</v>
      </c>
      <c r="P433" s="98">
        <v>0</v>
      </c>
      <c r="Q433" s="98">
        <v>-650</v>
      </c>
    </row>
    <row r="434" spans="1:17" x14ac:dyDescent="0.35">
      <c r="A434" t="s">
        <v>98</v>
      </c>
      <c r="B434" t="s">
        <v>99</v>
      </c>
      <c r="C434">
        <v>1</v>
      </c>
      <c r="D434" t="s">
        <v>23</v>
      </c>
      <c r="E434" t="s">
        <v>100</v>
      </c>
      <c r="F434" t="s">
        <v>101</v>
      </c>
      <c r="G434">
        <v>254</v>
      </c>
      <c r="H434" t="s">
        <v>102</v>
      </c>
      <c r="I434" t="s">
        <v>160</v>
      </c>
      <c r="J434" t="s">
        <v>157</v>
      </c>
      <c r="K434">
        <v>1115</v>
      </c>
      <c r="L434">
        <v>111500</v>
      </c>
      <c r="M434" t="s">
        <v>165</v>
      </c>
      <c r="N434" s="98">
        <v>0</v>
      </c>
      <c r="O434" s="98">
        <v>222.23</v>
      </c>
      <c r="P434" s="98">
        <v>-222.23</v>
      </c>
      <c r="Q434" s="98">
        <v>222.23</v>
      </c>
    </row>
    <row r="435" spans="1:17" x14ac:dyDescent="0.35">
      <c r="A435" t="s">
        <v>106</v>
      </c>
      <c r="B435" t="s">
        <v>107</v>
      </c>
      <c r="C435">
        <v>2</v>
      </c>
      <c r="D435" t="s">
        <v>23</v>
      </c>
      <c r="E435" t="s">
        <v>100</v>
      </c>
      <c r="F435" t="s">
        <v>101</v>
      </c>
      <c r="G435">
        <v>254</v>
      </c>
      <c r="H435" t="s">
        <v>102</v>
      </c>
      <c r="I435" t="s">
        <v>160</v>
      </c>
      <c r="J435" t="s">
        <v>157</v>
      </c>
      <c r="K435">
        <v>1115</v>
      </c>
      <c r="L435">
        <v>111500</v>
      </c>
      <c r="M435" t="s">
        <v>165</v>
      </c>
      <c r="N435" s="98">
        <v>0</v>
      </c>
      <c r="O435" s="98">
        <v>0</v>
      </c>
      <c r="P435" s="98">
        <v>0</v>
      </c>
      <c r="Q435" s="98">
        <v>0</v>
      </c>
    </row>
    <row r="436" spans="1:17" x14ac:dyDescent="0.35">
      <c r="A436" t="s">
        <v>108</v>
      </c>
      <c r="B436" t="s">
        <v>109</v>
      </c>
      <c r="C436">
        <v>3</v>
      </c>
      <c r="D436" t="s">
        <v>23</v>
      </c>
      <c r="E436" t="s">
        <v>100</v>
      </c>
      <c r="F436" t="s">
        <v>101</v>
      </c>
      <c r="G436">
        <v>254</v>
      </c>
      <c r="H436" t="s">
        <v>102</v>
      </c>
      <c r="I436" t="s">
        <v>160</v>
      </c>
      <c r="J436" t="s">
        <v>157</v>
      </c>
      <c r="K436">
        <v>1115</v>
      </c>
      <c r="L436">
        <v>111500</v>
      </c>
      <c r="M436" t="s">
        <v>165</v>
      </c>
      <c r="N436" s="98">
        <v>0</v>
      </c>
      <c r="O436" s="98">
        <v>585.89</v>
      </c>
      <c r="P436" s="98">
        <v>-585.89</v>
      </c>
      <c r="Q436" s="98">
        <v>585.89</v>
      </c>
    </row>
    <row r="437" spans="1:17" x14ac:dyDescent="0.35">
      <c r="A437" t="s">
        <v>110</v>
      </c>
      <c r="B437" t="s">
        <v>111</v>
      </c>
      <c r="C437">
        <v>4</v>
      </c>
      <c r="D437" t="s">
        <v>23</v>
      </c>
      <c r="E437" t="s">
        <v>100</v>
      </c>
      <c r="F437" t="s">
        <v>101</v>
      </c>
      <c r="G437">
        <v>254</v>
      </c>
      <c r="H437" t="s">
        <v>102</v>
      </c>
      <c r="I437" t="s">
        <v>160</v>
      </c>
      <c r="J437" t="s">
        <v>157</v>
      </c>
      <c r="K437">
        <v>1115</v>
      </c>
      <c r="L437">
        <v>111500</v>
      </c>
      <c r="M437" t="s">
        <v>165</v>
      </c>
      <c r="N437" s="98">
        <v>0</v>
      </c>
      <c r="O437" s="98">
        <v>0</v>
      </c>
      <c r="P437" s="98">
        <v>0</v>
      </c>
      <c r="Q437" s="98">
        <v>0</v>
      </c>
    </row>
    <row r="438" spans="1:17" x14ac:dyDescent="0.35">
      <c r="A438" t="s">
        <v>112</v>
      </c>
      <c r="B438" t="s">
        <v>113</v>
      </c>
      <c r="C438">
        <v>5</v>
      </c>
      <c r="D438" t="s">
        <v>27</v>
      </c>
      <c r="E438" t="s">
        <v>100</v>
      </c>
      <c r="F438" t="s">
        <v>101</v>
      </c>
      <c r="G438">
        <v>254</v>
      </c>
      <c r="H438" t="s">
        <v>102</v>
      </c>
      <c r="I438" t="s">
        <v>160</v>
      </c>
      <c r="J438" t="s">
        <v>157</v>
      </c>
      <c r="K438">
        <v>1115</v>
      </c>
      <c r="L438">
        <v>111500</v>
      </c>
      <c r="M438" t="s">
        <v>165</v>
      </c>
      <c r="N438" s="98">
        <v>0</v>
      </c>
      <c r="O438" s="98">
        <v>630.59</v>
      </c>
      <c r="P438" s="98">
        <v>-630.59</v>
      </c>
      <c r="Q438" s="98">
        <v>630.59</v>
      </c>
    </row>
    <row r="439" spans="1:17" x14ac:dyDescent="0.35">
      <c r="A439" t="s">
        <v>114</v>
      </c>
      <c r="B439" t="s">
        <v>115</v>
      </c>
      <c r="C439">
        <v>6</v>
      </c>
      <c r="D439" t="s">
        <v>27</v>
      </c>
      <c r="E439" t="s">
        <v>100</v>
      </c>
      <c r="F439" t="s">
        <v>101</v>
      </c>
      <c r="G439">
        <v>254</v>
      </c>
      <c r="H439" t="s">
        <v>102</v>
      </c>
      <c r="I439" t="s">
        <v>160</v>
      </c>
      <c r="J439" t="s">
        <v>157</v>
      </c>
      <c r="K439">
        <v>1115</v>
      </c>
      <c r="L439">
        <v>111500</v>
      </c>
      <c r="M439" t="s">
        <v>165</v>
      </c>
      <c r="N439" s="98">
        <v>0</v>
      </c>
      <c r="O439" s="98">
        <v>716.97</v>
      </c>
      <c r="P439" s="98">
        <v>-716.97</v>
      </c>
      <c r="Q439" s="98">
        <v>716.97</v>
      </c>
    </row>
    <row r="440" spans="1:17" x14ac:dyDescent="0.35">
      <c r="A440" t="s">
        <v>116</v>
      </c>
      <c r="B440" t="s">
        <v>117</v>
      </c>
      <c r="C440">
        <v>7</v>
      </c>
      <c r="D440" t="s">
        <v>27</v>
      </c>
      <c r="E440" t="s">
        <v>100</v>
      </c>
      <c r="F440" t="s">
        <v>101</v>
      </c>
      <c r="G440">
        <v>254</v>
      </c>
      <c r="H440" t="s">
        <v>102</v>
      </c>
      <c r="I440" t="s">
        <v>160</v>
      </c>
      <c r="J440" t="s">
        <v>157</v>
      </c>
      <c r="K440">
        <v>1115</v>
      </c>
      <c r="L440">
        <v>111500</v>
      </c>
      <c r="M440" t="s">
        <v>165</v>
      </c>
      <c r="N440" s="98">
        <v>0</v>
      </c>
      <c r="O440" s="98">
        <v>0</v>
      </c>
      <c r="P440" s="98">
        <v>0</v>
      </c>
      <c r="Q440" s="98">
        <v>0</v>
      </c>
    </row>
    <row r="441" spans="1:17" x14ac:dyDescent="0.35">
      <c r="A441" t="s">
        <v>118</v>
      </c>
      <c r="B441" t="s">
        <v>119</v>
      </c>
      <c r="C441">
        <v>8</v>
      </c>
      <c r="D441" t="s">
        <v>27</v>
      </c>
      <c r="E441" t="s">
        <v>100</v>
      </c>
      <c r="F441" t="s">
        <v>101</v>
      </c>
      <c r="G441">
        <v>254</v>
      </c>
      <c r="H441" t="s">
        <v>102</v>
      </c>
      <c r="I441" t="s">
        <v>160</v>
      </c>
      <c r="J441" t="s">
        <v>157</v>
      </c>
      <c r="K441">
        <v>1115</v>
      </c>
      <c r="L441">
        <v>111500</v>
      </c>
      <c r="M441" t="s">
        <v>165</v>
      </c>
      <c r="N441" s="98">
        <v>0</v>
      </c>
      <c r="O441" s="98">
        <v>130.44</v>
      </c>
      <c r="P441" s="98">
        <v>-130.44</v>
      </c>
      <c r="Q441" s="98">
        <v>130.44</v>
      </c>
    </row>
    <row r="442" spans="1:17" x14ac:dyDescent="0.35">
      <c r="A442" t="s">
        <v>120</v>
      </c>
      <c r="B442" t="s">
        <v>121</v>
      </c>
      <c r="C442">
        <v>9</v>
      </c>
      <c r="D442" t="s">
        <v>30</v>
      </c>
      <c r="E442" t="s">
        <v>5</v>
      </c>
      <c r="F442" t="s">
        <v>101</v>
      </c>
      <c r="G442">
        <v>254</v>
      </c>
      <c r="H442" t="s">
        <v>102</v>
      </c>
      <c r="I442" t="s">
        <v>160</v>
      </c>
      <c r="J442" t="s">
        <v>157</v>
      </c>
      <c r="K442">
        <v>1115</v>
      </c>
      <c r="L442">
        <v>111500</v>
      </c>
      <c r="M442" t="s">
        <v>165</v>
      </c>
      <c r="N442" s="98">
        <v>0</v>
      </c>
      <c r="O442" s="98">
        <v>0</v>
      </c>
      <c r="P442" s="98">
        <v>0</v>
      </c>
      <c r="Q442" s="98">
        <v>0</v>
      </c>
    </row>
    <row r="443" spans="1:17" x14ac:dyDescent="0.35">
      <c r="A443" t="s">
        <v>122</v>
      </c>
      <c r="B443" t="s">
        <v>123</v>
      </c>
      <c r="C443">
        <v>10</v>
      </c>
      <c r="D443" t="s">
        <v>30</v>
      </c>
      <c r="E443" t="s">
        <v>5</v>
      </c>
      <c r="F443" t="s">
        <v>101</v>
      </c>
      <c r="G443">
        <v>254</v>
      </c>
      <c r="H443" t="s">
        <v>102</v>
      </c>
      <c r="I443" t="s">
        <v>160</v>
      </c>
      <c r="J443" t="s">
        <v>157</v>
      </c>
      <c r="K443">
        <v>1115</v>
      </c>
      <c r="L443">
        <v>111500</v>
      </c>
      <c r="M443" t="s">
        <v>165</v>
      </c>
      <c r="N443" s="98">
        <v>0</v>
      </c>
      <c r="O443" s="98">
        <v>0</v>
      </c>
      <c r="P443" s="98">
        <v>0</v>
      </c>
      <c r="Q443" s="98">
        <v>0</v>
      </c>
    </row>
    <row r="444" spans="1:17" x14ac:dyDescent="0.35">
      <c r="A444" t="s">
        <v>124</v>
      </c>
      <c r="B444" t="s">
        <v>125</v>
      </c>
      <c r="C444">
        <v>11</v>
      </c>
      <c r="D444" t="s">
        <v>30</v>
      </c>
      <c r="E444" t="s">
        <v>5</v>
      </c>
      <c r="F444" t="s">
        <v>101</v>
      </c>
      <c r="G444">
        <v>254</v>
      </c>
      <c r="H444" t="s">
        <v>102</v>
      </c>
      <c r="I444" t="s">
        <v>160</v>
      </c>
      <c r="J444" t="s">
        <v>157</v>
      </c>
      <c r="K444">
        <v>1115</v>
      </c>
      <c r="L444">
        <v>111500</v>
      </c>
      <c r="M444" t="s">
        <v>165</v>
      </c>
      <c r="N444" s="98">
        <v>0</v>
      </c>
      <c r="O444" s="98">
        <v>0</v>
      </c>
      <c r="P444" s="98">
        <v>0</v>
      </c>
      <c r="Q444" s="98">
        <v>0</v>
      </c>
    </row>
    <row r="445" spans="1:17" x14ac:dyDescent="0.35">
      <c r="A445" t="s">
        <v>126</v>
      </c>
      <c r="B445" t="s">
        <v>127</v>
      </c>
      <c r="C445">
        <v>12</v>
      </c>
      <c r="D445" t="s">
        <v>30</v>
      </c>
      <c r="E445" t="s">
        <v>5</v>
      </c>
      <c r="F445" t="s">
        <v>101</v>
      </c>
      <c r="G445">
        <v>254</v>
      </c>
      <c r="H445" t="s">
        <v>102</v>
      </c>
      <c r="I445" t="s">
        <v>160</v>
      </c>
      <c r="J445" t="s">
        <v>157</v>
      </c>
      <c r="K445">
        <v>1115</v>
      </c>
      <c r="L445">
        <v>111500</v>
      </c>
      <c r="M445" t="s">
        <v>165</v>
      </c>
      <c r="N445" s="98">
        <v>0</v>
      </c>
      <c r="O445" s="98">
        <v>0</v>
      </c>
      <c r="P445" s="98">
        <v>0</v>
      </c>
      <c r="Q445" s="98">
        <v>0</v>
      </c>
    </row>
    <row r="446" spans="1:17" x14ac:dyDescent="0.35">
      <c r="A446" t="s">
        <v>98</v>
      </c>
      <c r="B446" t="s">
        <v>99</v>
      </c>
      <c r="C446">
        <v>1</v>
      </c>
      <c r="D446" t="s">
        <v>23</v>
      </c>
      <c r="E446" t="s">
        <v>100</v>
      </c>
      <c r="F446" t="s">
        <v>101</v>
      </c>
      <c r="G446">
        <v>254</v>
      </c>
      <c r="H446" t="s">
        <v>102</v>
      </c>
      <c r="I446" t="s">
        <v>160</v>
      </c>
      <c r="J446" t="s">
        <v>157</v>
      </c>
      <c r="K446">
        <v>1115</v>
      </c>
      <c r="L446">
        <v>111502</v>
      </c>
      <c r="M446" t="s">
        <v>166</v>
      </c>
      <c r="N446" s="98">
        <v>1868</v>
      </c>
      <c r="O446" s="98">
        <v>0</v>
      </c>
      <c r="P446" s="98">
        <v>1868</v>
      </c>
      <c r="Q446" s="98">
        <v>-1868</v>
      </c>
    </row>
    <row r="447" spans="1:17" x14ac:dyDescent="0.35">
      <c r="A447" t="s">
        <v>106</v>
      </c>
      <c r="B447" t="s">
        <v>107</v>
      </c>
      <c r="C447">
        <v>2</v>
      </c>
      <c r="D447" t="s">
        <v>23</v>
      </c>
      <c r="E447" t="s">
        <v>100</v>
      </c>
      <c r="F447" t="s">
        <v>101</v>
      </c>
      <c r="G447">
        <v>254</v>
      </c>
      <c r="H447" t="s">
        <v>102</v>
      </c>
      <c r="I447" t="s">
        <v>160</v>
      </c>
      <c r="J447" t="s">
        <v>157</v>
      </c>
      <c r="K447">
        <v>1115</v>
      </c>
      <c r="L447">
        <v>111502</v>
      </c>
      <c r="M447" t="s">
        <v>166</v>
      </c>
      <c r="N447" s="98">
        <v>1868</v>
      </c>
      <c r="O447" s="98">
        <v>294.5</v>
      </c>
      <c r="P447" s="98">
        <v>1573.5</v>
      </c>
      <c r="Q447" s="98">
        <v>-1573.5</v>
      </c>
    </row>
    <row r="448" spans="1:17" x14ac:dyDescent="0.35">
      <c r="A448" t="s">
        <v>108</v>
      </c>
      <c r="B448" t="s">
        <v>109</v>
      </c>
      <c r="C448">
        <v>3</v>
      </c>
      <c r="D448" t="s">
        <v>23</v>
      </c>
      <c r="E448" t="s">
        <v>100</v>
      </c>
      <c r="F448" t="s">
        <v>101</v>
      </c>
      <c r="G448">
        <v>254</v>
      </c>
      <c r="H448" t="s">
        <v>102</v>
      </c>
      <c r="I448" t="s">
        <v>160</v>
      </c>
      <c r="J448" t="s">
        <v>157</v>
      </c>
      <c r="K448">
        <v>1115</v>
      </c>
      <c r="L448">
        <v>111502</v>
      </c>
      <c r="M448" t="s">
        <v>166</v>
      </c>
      <c r="N448" s="98">
        <v>1868</v>
      </c>
      <c r="O448" s="98">
        <v>477.59</v>
      </c>
      <c r="P448" s="98">
        <v>1390.41</v>
      </c>
      <c r="Q448" s="98">
        <v>-1390.41</v>
      </c>
    </row>
    <row r="449" spans="1:17" x14ac:dyDescent="0.35">
      <c r="A449" t="s">
        <v>110</v>
      </c>
      <c r="B449" t="s">
        <v>111</v>
      </c>
      <c r="C449">
        <v>4</v>
      </c>
      <c r="D449" t="s">
        <v>23</v>
      </c>
      <c r="E449" t="s">
        <v>100</v>
      </c>
      <c r="F449" t="s">
        <v>101</v>
      </c>
      <c r="G449">
        <v>254</v>
      </c>
      <c r="H449" t="s">
        <v>102</v>
      </c>
      <c r="I449" t="s">
        <v>160</v>
      </c>
      <c r="J449" t="s">
        <v>157</v>
      </c>
      <c r="K449">
        <v>1115</v>
      </c>
      <c r="L449">
        <v>111502</v>
      </c>
      <c r="M449" t="s">
        <v>166</v>
      </c>
      <c r="N449" s="98">
        <v>1868</v>
      </c>
      <c r="O449" s="98">
        <v>0</v>
      </c>
      <c r="P449" s="98">
        <v>1868</v>
      </c>
      <c r="Q449" s="98">
        <v>-1868</v>
      </c>
    </row>
    <row r="450" spans="1:17" x14ac:dyDescent="0.35">
      <c r="A450" t="s">
        <v>112</v>
      </c>
      <c r="B450" t="s">
        <v>113</v>
      </c>
      <c r="C450">
        <v>5</v>
      </c>
      <c r="D450" t="s">
        <v>27</v>
      </c>
      <c r="E450" t="s">
        <v>100</v>
      </c>
      <c r="F450" t="s">
        <v>101</v>
      </c>
      <c r="G450">
        <v>254</v>
      </c>
      <c r="H450" t="s">
        <v>102</v>
      </c>
      <c r="I450" t="s">
        <v>160</v>
      </c>
      <c r="J450" t="s">
        <v>157</v>
      </c>
      <c r="K450">
        <v>1115</v>
      </c>
      <c r="L450">
        <v>111502</v>
      </c>
      <c r="M450" t="s">
        <v>166</v>
      </c>
      <c r="N450" s="98">
        <v>1868</v>
      </c>
      <c r="O450" s="98">
        <v>4957.78</v>
      </c>
      <c r="P450" s="98">
        <v>-3089.78</v>
      </c>
      <c r="Q450" s="98">
        <v>3089.78</v>
      </c>
    </row>
    <row r="451" spans="1:17" x14ac:dyDescent="0.35">
      <c r="A451" t="s">
        <v>114</v>
      </c>
      <c r="B451" t="s">
        <v>115</v>
      </c>
      <c r="C451">
        <v>6</v>
      </c>
      <c r="D451" t="s">
        <v>27</v>
      </c>
      <c r="E451" t="s">
        <v>100</v>
      </c>
      <c r="F451" t="s">
        <v>101</v>
      </c>
      <c r="G451">
        <v>254</v>
      </c>
      <c r="H451" t="s">
        <v>102</v>
      </c>
      <c r="I451" t="s">
        <v>160</v>
      </c>
      <c r="J451" t="s">
        <v>157</v>
      </c>
      <c r="K451">
        <v>1115</v>
      </c>
      <c r="L451">
        <v>111502</v>
      </c>
      <c r="M451" t="s">
        <v>166</v>
      </c>
      <c r="N451" s="98">
        <v>1868</v>
      </c>
      <c r="O451" s="98">
        <v>0</v>
      </c>
      <c r="P451" s="98">
        <v>1868</v>
      </c>
      <c r="Q451" s="98">
        <v>-1868</v>
      </c>
    </row>
    <row r="452" spans="1:17" x14ac:dyDescent="0.35">
      <c r="A452" t="s">
        <v>116</v>
      </c>
      <c r="B452" t="s">
        <v>117</v>
      </c>
      <c r="C452">
        <v>7</v>
      </c>
      <c r="D452" t="s">
        <v>27</v>
      </c>
      <c r="E452" t="s">
        <v>100</v>
      </c>
      <c r="F452" t="s">
        <v>101</v>
      </c>
      <c r="G452">
        <v>254</v>
      </c>
      <c r="H452" t="s">
        <v>102</v>
      </c>
      <c r="I452" t="s">
        <v>160</v>
      </c>
      <c r="J452" t="s">
        <v>157</v>
      </c>
      <c r="K452">
        <v>1115</v>
      </c>
      <c r="L452">
        <v>111502</v>
      </c>
      <c r="M452" t="s">
        <v>166</v>
      </c>
      <c r="N452" s="98">
        <v>1868</v>
      </c>
      <c r="O452" s="98">
        <v>0</v>
      </c>
      <c r="P452" s="98">
        <v>1868</v>
      </c>
      <c r="Q452" s="98">
        <v>-1868</v>
      </c>
    </row>
    <row r="453" spans="1:17" x14ac:dyDescent="0.35">
      <c r="A453" t="s">
        <v>118</v>
      </c>
      <c r="B453" t="s">
        <v>119</v>
      </c>
      <c r="C453">
        <v>8</v>
      </c>
      <c r="D453" t="s">
        <v>27</v>
      </c>
      <c r="E453" t="s">
        <v>100</v>
      </c>
      <c r="F453" t="s">
        <v>101</v>
      </c>
      <c r="G453">
        <v>254</v>
      </c>
      <c r="H453" t="s">
        <v>102</v>
      </c>
      <c r="I453" t="s">
        <v>160</v>
      </c>
      <c r="J453" t="s">
        <v>157</v>
      </c>
      <c r="K453">
        <v>1115</v>
      </c>
      <c r="L453">
        <v>111502</v>
      </c>
      <c r="M453" t="s">
        <v>166</v>
      </c>
      <c r="N453" s="98">
        <v>1868</v>
      </c>
      <c r="O453" s="98">
        <v>0</v>
      </c>
      <c r="P453" s="98">
        <v>1868</v>
      </c>
      <c r="Q453" s="98">
        <v>-1868</v>
      </c>
    </row>
    <row r="454" spans="1:17" x14ac:dyDescent="0.35">
      <c r="A454" t="s">
        <v>120</v>
      </c>
      <c r="B454" t="s">
        <v>121</v>
      </c>
      <c r="C454">
        <v>9</v>
      </c>
      <c r="D454" t="s">
        <v>30</v>
      </c>
      <c r="E454" t="s">
        <v>5</v>
      </c>
      <c r="F454" t="s">
        <v>101</v>
      </c>
      <c r="G454">
        <v>254</v>
      </c>
      <c r="H454" t="s">
        <v>102</v>
      </c>
      <c r="I454" t="s">
        <v>160</v>
      </c>
      <c r="J454" t="s">
        <v>157</v>
      </c>
      <c r="K454">
        <v>1115</v>
      </c>
      <c r="L454">
        <v>111502</v>
      </c>
      <c r="M454" t="s">
        <v>166</v>
      </c>
      <c r="N454" s="98">
        <v>1868</v>
      </c>
      <c r="O454" s="98">
        <v>0</v>
      </c>
      <c r="P454" s="98">
        <v>0</v>
      </c>
      <c r="Q454" s="98">
        <v>-1868</v>
      </c>
    </row>
    <row r="455" spans="1:17" x14ac:dyDescent="0.35">
      <c r="A455" t="s">
        <v>122</v>
      </c>
      <c r="B455" t="s">
        <v>123</v>
      </c>
      <c r="C455">
        <v>10</v>
      </c>
      <c r="D455" t="s">
        <v>30</v>
      </c>
      <c r="E455" t="s">
        <v>5</v>
      </c>
      <c r="F455" t="s">
        <v>101</v>
      </c>
      <c r="G455">
        <v>254</v>
      </c>
      <c r="H455" t="s">
        <v>102</v>
      </c>
      <c r="I455" t="s">
        <v>160</v>
      </c>
      <c r="J455" t="s">
        <v>157</v>
      </c>
      <c r="K455">
        <v>1115</v>
      </c>
      <c r="L455">
        <v>111502</v>
      </c>
      <c r="M455" t="s">
        <v>166</v>
      </c>
      <c r="N455" s="98">
        <v>1868</v>
      </c>
      <c r="O455" s="98">
        <v>0</v>
      </c>
      <c r="P455" s="98">
        <v>0</v>
      </c>
      <c r="Q455" s="98">
        <v>-1868</v>
      </c>
    </row>
    <row r="456" spans="1:17" x14ac:dyDescent="0.35">
      <c r="A456" t="s">
        <v>124</v>
      </c>
      <c r="B456" t="s">
        <v>125</v>
      </c>
      <c r="C456">
        <v>11</v>
      </c>
      <c r="D456" t="s">
        <v>30</v>
      </c>
      <c r="E456" t="s">
        <v>5</v>
      </c>
      <c r="F456" t="s">
        <v>101</v>
      </c>
      <c r="G456">
        <v>254</v>
      </c>
      <c r="H456" t="s">
        <v>102</v>
      </c>
      <c r="I456" t="s">
        <v>160</v>
      </c>
      <c r="J456" t="s">
        <v>157</v>
      </c>
      <c r="K456">
        <v>1115</v>
      </c>
      <c r="L456">
        <v>111502</v>
      </c>
      <c r="M456" t="s">
        <v>166</v>
      </c>
      <c r="N456" s="98">
        <v>1868</v>
      </c>
      <c r="O456" s="98">
        <v>0</v>
      </c>
      <c r="P456" s="98">
        <v>0</v>
      </c>
      <c r="Q456" s="98">
        <v>-1868</v>
      </c>
    </row>
    <row r="457" spans="1:17" x14ac:dyDescent="0.35">
      <c r="A457" t="s">
        <v>126</v>
      </c>
      <c r="B457" t="s">
        <v>127</v>
      </c>
      <c r="C457">
        <v>12</v>
      </c>
      <c r="D457" t="s">
        <v>30</v>
      </c>
      <c r="E457" t="s">
        <v>5</v>
      </c>
      <c r="F457" t="s">
        <v>101</v>
      </c>
      <c r="G457">
        <v>254</v>
      </c>
      <c r="H457" t="s">
        <v>102</v>
      </c>
      <c r="I457" t="s">
        <v>160</v>
      </c>
      <c r="J457" t="s">
        <v>157</v>
      </c>
      <c r="K457">
        <v>1115</v>
      </c>
      <c r="L457">
        <v>111502</v>
      </c>
      <c r="M457" t="s">
        <v>166</v>
      </c>
      <c r="N457" s="98">
        <v>1452</v>
      </c>
      <c r="O457" s="98">
        <v>0</v>
      </c>
      <c r="P457" s="98">
        <v>0</v>
      </c>
      <c r="Q457" s="98">
        <v>-1452</v>
      </c>
    </row>
    <row r="458" spans="1:17" x14ac:dyDescent="0.35">
      <c r="A458" t="s">
        <v>98</v>
      </c>
      <c r="B458" t="s">
        <v>99</v>
      </c>
      <c r="C458">
        <v>1</v>
      </c>
      <c r="D458" t="s">
        <v>23</v>
      </c>
      <c r="E458" t="s">
        <v>100</v>
      </c>
      <c r="F458" t="s">
        <v>101</v>
      </c>
      <c r="G458">
        <v>254</v>
      </c>
      <c r="H458" t="s">
        <v>102</v>
      </c>
      <c r="I458" t="s">
        <v>160</v>
      </c>
      <c r="J458" t="s">
        <v>157</v>
      </c>
      <c r="K458">
        <v>1115</v>
      </c>
      <c r="L458">
        <v>111509</v>
      </c>
      <c r="M458" t="s">
        <v>167</v>
      </c>
      <c r="N458" s="98">
        <v>0</v>
      </c>
      <c r="O458" s="98">
        <v>0</v>
      </c>
      <c r="P458" s="98">
        <v>0</v>
      </c>
      <c r="Q458" s="98">
        <v>0</v>
      </c>
    </row>
    <row r="459" spans="1:17" x14ac:dyDescent="0.35">
      <c r="A459" t="s">
        <v>106</v>
      </c>
      <c r="B459" t="s">
        <v>107</v>
      </c>
      <c r="C459">
        <v>2</v>
      </c>
      <c r="D459" t="s">
        <v>23</v>
      </c>
      <c r="E459" t="s">
        <v>100</v>
      </c>
      <c r="F459" t="s">
        <v>101</v>
      </c>
      <c r="G459">
        <v>254</v>
      </c>
      <c r="H459" t="s">
        <v>102</v>
      </c>
      <c r="I459" t="s">
        <v>160</v>
      </c>
      <c r="J459" t="s">
        <v>157</v>
      </c>
      <c r="K459">
        <v>1115</v>
      </c>
      <c r="L459">
        <v>111509</v>
      </c>
      <c r="M459" t="s">
        <v>167</v>
      </c>
      <c r="N459" s="98">
        <v>0</v>
      </c>
      <c r="O459" s="98">
        <v>12</v>
      </c>
      <c r="P459" s="98">
        <v>-12</v>
      </c>
      <c r="Q459" s="98">
        <v>12</v>
      </c>
    </row>
    <row r="460" spans="1:17" x14ac:dyDescent="0.35">
      <c r="A460" t="s">
        <v>108</v>
      </c>
      <c r="B460" t="s">
        <v>109</v>
      </c>
      <c r="C460">
        <v>3</v>
      </c>
      <c r="D460" t="s">
        <v>23</v>
      </c>
      <c r="E460" t="s">
        <v>100</v>
      </c>
      <c r="F460" t="s">
        <v>101</v>
      </c>
      <c r="G460">
        <v>254</v>
      </c>
      <c r="H460" t="s">
        <v>102</v>
      </c>
      <c r="I460" t="s">
        <v>160</v>
      </c>
      <c r="J460" t="s">
        <v>157</v>
      </c>
      <c r="K460">
        <v>1115</v>
      </c>
      <c r="L460">
        <v>111509</v>
      </c>
      <c r="M460" t="s">
        <v>167</v>
      </c>
      <c r="N460" s="98">
        <v>0</v>
      </c>
      <c r="O460" s="98">
        <v>21</v>
      </c>
      <c r="P460" s="98">
        <v>-21</v>
      </c>
      <c r="Q460" s="98">
        <v>21</v>
      </c>
    </row>
    <row r="461" spans="1:17" x14ac:dyDescent="0.35">
      <c r="A461" t="s">
        <v>110</v>
      </c>
      <c r="B461" t="s">
        <v>111</v>
      </c>
      <c r="C461">
        <v>4</v>
      </c>
      <c r="D461" t="s">
        <v>23</v>
      </c>
      <c r="E461" t="s">
        <v>100</v>
      </c>
      <c r="F461" t="s">
        <v>101</v>
      </c>
      <c r="G461">
        <v>254</v>
      </c>
      <c r="H461" t="s">
        <v>102</v>
      </c>
      <c r="I461" t="s">
        <v>160</v>
      </c>
      <c r="J461" t="s">
        <v>157</v>
      </c>
      <c r="K461">
        <v>1115</v>
      </c>
      <c r="L461">
        <v>111509</v>
      </c>
      <c r="M461" t="s">
        <v>167</v>
      </c>
      <c r="N461" s="98">
        <v>0</v>
      </c>
      <c r="O461" s="98">
        <v>0</v>
      </c>
      <c r="P461" s="98">
        <v>0</v>
      </c>
      <c r="Q461" s="98">
        <v>0</v>
      </c>
    </row>
    <row r="462" spans="1:17" x14ac:dyDescent="0.35">
      <c r="A462" t="s">
        <v>112</v>
      </c>
      <c r="B462" t="s">
        <v>113</v>
      </c>
      <c r="C462">
        <v>5</v>
      </c>
      <c r="D462" t="s">
        <v>27</v>
      </c>
      <c r="E462" t="s">
        <v>100</v>
      </c>
      <c r="F462" t="s">
        <v>101</v>
      </c>
      <c r="G462">
        <v>254</v>
      </c>
      <c r="H462" t="s">
        <v>102</v>
      </c>
      <c r="I462" t="s">
        <v>160</v>
      </c>
      <c r="J462" t="s">
        <v>157</v>
      </c>
      <c r="K462">
        <v>1115</v>
      </c>
      <c r="L462">
        <v>111509</v>
      </c>
      <c r="M462" t="s">
        <v>167</v>
      </c>
      <c r="N462" s="98">
        <v>0</v>
      </c>
      <c r="O462" s="98">
        <v>24</v>
      </c>
      <c r="P462" s="98">
        <v>-24</v>
      </c>
      <c r="Q462" s="98">
        <v>24</v>
      </c>
    </row>
    <row r="463" spans="1:17" x14ac:dyDescent="0.35">
      <c r="A463" t="s">
        <v>114</v>
      </c>
      <c r="B463" t="s">
        <v>115</v>
      </c>
      <c r="C463">
        <v>6</v>
      </c>
      <c r="D463" t="s">
        <v>27</v>
      </c>
      <c r="E463" t="s">
        <v>100</v>
      </c>
      <c r="F463" t="s">
        <v>101</v>
      </c>
      <c r="G463">
        <v>254</v>
      </c>
      <c r="H463" t="s">
        <v>102</v>
      </c>
      <c r="I463" t="s">
        <v>160</v>
      </c>
      <c r="J463" t="s">
        <v>157</v>
      </c>
      <c r="K463">
        <v>1115</v>
      </c>
      <c r="L463">
        <v>111509</v>
      </c>
      <c r="M463" t="s">
        <v>167</v>
      </c>
      <c r="N463" s="98">
        <v>0</v>
      </c>
      <c r="O463" s="98">
        <v>0</v>
      </c>
      <c r="P463" s="98">
        <v>0</v>
      </c>
      <c r="Q463" s="98">
        <v>0</v>
      </c>
    </row>
    <row r="464" spans="1:17" x14ac:dyDescent="0.35">
      <c r="A464" t="s">
        <v>116</v>
      </c>
      <c r="B464" t="s">
        <v>117</v>
      </c>
      <c r="C464">
        <v>7</v>
      </c>
      <c r="D464" t="s">
        <v>27</v>
      </c>
      <c r="E464" t="s">
        <v>100</v>
      </c>
      <c r="F464" t="s">
        <v>101</v>
      </c>
      <c r="G464">
        <v>254</v>
      </c>
      <c r="H464" t="s">
        <v>102</v>
      </c>
      <c r="I464" t="s">
        <v>160</v>
      </c>
      <c r="J464" t="s">
        <v>157</v>
      </c>
      <c r="K464">
        <v>1115</v>
      </c>
      <c r="L464">
        <v>111509</v>
      </c>
      <c r="M464" t="s">
        <v>167</v>
      </c>
      <c r="N464" s="98">
        <v>0</v>
      </c>
      <c r="O464" s="98">
        <v>0</v>
      </c>
      <c r="P464" s="98">
        <v>0</v>
      </c>
      <c r="Q464" s="98">
        <v>0</v>
      </c>
    </row>
    <row r="465" spans="1:17" x14ac:dyDescent="0.35">
      <c r="A465" t="s">
        <v>118</v>
      </c>
      <c r="B465" t="s">
        <v>119</v>
      </c>
      <c r="C465">
        <v>8</v>
      </c>
      <c r="D465" t="s">
        <v>27</v>
      </c>
      <c r="E465" t="s">
        <v>100</v>
      </c>
      <c r="F465" t="s">
        <v>101</v>
      </c>
      <c r="G465">
        <v>254</v>
      </c>
      <c r="H465" t="s">
        <v>102</v>
      </c>
      <c r="I465" t="s">
        <v>160</v>
      </c>
      <c r="J465" t="s">
        <v>157</v>
      </c>
      <c r="K465">
        <v>1115</v>
      </c>
      <c r="L465">
        <v>111509</v>
      </c>
      <c r="M465" t="s">
        <v>167</v>
      </c>
      <c r="N465" s="98">
        <v>0</v>
      </c>
      <c r="O465" s="98">
        <v>0</v>
      </c>
      <c r="P465" s="98">
        <v>0</v>
      </c>
      <c r="Q465" s="98">
        <v>0</v>
      </c>
    </row>
    <row r="466" spans="1:17" x14ac:dyDescent="0.35">
      <c r="A466" t="s">
        <v>120</v>
      </c>
      <c r="B466" t="s">
        <v>121</v>
      </c>
      <c r="C466">
        <v>9</v>
      </c>
      <c r="D466" t="s">
        <v>30</v>
      </c>
      <c r="E466" t="s">
        <v>5</v>
      </c>
      <c r="F466" t="s">
        <v>101</v>
      </c>
      <c r="G466">
        <v>254</v>
      </c>
      <c r="H466" t="s">
        <v>102</v>
      </c>
      <c r="I466" t="s">
        <v>160</v>
      </c>
      <c r="J466" t="s">
        <v>157</v>
      </c>
      <c r="K466">
        <v>1115</v>
      </c>
      <c r="L466">
        <v>111509</v>
      </c>
      <c r="M466" t="s">
        <v>167</v>
      </c>
      <c r="N466" s="98">
        <v>0</v>
      </c>
      <c r="O466" s="98">
        <v>0</v>
      </c>
      <c r="P466" s="98">
        <v>0</v>
      </c>
      <c r="Q466" s="98">
        <v>0</v>
      </c>
    </row>
    <row r="467" spans="1:17" x14ac:dyDescent="0.35">
      <c r="A467" t="s">
        <v>122</v>
      </c>
      <c r="B467" t="s">
        <v>123</v>
      </c>
      <c r="C467">
        <v>10</v>
      </c>
      <c r="D467" t="s">
        <v>30</v>
      </c>
      <c r="E467" t="s">
        <v>5</v>
      </c>
      <c r="F467" t="s">
        <v>101</v>
      </c>
      <c r="G467">
        <v>254</v>
      </c>
      <c r="H467" t="s">
        <v>102</v>
      </c>
      <c r="I467" t="s">
        <v>160</v>
      </c>
      <c r="J467" t="s">
        <v>157</v>
      </c>
      <c r="K467">
        <v>1115</v>
      </c>
      <c r="L467">
        <v>111509</v>
      </c>
      <c r="M467" t="s">
        <v>167</v>
      </c>
      <c r="N467" s="98">
        <v>0</v>
      </c>
      <c r="O467" s="98">
        <v>0</v>
      </c>
      <c r="P467" s="98">
        <v>0</v>
      </c>
      <c r="Q467" s="98">
        <v>0</v>
      </c>
    </row>
    <row r="468" spans="1:17" x14ac:dyDescent="0.35">
      <c r="A468" t="s">
        <v>124</v>
      </c>
      <c r="B468" t="s">
        <v>125</v>
      </c>
      <c r="C468">
        <v>11</v>
      </c>
      <c r="D468" t="s">
        <v>30</v>
      </c>
      <c r="E468" t="s">
        <v>5</v>
      </c>
      <c r="F468" t="s">
        <v>101</v>
      </c>
      <c r="G468">
        <v>254</v>
      </c>
      <c r="H468" t="s">
        <v>102</v>
      </c>
      <c r="I468" t="s">
        <v>160</v>
      </c>
      <c r="J468" t="s">
        <v>157</v>
      </c>
      <c r="K468">
        <v>1115</v>
      </c>
      <c r="L468">
        <v>111509</v>
      </c>
      <c r="M468" t="s">
        <v>167</v>
      </c>
      <c r="N468" s="98">
        <v>0</v>
      </c>
      <c r="O468" s="98">
        <v>0</v>
      </c>
      <c r="P468" s="98">
        <v>0</v>
      </c>
      <c r="Q468" s="98">
        <v>0</v>
      </c>
    </row>
    <row r="469" spans="1:17" x14ac:dyDescent="0.35">
      <c r="A469" t="s">
        <v>126</v>
      </c>
      <c r="B469" t="s">
        <v>127</v>
      </c>
      <c r="C469">
        <v>12</v>
      </c>
      <c r="D469" t="s">
        <v>30</v>
      </c>
      <c r="E469" t="s">
        <v>5</v>
      </c>
      <c r="F469" t="s">
        <v>101</v>
      </c>
      <c r="G469">
        <v>254</v>
      </c>
      <c r="H469" t="s">
        <v>102</v>
      </c>
      <c r="I469" t="s">
        <v>160</v>
      </c>
      <c r="J469" t="s">
        <v>157</v>
      </c>
      <c r="K469">
        <v>1115</v>
      </c>
      <c r="L469">
        <v>111509</v>
      </c>
      <c r="M469" t="s">
        <v>167</v>
      </c>
      <c r="N469" s="98">
        <v>0</v>
      </c>
      <c r="O469" s="98">
        <v>0</v>
      </c>
      <c r="P469" s="98">
        <v>0</v>
      </c>
      <c r="Q469" s="98">
        <v>0</v>
      </c>
    </row>
    <row r="470" spans="1:17" x14ac:dyDescent="0.35">
      <c r="A470" t="s">
        <v>98</v>
      </c>
      <c r="B470" t="s">
        <v>99</v>
      </c>
      <c r="C470">
        <v>1</v>
      </c>
      <c r="D470" t="s">
        <v>23</v>
      </c>
      <c r="E470" t="s">
        <v>100</v>
      </c>
      <c r="F470" t="s">
        <v>101</v>
      </c>
      <c r="G470">
        <v>254</v>
      </c>
      <c r="H470" t="s">
        <v>102</v>
      </c>
      <c r="I470" t="s">
        <v>160</v>
      </c>
      <c r="J470" t="s">
        <v>157</v>
      </c>
      <c r="K470">
        <v>1120</v>
      </c>
      <c r="L470">
        <v>112000</v>
      </c>
      <c r="M470" t="s">
        <v>168</v>
      </c>
      <c r="N470" s="98">
        <v>1868</v>
      </c>
      <c r="O470" s="98">
        <v>0</v>
      </c>
      <c r="P470" s="98">
        <v>1868</v>
      </c>
      <c r="Q470" s="98">
        <v>-1868</v>
      </c>
    </row>
    <row r="471" spans="1:17" x14ac:dyDescent="0.35">
      <c r="A471" t="s">
        <v>106</v>
      </c>
      <c r="B471" t="s">
        <v>107</v>
      </c>
      <c r="C471">
        <v>2</v>
      </c>
      <c r="D471" t="s">
        <v>23</v>
      </c>
      <c r="E471" t="s">
        <v>100</v>
      </c>
      <c r="F471" t="s">
        <v>101</v>
      </c>
      <c r="G471">
        <v>254</v>
      </c>
      <c r="H471" t="s">
        <v>102</v>
      </c>
      <c r="I471" t="s">
        <v>160</v>
      </c>
      <c r="J471" t="s">
        <v>157</v>
      </c>
      <c r="K471">
        <v>1120</v>
      </c>
      <c r="L471">
        <v>112000</v>
      </c>
      <c r="M471" t="s">
        <v>168</v>
      </c>
      <c r="N471" s="98">
        <v>1868</v>
      </c>
      <c r="O471" s="98">
        <v>0</v>
      </c>
      <c r="P471" s="98">
        <v>1868</v>
      </c>
      <c r="Q471" s="98">
        <v>-1868</v>
      </c>
    </row>
    <row r="472" spans="1:17" x14ac:dyDescent="0.35">
      <c r="A472" t="s">
        <v>108</v>
      </c>
      <c r="B472" t="s">
        <v>109</v>
      </c>
      <c r="C472">
        <v>3</v>
      </c>
      <c r="D472" t="s">
        <v>23</v>
      </c>
      <c r="E472" t="s">
        <v>100</v>
      </c>
      <c r="F472" t="s">
        <v>101</v>
      </c>
      <c r="G472">
        <v>254</v>
      </c>
      <c r="H472" t="s">
        <v>102</v>
      </c>
      <c r="I472" t="s">
        <v>160</v>
      </c>
      <c r="J472" t="s">
        <v>157</v>
      </c>
      <c r="K472">
        <v>1120</v>
      </c>
      <c r="L472">
        <v>112000</v>
      </c>
      <c r="M472" t="s">
        <v>168</v>
      </c>
      <c r="N472" s="98">
        <v>1868</v>
      </c>
      <c r="O472" s="98">
        <v>0</v>
      </c>
      <c r="P472" s="98">
        <v>1868</v>
      </c>
      <c r="Q472" s="98">
        <v>-1868</v>
      </c>
    </row>
    <row r="473" spans="1:17" x14ac:dyDescent="0.35">
      <c r="A473" t="s">
        <v>110</v>
      </c>
      <c r="B473" t="s">
        <v>111</v>
      </c>
      <c r="C473">
        <v>4</v>
      </c>
      <c r="D473" t="s">
        <v>23</v>
      </c>
      <c r="E473" t="s">
        <v>100</v>
      </c>
      <c r="F473" t="s">
        <v>101</v>
      </c>
      <c r="G473">
        <v>254</v>
      </c>
      <c r="H473" t="s">
        <v>102</v>
      </c>
      <c r="I473" t="s">
        <v>160</v>
      </c>
      <c r="J473" t="s">
        <v>157</v>
      </c>
      <c r="K473">
        <v>1120</v>
      </c>
      <c r="L473">
        <v>112000</v>
      </c>
      <c r="M473" t="s">
        <v>168</v>
      </c>
      <c r="N473" s="98">
        <v>1868</v>
      </c>
      <c r="O473" s="98">
        <v>103.8</v>
      </c>
      <c r="P473" s="98">
        <v>1764.2</v>
      </c>
      <c r="Q473" s="98">
        <v>-1764.2</v>
      </c>
    </row>
    <row r="474" spans="1:17" x14ac:dyDescent="0.35">
      <c r="A474" t="s">
        <v>112</v>
      </c>
      <c r="B474" t="s">
        <v>113</v>
      </c>
      <c r="C474">
        <v>5</v>
      </c>
      <c r="D474" t="s">
        <v>27</v>
      </c>
      <c r="E474" t="s">
        <v>100</v>
      </c>
      <c r="F474" t="s">
        <v>101</v>
      </c>
      <c r="G474">
        <v>254</v>
      </c>
      <c r="H474" t="s">
        <v>102</v>
      </c>
      <c r="I474" t="s">
        <v>160</v>
      </c>
      <c r="J474" t="s">
        <v>157</v>
      </c>
      <c r="K474">
        <v>1120</v>
      </c>
      <c r="L474">
        <v>112000</v>
      </c>
      <c r="M474" t="s">
        <v>168</v>
      </c>
      <c r="N474" s="98">
        <v>1868</v>
      </c>
      <c r="O474" s="98">
        <v>0</v>
      </c>
      <c r="P474" s="98">
        <v>1868</v>
      </c>
      <c r="Q474" s="98">
        <v>-1868</v>
      </c>
    </row>
    <row r="475" spans="1:17" x14ac:dyDescent="0.35">
      <c r="A475" t="s">
        <v>114</v>
      </c>
      <c r="B475" t="s">
        <v>115</v>
      </c>
      <c r="C475">
        <v>6</v>
      </c>
      <c r="D475" t="s">
        <v>27</v>
      </c>
      <c r="E475" t="s">
        <v>100</v>
      </c>
      <c r="F475" t="s">
        <v>101</v>
      </c>
      <c r="G475">
        <v>254</v>
      </c>
      <c r="H475" t="s">
        <v>102</v>
      </c>
      <c r="I475" t="s">
        <v>160</v>
      </c>
      <c r="J475" t="s">
        <v>157</v>
      </c>
      <c r="K475">
        <v>1120</v>
      </c>
      <c r="L475">
        <v>112000</v>
      </c>
      <c r="M475" t="s">
        <v>168</v>
      </c>
      <c r="N475" s="98">
        <v>1868</v>
      </c>
      <c r="O475" s="98">
        <v>483.2</v>
      </c>
      <c r="P475" s="98">
        <v>1384.8</v>
      </c>
      <c r="Q475" s="98">
        <v>-1384.8</v>
      </c>
    </row>
    <row r="476" spans="1:17" x14ac:dyDescent="0.35">
      <c r="A476" t="s">
        <v>116</v>
      </c>
      <c r="B476" t="s">
        <v>117</v>
      </c>
      <c r="C476">
        <v>7</v>
      </c>
      <c r="D476" t="s">
        <v>27</v>
      </c>
      <c r="E476" t="s">
        <v>100</v>
      </c>
      <c r="F476" t="s">
        <v>101</v>
      </c>
      <c r="G476">
        <v>254</v>
      </c>
      <c r="H476" t="s">
        <v>102</v>
      </c>
      <c r="I476" t="s">
        <v>160</v>
      </c>
      <c r="J476" t="s">
        <v>157</v>
      </c>
      <c r="K476">
        <v>1120</v>
      </c>
      <c r="L476">
        <v>112000</v>
      </c>
      <c r="M476" t="s">
        <v>168</v>
      </c>
      <c r="N476" s="98">
        <v>1868</v>
      </c>
      <c r="O476" s="98">
        <v>0</v>
      </c>
      <c r="P476" s="98">
        <v>1868</v>
      </c>
      <c r="Q476" s="98">
        <v>-1868</v>
      </c>
    </row>
    <row r="477" spans="1:17" x14ac:dyDescent="0.35">
      <c r="A477" t="s">
        <v>118</v>
      </c>
      <c r="B477" t="s">
        <v>119</v>
      </c>
      <c r="C477">
        <v>8</v>
      </c>
      <c r="D477" t="s">
        <v>27</v>
      </c>
      <c r="E477" t="s">
        <v>100</v>
      </c>
      <c r="F477" t="s">
        <v>101</v>
      </c>
      <c r="G477">
        <v>254</v>
      </c>
      <c r="H477" t="s">
        <v>102</v>
      </c>
      <c r="I477" t="s">
        <v>160</v>
      </c>
      <c r="J477" t="s">
        <v>157</v>
      </c>
      <c r="K477">
        <v>1120</v>
      </c>
      <c r="L477">
        <v>112000</v>
      </c>
      <c r="M477" t="s">
        <v>168</v>
      </c>
      <c r="N477" s="98">
        <v>1868</v>
      </c>
      <c r="O477" s="98">
        <v>0</v>
      </c>
      <c r="P477" s="98">
        <v>1868</v>
      </c>
      <c r="Q477" s="98">
        <v>-1868</v>
      </c>
    </row>
    <row r="478" spans="1:17" x14ac:dyDescent="0.35">
      <c r="A478" t="s">
        <v>120</v>
      </c>
      <c r="B478" t="s">
        <v>121</v>
      </c>
      <c r="C478">
        <v>9</v>
      </c>
      <c r="D478" t="s">
        <v>30</v>
      </c>
      <c r="E478" t="s">
        <v>5</v>
      </c>
      <c r="F478" t="s">
        <v>101</v>
      </c>
      <c r="G478">
        <v>254</v>
      </c>
      <c r="H478" t="s">
        <v>102</v>
      </c>
      <c r="I478" t="s">
        <v>160</v>
      </c>
      <c r="J478" t="s">
        <v>157</v>
      </c>
      <c r="K478">
        <v>1120</v>
      </c>
      <c r="L478">
        <v>112000</v>
      </c>
      <c r="M478" t="s">
        <v>168</v>
      </c>
      <c r="N478" s="98">
        <v>1868</v>
      </c>
      <c r="O478" s="98">
        <v>0</v>
      </c>
      <c r="P478" s="98">
        <v>0</v>
      </c>
      <c r="Q478" s="98">
        <v>-1868</v>
      </c>
    </row>
    <row r="479" spans="1:17" x14ac:dyDescent="0.35">
      <c r="A479" t="s">
        <v>122</v>
      </c>
      <c r="B479" t="s">
        <v>123</v>
      </c>
      <c r="C479">
        <v>10</v>
      </c>
      <c r="D479" t="s">
        <v>30</v>
      </c>
      <c r="E479" t="s">
        <v>5</v>
      </c>
      <c r="F479" t="s">
        <v>101</v>
      </c>
      <c r="G479">
        <v>254</v>
      </c>
      <c r="H479" t="s">
        <v>102</v>
      </c>
      <c r="I479" t="s">
        <v>160</v>
      </c>
      <c r="J479" t="s">
        <v>157</v>
      </c>
      <c r="K479">
        <v>1120</v>
      </c>
      <c r="L479">
        <v>112000</v>
      </c>
      <c r="M479" t="s">
        <v>168</v>
      </c>
      <c r="N479" s="98">
        <v>1868</v>
      </c>
      <c r="O479" s="98">
        <v>0</v>
      </c>
      <c r="P479" s="98">
        <v>0</v>
      </c>
      <c r="Q479" s="98">
        <v>-1868</v>
      </c>
    </row>
    <row r="480" spans="1:17" x14ac:dyDescent="0.35">
      <c r="A480" t="s">
        <v>124</v>
      </c>
      <c r="B480" t="s">
        <v>125</v>
      </c>
      <c r="C480">
        <v>11</v>
      </c>
      <c r="D480" t="s">
        <v>30</v>
      </c>
      <c r="E480" t="s">
        <v>5</v>
      </c>
      <c r="F480" t="s">
        <v>101</v>
      </c>
      <c r="G480">
        <v>254</v>
      </c>
      <c r="H480" t="s">
        <v>102</v>
      </c>
      <c r="I480" t="s">
        <v>160</v>
      </c>
      <c r="J480" t="s">
        <v>157</v>
      </c>
      <c r="K480">
        <v>1120</v>
      </c>
      <c r="L480">
        <v>112000</v>
      </c>
      <c r="M480" t="s">
        <v>168</v>
      </c>
      <c r="N480" s="98">
        <v>1868</v>
      </c>
      <c r="O480" s="98">
        <v>0</v>
      </c>
      <c r="P480" s="98">
        <v>0</v>
      </c>
      <c r="Q480" s="98">
        <v>-1868</v>
      </c>
    </row>
    <row r="481" spans="1:17" x14ac:dyDescent="0.35">
      <c r="A481" t="s">
        <v>126</v>
      </c>
      <c r="B481" t="s">
        <v>127</v>
      </c>
      <c r="C481">
        <v>12</v>
      </c>
      <c r="D481" t="s">
        <v>30</v>
      </c>
      <c r="E481" t="s">
        <v>5</v>
      </c>
      <c r="F481" t="s">
        <v>101</v>
      </c>
      <c r="G481">
        <v>254</v>
      </c>
      <c r="H481" t="s">
        <v>102</v>
      </c>
      <c r="I481" t="s">
        <v>160</v>
      </c>
      <c r="J481" t="s">
        <v>157</v>
      </c>
      <c r="K481">
        <v>1120</v>
      </c>
      <c r="L481">
        <v>112000</v>
      </c>
      <c r="M481" t="s">
        <v>168</v>
      </c>
      <c r="N481" s="98">
        <v>1452</v>
      </c>
      <c r="O481" s="98">
        <v>0</v>
      </c>
      <c r="P481" s="98">
        <v>0</v>
      </c>
      <c r="Q481" s="98">
        <v>-1452</v>
      </c>
    </row>
    <row r="482" spans="1:17" x14ac:dyDescent="0.35">
      <c r="A482" t="s">
        <v>98</v>
      </c>
      <c r="B482" t="s">
        <v>99</v>
      </c>
      <c r="C482">
        <v>1</v>
      </c>
      <c r="D482" t="s">
        <v>23</v>
      </c>
      <c r="E482" t="s">
        <v>100</v>
      </c>
      <c r="F482" t="s">
        <v>101</v>
      </c>
      <c r="G482">
        <v>254</v>
      </c>
      <c r="H482" t="s">
        <v>102</v>
      </c>
      <c r="I482" t="s">
        <v>160</v>
      </c>
      <c r="J482" t="s">
        <v>157</v>
      </c>
      <c r="K482">
        <v>1120</v>
      </c>
      <c r="L482">
        <v>112002</v>
      </c>
      <c r="M482" t="s">
        <v>169</v>
      </c>
      <c r="N482" s="98">
        <v>340</v>
      </c>
      <c r="O482" s="98">
        <v>491.15</v>
      </c>
      <c r="P482" s="98">
        <v>-151.15</v>
      </c>
      <c r="Q482" s="98">
        <v>151.15</v>
      </c>
    </row>
    <row r="483" spans="1:17" x14ac:dyDescent="0.35">
      <c r="A483" t="s">
        <v>106</v>
      </c>
      <c r="B483" t="s">
        <v>107</v>
      </c>
      <c r="C483">
        <v>2</v>
      </c>
      <c r="D483" t="s">
        <v>23</v>
      </c>
      <c r="E483" t="s">
        <v>100</v>
      </c>
      <c r="F483" t="s">
        <v>101</v>
      </c>
      <c r="G483">
        <v>254</v>
      </c>
      <c r="H483" t="s">
        <v>102</v>
      </c>
      <c r="I483" t="s">
        <v>160</v>
      </c>
      <c r="J483" t="s">
        <v>157</v>
      </c>
      <c r="K483">
        <v>1120</v>
      </c>
      <c r="L483">
        <v>112002</v>
      </c>
      <c r="M483" t="s">
        <v>169</v>
      </c>
      <c r="N483" s="98">
        <v>340</v>
      </c>
      <c r="O483" s="98">
        <v>0</v>
      </c>
      <c r="P483" s="98">
        <v>340</v>
      </c>
      <c r="Q483" s="98">
        <v>-340</v>
      </c>
    </row>
    <row r="484" spans="1:17" x14ac:dyDescent="0.35">
      <c r="A484" t="s">
        <v>108</v>
      </c>
      <c r="B484" t="s">
        <v>109</v>
      </c>
      <c r="C484">
        <v>3</v>
      </c>
      <c r="D484" t="s">
        <v>23</v>
      </c>
      <c r="E484" t="s">
        <v>100</v>
      </c>
      <c r="F484" t="s">
        <v>101</v>
      </c>
      <c r="G484">
        <v>254</v>
      </c>
      <c r="H484" t="s">
        <v>102</v>
      </c>
      <c r="I484" t="s">
        <v>160</v>
      </c>
      <c r="J484" t="s">
        <v>157</v>
      </c>
      <c r="K484">
        <v>1120</v>
      </c>
      <c r="L484">
        <v>112002</v>
      </c>
      <c r="M484" t="s">
        <v>169</v>
      </c>
      <c r="N484" s="98">
        <v>340</v>
      </c>
      <c r="O484" s="98">
        <v>0</v>
      </c>
      <c r="P484" s="98">
        <v>340</v>
      </c>
      <c r="Q484" s="98">
        <v>-340</v>
      </c>
    </row>
    <row r="485" spans="1:17" x14ac:dyDescent="0.35">
      <c r="A485" t="s">
        <v>110</v>
      </c>
      <c r="B485" t="s">
        <v>111</v>
      </c>
      <c r="C485">
        <v>4</v>
      </c>
      <c r="D485" t="s">
        <v>23</v>
      </c>
      <c r="E485" t="s">
        <v>100</v>
      </c>
      <c r="F485" t="s">
        <v>101</v>
      </c>
      <c r="G485">
        <v>254</v>
      </c>
      <c r="H485" t="s">
        <v>102</v>
      </c>
      <c r="I485" t="s">
        <v>160</v>
      </c>
      <c r="J485" t="s">
        <v>157</v>
      </c>
      <c r="K485">
        <v>1120</v>
      </c>
      <c r="L485">
        <v>112002</v>
      </c>
      <c r="M485" t="s">
        <v>169</v>
      </c>
      <c r="N485" s="98">
        <v>340</v>
      </c>
      <c r="O485" s="98">
        <v>0</v>
      </c>
      <c r="P485" s="98">
        <v>340</v>
      </c>
      <c r="Q485" s="98">
        <v>-340</v>
      </c>
    </row>
    <row r="486" spans="1:17" x14ac:dyDescent="0.35">
      <c r="A486" t="s">
        <v>112</v>
      </c>
      <c r="B486" t="s">
        <v>113</v>
      </c>
      <c r="C486">
        <v>5</v>
      </c>
      <c r="D486" t="s">
        <v>27</v>
      </c>
      <c r="E486" t="s">
        <v>100</v>
      </c>
      <c r="F486" t="s">
        <v>101</v>
      </c>
      <c r="G486">
        <v>254</v>
      </c>
      <c r="H486" t="s">
        <v>102</v>
      </c>
      <c r="I486" t="s">
        <v>160</v>
      </c>
      <c r="J486" t="s">
        <v>157</v>
      </c>
      <c r="K486">
        <v>1120</v>
      </c>
      <c r="L486">
        <v>112002</v>
      </c>
      <c r="M486" t="s">
        <v>169</v>
      </c>
      <c r="N486" s="98">
        <v>340</v>
      </c>
      <c r="O486" s="98">
        <v>0</v>
      </c>
      <c r="P486" s="98">
        <v>340</v>
      </c>
      <c r="Q486" s="98">
        <v>-340</v>
      </c>
    </row>
    <row r="487" spans="1:17" x14ac:dyDescent="0.35">
      <c r="A487" t="s">
        <v>114</v>
      </c>
      <c r="B487" t="s">
        <v>115</v>
      </c>
      <c r="C487">
        <v>6</v>
      </c>
      <c r="D487" t="s">
        <v>27</v>
      </c>
      <c r="E487" t="s">
        <v>100</v>
      </c>
      <c r="F487" t="s">
        <v>101</v>
      </c>
      <c r="G487">
        <v>254</v>
      </c>
      <c r="H487" t="s">
        <v>102</v>
      </c>
      <c r="I487" t="s">
        <v>160</v>
      </c>
      <c r="J487" t="s">
        <v>157</v>
      </c>
      <c r="K487">
        <v>1120</v>
      </c>
      <c r="L487">
        <v>112002</v>
      </c>
      <c r="M487" t="s">
        <v>169</v>
      </c>
      <c r="N487" s="98">
        <v>340</v>
      </c>
      <c r="O487" s="98">
        <v>0</v>
      </c>
      <c r="P487" s="98">
        <v>340</v>
      </c>
      <c r="Q487" s="98">
        <v>-340</v>
      </c>
    </row>
    <row r="488" spans="1:17" x14ac:dyDescent="0.35">
      <c r="A488" t="s">
        <v>116</v>
      </c>
      <c r="B488" t="s">
        <v>117</v>
      </c>
      <c r="C488">
        <v>7</v>
      </c>
      <c r="D488" t="s">
        <v>27</v>
      </c>
      <c r="E488" t="s">
        <v>100</v>
      </c>
      <c r="F488" t="s">
        <v>101</v>
      </c>
      <c r="G488">
        <v>254</v>
      </c>
      <c r="H488" t="s">
        <v>102</v>
      </c>
      <c r="I488" t="s">
        <v>160</v>
      </c>
      <c r="J488" t="s">
        <v>157</v>
      </c>
      <c r="K488">
        <v>1120</v>
      </c>
      <c r="L488">
        <v>112002</v>
      </c>
      <c r="M488" t="s">
        <v>169</v>
      </c>
      <c r="N488" s="98">
        <v>340</v>
      </c>
      <c r="O488" s="98">
        <v>0</v>
      </c>
      <c r="P488" s="98">
        <v>340</v>
      </c>
      <c r="Q488" s="98">
        <v>-340</v>
      </c>
    </row>
    <row r="489" spans="1:17" x14ac:dyDescent="0.35">
      <c r="A489" t="s">
        <v>118</v>
      </c>
      <c r="B489" t="s">
        <v>119</v>
      </c>
      <c r="C489">
        <v>8</v>
      </c>
      <c r="D489" t="s">
        <v>27</v>
      </c>
      <c r="E489" t="s">
        <v>100</v>
      </c>
      <c r="F489" t="s">
        <v>101</v>
      </c>
      <c r="G489">
        <v>254</v>
      </c>
      <c r="H489" t="s">
        <v>102</v>
      </c>
      <c r="I489" t="s">
        <v>160</v>
      </c>
      <c r="J489" t="s">
        <v>157</v>
      </c>
      <c r="K489">
        <v>1120</v>
      </c>
      <c r="L489">
        <v>112002</v>
      </c>
      <c r="M489" t="s">
        <v>169</v>
      </c>
      <c r="N489" s="98">
        <v>340</v>
      </c>
      <c r="O489" s="98">
        <v>0</v>
      </c>
      <c r="P489" s="98">
        <v>340</v>
      </c>
      <c r="Q489" s="98">
        <v>-340</v>
      </c>
    </row>
    <row r="490" spans="1:17" x14ac:dyDescent="0.35">
      <c r="A490" t="s">
        <v>120</v>
      </c>
      <c r="B490" t="s">
        <v>121</v>
      </c>
      <c r="C490">
        <v>9</v>
      </c>
      <c r="D490" t="s">
        <v>30</v>
      </c>
      <c r="E490" t="s">
        <v>5</v>
      </c>
      <c r="F490" t="s">
        <v>101</v>
      </c>
      <c r="G490">
        <v>254</v>
      </c>
      <c r="H490" t="s">
        <v>102</v>
      </c>
      <c r="I490" t="s">
        <v>160</v>
      </c>
      <c r="J490" t="s">
        <v>157</v>
      </c>
      <c r="K490">
        <v>1120</v>
      </c>
      <c r="L490">
        <v>112002</v>
      </c>
      <c r="M490" t="s">
        <v>169</v>
      </c>
      <c r="N490" s="98">
        <v>340</v>
      </c>
      <c r="O490" s="98">
        <v>0</v>
      </c>
      <c r="P490" s="98">
        <v>0</v>
      </c>
      <c r="Q490" s="98">
        <v>-340</v>
      </c>
    </row>
    <row r="491" spans="1:17" x14ac:dyDescent="0.35">
      <c r="A491" t="s">
        <v>122</v>
      </c>
      <c r="B491" t="s">
        <v>123</v>
      </c>
      <c r="C491">
        <v>10</v>
      </c>
      <c r="D491" t="s">
        <v>30</v>
      </c>
      <c r="E491" t="s">
        <v>5</v>
      </c>
      <c r="F491" t="s">
        <v>101</v>
      </c>
      <c r="G491">
        <v>254</v>
      </c>
      <c r="H491" t="s">
        <v>102</v>
      </c>
      <c r="I491" t="s">
        <v>160</v>
      </c>
      <c r="J491" t="s">
        <v>157</v>
      </c>
      <c r="K491">
        <v>1120</v>
      </c>
      <c r="L491">
        <v>112002</v>
      </c>
      <c r="M491" t="s">
        <v>169</v>
      </c>
      <c r="N491" s="98">
        <v>340</v>
      </c>
      <c r="O491" s="98">
        <v>0</v>
      </c>
      <c r="P491" s="98">
        <v>0</v>
      </c>
      <c r="Q491" s="98">
        <v>-340</v>
      </c>
    </row>
    <row r="492" spans="1:17" x14ac:dyDescent="0.35">
      <c r="A492" t="s">
        <v>124</v>
      </c>
      <c r="B492" t="s">
        <v>125</v>
      </c>
      <c r="C492">
        <v>11</v>
      </c>
      <c r="D492" t="s">
        <v>30</v>
      </c>
      <c r="E492" t="s">
        <v>5</v>
      </c>
      <c r="F492" t="s">
        <v>101</v>
      </c>
      <c r="G492">
        <v>254</v>
      </c>
      <c r="H492" t="s">
        <v>102</v>
      </c>
      <c r="I492" t="s">
        <v>160</v>
      </c>
      <c r="J492" t="s">
        <v>157</v>
      </c>
      <c r="K492">
        <v>1120</v>
      </c>
      <c r="L492">
        <v>112002</v>
      </c>
      <c r="M492" t="s">
        <v>169</v>
      </c>
      <c r="N492" s="98">
        <v>340</v>
      </c>
      <c r="O492" s="98">
        <v>0</v>
      </c>
      <c r="P492" s="98">
        <v>0</v>
      </c>
      <c r="Q492" s="98">
        <v>-340</v>
      </c>
    </row>
    <row r="493" spans="1:17" x14ac:dyDescent="0.35">
      <c r="A493" t="s">
        <v>126</v>
      </c>
      <c r="B493" t="s">
        <v>127</v>
      </c>
      <c r="C493">
        <v>12</v>
      </c>
      <c r="D493" t="s">
        <v>30</v>
      </c>
      <c r="E493" t="s">
        <v>5</v>
      </c>
      <c r="F493" t="s">
        <v>101</v>
      </c>
      <c r="G493">
        <v>254</v>
      </c>
      <c r="H493" t="s">
        <v>102</v>
      </c>
      <c r="I493" t="s">
        <v>160</v>
      </c>
      <c r="J493" t="s">
        <v>157</v>
      </c>
      <c r="K493">
        <v>1120</v>
      </c>
      <c r="L493">
        <v>112002</v>
      </c>
      <c r="M493" t="s">
        <v>169</v>
      </c>
      <c r="N493" s="98">
        <v>260</v>
      </c>
      <c r="O493" s="98">
        <v>0</v>
      </c>
      <c r="P493" s="98">
        <v>0</v>
      </c>
      <c r="Q493" s="98">
        <v>-260</v>
      </c>
    </row>
    <row r="494" spans="1:17" x14ac:dyDescent="0.35">
      <c r="A494" t="s">
        <v>98</v>
      </c>
      <c r="B494" t="s">
        <v>99</v>
      </c>
      <c r="C494">
        <v>1</v>
      </c>
      <c r="D494" t="s">
        <v>23</v>
      </c>
      <c r="E494" t="s">
        <v>100</v>
      </c>
      <c r="F494" t="s">
        <v>101</v>
      </c>
      <c r="G494">
        <v>254</v>
      </c>
      <c r="H494" t="s">
        <v>102</v>
      </c>
      <c r="I494" t="s">
        <v>160</v>
      </c>
      <c r="J494" t="s">
        <v>157</v>
      </c>
      <c r="K494">
        <v>1120</v>
      </c>
      <c r="L494">
        <v>112010</v>
      </c>
      <c r="M494" t="s">
        <v>170</v>
      </c>
      <c r="N494" s="98">
        <v>0</v>
      </c>
      <c r="O494" s="98">
        <v>1144.5</v>
      </c>
      <c r="P494" s="98">
        <v>-1144.5</v>
      </c>
      <c r="Q494" s="98">
        <v>1144.5</v>
      </c>
    </row>
    <row r="495" spans="1:17" x14ac:dyDescent="0.35">
      <c r="A495" t="s">
        <v>106</v>
      </c>
      <c r="B495" t="s">
        <v>107</v>
      </c>
      <c r="C495">
        <v>2</v>
      </c>
      <c r="D495" t="s">
        <v>23</v>
      </c>
      <c r="E495" t="s">
        <v>100</v>
      </c>
      <c r="F495" t="s">
        <v>101</v>
      </c>
      <c r="G495">
        <v>254</v>
      </c>
      <c r="H495" t="s">
        <v>102</v>
      </c>
      <c r="I495" t="s">
        <v>160</v>
      </c>
      <c r="J495" t="s">
        <v>157</v>
      </c>
      <c r="K495">
        <v>1120</v>
      </c>
      <c r="L495">
        <v>112010</v>
      </c>
      <c r="M495" t="s">
        <v>170</v>
      </c>
      <c r="N495" s="98">
        <v>0</v>
      </c>
      <c r="O495" s="98">
        <v>0</v>
      </c>
      <c r="P495" s="98">
        <v>0</v>
      </c>
      <c r="Q495" s="98">
        <v>0</v>
      </c>
    </row>
    <row r="496" spans="1:17" x14ac:dyDescent="0.35">
      <c r="A496" t="s">
        <v>108</v>
      </c>
      <c r="B496" t="s">
        <v>109</v>
      </c>
      <c r="C496">
        <v>3</v>
      </c>
      <c r="D496" t="s">
        <v>23</v>
      </c>
      <c r="E496" t="s">
        <v>100</v>
      </c>
      <c r="F496" t="s">
        <v>101</v>
      </c>
      <c r="G496">
        <v>254</v>
      </c>
      <c r="H496" t="s">
        <v>102</v>
      </c>
      <c r="I496" t="s">
        <v>160</v>
      </c>
      <c r="J496" t="s">
        <v>157</v>
      </c>
      <c r="K496">
        <v>1120</v>
      </c>
      <c r="L496">
        <v>112010</v>
      </c>
      <c r="M496" t="s">
        <v>170</v>
      </c>
      <c r="N496" s="98">
        <v>0</v>
      </c>
      <c r="O496" s="98">
        <v>0</v>
      </c>
      <c r="P496" s="98">
        <v>0</v>
      </c>
      <c r="Q496" s="98">
        <v>0</v>
      </c>
    </row>
    <row r="497" spans="1:17" x14ac:dyDescent="0.35">
      <c r="A497" t="s">
        <v>110</v>
      </c>
      <c r="B497" t="s">
        <v>111</v>
      </c>
      <c r="C497">
        <v>4</v>
      </c>
      <c r="D497" t="s">
        <v>23</v>
      </c>
      <c r="E497" t="s">
        <v>100</v>
      </c>
      <c r="F497" t="s">
        <v>101</v>
      </c>
      <c r="G497">
        <v>254</v>
      </c>
      <c r="H497" t="s">
        <v>102</v>
      </c>
      <c r="I497" t="s">
        <v>160</v>
      </c>
      <c r="J497" t="s">
        <v>157</v>
      </c>
      <c r="K497">
        <v>1120</v>
      </c>
      <c r="L497">
        <v>112010</v>
      </c>
      <c r="M497" t="s">
        <v>170</v>
      </c>
      <c r="N497" s="98">
        <v>0</v>
      </c>
      <c r="O497" s="98">
        <v>2289</v>
      </c>
      <c r="P497" s="98">
        <v>-2289</v>
      </c>
      <c r="Q497" s="98">
        <v>2289</v>
      </c>
    </row>
    <row r="498" spans="1:17" x14ac:dyDescent="0.35">
      <c r="A498" t="s">
        <v>112</v>
      </c>
      <c r="B498" t="s">
        <v>113</v>
      </c>
      <c r="C498">
        <v>5</v>
      </c>
      <c r="D498" t="s">
        <v>27</v>
      </c>
      <c r="E498" t="s">
        <v>100</v>
      </c>
      <c r="F498" t="s">
        <v>101</v>
      </c>
      <c r="G498">
        <v>254</v>
      </c>
      <c r="H498" t="s">
        <v>102</v>
      </c>
      <c r="I498" t="s">
        <v>160</v>
      </c>
      <c r="J498" t="s">
        <v>157</v>
      </c>
      <c r="K498">
        <v>1120</v>
      </c>
      <c r="L498">
        <v>112010</v>
      </c>
      <c r="M498" t="s">
        <v>170</v>
      </c>
      <c r="N498" s="98">
        <v>0</v>
      </c>
      <c r="O498" s="98">
        <v>0</v>
      </c>
      <c r="P498" s="98">
        <v>0</v>
      </c>
      <c r="Q498" s="98">
        <v>0</v>
      </c>
    </row>
    <row r="499" spans="1:17" x14ac:dyDescent="0.35">
      <c r="A499" t="s">
        <v>114</v>
      </c>
      <c r="B499" t="s">
        <v>115</v>
      </c>
      <c r="C499">
        <v>6</v>
      </c>
      <c r="D499" t="s">
        <v>27</v>
      </c>
      <c r="E499" t="s">
        <v>100</v>
      </c>
      <c r="F499" t="s">
        <v>101</v>
      </c>
      <c r="G499">
        <v>254</v>
      </c>
      <c r="H499" t="s">
        <v>102</v>
      </c>
      <c r="I499" t="s">
        <v>160</v>
      </c>
      <c r="J499" t="s">
        <v>157</v>
      </c>
      <c r="K499">
        <v>1120</v>
      </c>
      <c r="L499">
        <v>112010</v>
      </c>
      <c r="M499" t="s">
        <v>170</v>
      </c>
      <c r="N499" s="98">
        <v>0</v>
      </c>
      <c r="O499" s="98">
        <v>0</v>
      </c>
      <c r="P499" s="98">
        <v>0</v>
      </c>
      <c r="Q499" s="98">
        <v>0</v>
      </c>
    </row>
    <row r="500" spans="1:17" x14ac:dyDescent="0.35">
      <c r="A500" t="s">
        <v>116</v>
      </c>
      <c r="B500" t="s">
        <v>117</v>
      </c>
      <c r="C500">
        <v>7</v>
      </c>
      <c r="D500" t="s">
        <v>27</v>
      </c>
      <c r="E500" t="s">
        <v>100</v>
      </c>
      <c r="F500" t="s">
        <v>101</v>
      </c>
      <c r="G500">
        <v>254</v>
      </c>
      <c r="H500" t="s">
        <v>102</v>
      </c>
      <c r="I500" t="s">
        <v>160</v>
      </c>
      <c r="J500" t="s">
        <v>157</v>
      </c>
      <c r="K500">
        <v>1120</v>
      </c>
      <c r="L500">
        <v>112010</v>
      </c>
      <c r="M500" t="s">
        <v>170</v>
      </c>
      <c r="N500" s="98">
        <v>0</v>
      </c>
      <c r="O500" s="98">
        <v>0</v>
      </c>
      <c r="P500" s="98">
        <v>0</v>
      </c>
      <c r="Q500" s="98">
        <v>0</v>
      </c>
    </row>
    <row r="501" spans="1:17" x14ac:dyDescent="0.35">
      <c r="A501" t="s">
        <v>118</v>
      </c>
      <c r="B501" t="s">
        <v>119</v>
      </c>
      <c r="C501">
        <v>8</v>
      </c>
      <c r="D501" t="s">
        <v>27</v>
      </c>
      <c r="E501" t="s">
        <v>100</v>
      </c>
      <c r="F501" t="s">
        <v>101</v>
      </c>
      <c r="G501">
        <v>254</v>
      </c>
      <c r="H501" t="s">
        <v>102</v>
      </c>
      <c r="I501" t="s">
        <v>160</v>
      </c>
      <c r="J501" t="s">
        <v>157</v>
      </c>
      <c r="K501">
        <v>1120</v>
      </c>
      <c r="L501">
        <v>112010</v>
      </c>
      <c r="M501" t="s">
        <v>170</v>
      </c>
      <c r="N501" s="98">
        <v>0</v>
      </c>
      <c r="O501" s="98">
        <v>881</v>
      </c>
      <c r="P501" s="98">
        <v>-881</v>
      </c>
      <c r="Q501" s="98">
        <v>881</v>
      </c>
    </row>
    <row r="502" spans="1:17" x14ac:dyDescent="0.35">
      <c r="A502" t="s">
        <v>120</v>
      </c>
      <c r="B502" t="s">
        <v>121</v>
      </c>
      <c r="C502">
        <v>9</v>
      </c>
      <c r="D502" t="s">
        <v>30</v>
      </c>
      <c r="E502" t="s">
        <v>5</v>
      </c>
      <c r="F502" t="s">
        <v>101</v>
      </c>
      <c r="G502">
        <v>254</v>
      </c>
      <c r="H502" t="s">
        <v>102</v>
      </c>
      <c r="I502" t="s">
        <v>160</v>
      </c>
      <c r="J502" t="s">
        <v>157</v>
      </c>
      <c r="K502">
        <v>1120</v>
      </c>
      <c r="L502">
        <v>112010</v>
      </c>
      <c r="M502" t="s">
        <v>170</v>
      </c>
      <c r="N502" s="98">
        <v>0</v>
      </c>
      <c r="O502" s="98">
        <v>0</v>
      </c>
      <c r="P502" s="98">
        <v>0</v>
      </c>
      <c r="Q502" s="98">
        <v>0</v>
      </c>
    </row>
    <row r="503" spans="1:17" x14ac:dyDescent="0.35">
      <c r="A503" t="s">
        <v>122</v>
      </c>
      <c r="B503" t="s">
        <v>123</v>
      </c>
      <c r="C503">
        <v>10</v>
      </c>
      <c r="D503" t="s">
        <v>30</v>
      </c>
      <c r="E503" t="s">
        <v>5</v>
      </c>
      <c r="F503" t="s">
        <v>101</v>
      </c>
      <c r="G503">
        <v>254</v>
      </c>
      <c r="H503" t="s">
        <v>102</v>
      </c>
      <c r="I503" t="s">
        <v>160</v>
      </c>
      <c r="J503" t="s">
        <v>157</v>
      </c>
      <c r="K503">
        <v>1120</v>
      </c>
      <c r="L503">
        <v>112010</v>
      </c>
      <c r="M503" t="s">
        <v>170</v>
      </c>
      <c r="N503" s="98">
        <v>0</v>
      </c>
      <c r="O503" s="98">
        <v>0</v>
      </c>
      <c r="P503" s="98">
        <v>0</v>
      </c>
      <c r="Q503" s="98">
        <v>0</v>
      </c>
    </row>
    <row r="504" spans="1:17" x14ac:dyDescent="0.35">
      <c r="A504" t="s">
        <v>124</v>
      </c>
      <c r="B504" t="s">
        <v>125</v>
      </c>
      <c r="C504">
        <v>11</v>
      </c>
      <c r="D504" t="s">
        <v>30</v>
      </c>
      <c r="E504" t="s">
        <v>5</v>
      </c>
      <c r="F504" t="s">
        <v>101</v>
      </c>
      <c r="G504">
        <v>254</v>
      </c>
      <c r="H504" t="s">
        <v>102</v>
      </c>
      <c r="I504" t="s">
        <v>160</v>
      </c>
      <c r="J504" t="s">
        <v>157</v>
      </c>
      <c r="K504">
        <v>1120</v>
      </c>
      <c r="L504">
        <v>112010</v>
      </c>
      <c r="M504" t="s">
        <v>170</v>
      </c>
      <c r="N504" s="98">
        <v>0</v>
      </c>
      <c r="O504" s="98">
        <v>0</v>
      </c>
      <c r="P504" s="98">
        <v>0</v>
      </c>
      <c r="Q504" s="98">
        <v>0</v>
      </c>
    </row>
    <row r="505" spans="1:17" x14ac:dyDescent="0.35">
      <c r="A505" t="s">
        <v>126</v>
      </c>
      <c r="B505" t="s">
        <v>127</v>
      </c>
      <c r="C505">
        <v>12</v>
      </c>
      <c r="D505" t="s">
        <v>30</v>
      </c>
      <c r="E505" t="s">
        <v>5</v>
      </c>
      <c r="F505" t="s">
        <v>101</v>
      </c>
      <c r="G505">
        <v>254</v>
      </c>
      <c r="H505" t="s">
        <v>102</v>
      </c>
      <c r="I505" t="s">
        <v>160</v>
      </c>
      <c r="J505" t="s">
        <v>157</v>
      </c>
      <c r="K505">
        <v>1120</v>
      </c>
      <c r="L505">
        <v>112010</v>
      </c>
      <c r="M505" t="s">
        <v>170</v>
      </c>
      <c r="N505" s="98">
        <v>0</v>
      </c>
      <c r="O505" s="98">
        <v>0</v>
      </c>
      <c r="P505" s="98">
        <v>0</v>
      </c>
      <c r="Q505" s="98">
        <v>0</v>
      </c>
    </row>
    <row r="506" spans="1:17" x14ac:dyDescent="0.35">
      <c r="A506" t="s">
        <v>98</v>
      </c>
      <c r="B506" t="s">
        <v>99</v>
      </c>
      <c r="C506">
        <v>1</v>
      </c>
      <c r="D506" t="s">
        <v>23</v>
      </c>
      <c r="E506" t="s">
        <v>100</v>
      </c>
      <c r="F506" t="s">
        <v>101</v>
      </c>
      <c r="G506">
        <v>254</v>
      </c>
      <c r="H506" t="s">
        <v>102</v>
      </c>
      <c r="I506" t="s">
        <v>160</v>
      </c>
      <c r="J506" t="s">
        <v>157</v>
      </c>
      <c r="K506">
        <v>1120</v>
      </c>
      <c r="L506">
        <v>112012</v>
      </c>
      <c r="M506" t="s">
        <v>171</v>
      </c>
      <c r="N506" s="98">
        <v>0</v>
      </c>
      <c r="O506" s="98">
        <v>0</v>
      </c>
      <c r="P506" s="98">
        <v>0</v>
      </c>
      <c r="Q506" s="98">
        <v>0</v>
      </c>
    </row>
    <row r="507" spans="1:17" x14ac:dyDescent="0.35">
      <c r="A507" t="s">
        <v>106</v>
      </c>
      <c r="B507" t="s">
        <v>107</v>
      </c>
      <c r="C507">
        <v>2</v>
      </c>
      <c r="D507" t="s">
        <v>23</v>
      </c>
      <c r="E507" t="s">
        <v>100</v>
      </c>
      <c r="F507" t="s">
        <v>101</v>
      </c>
      <c r="G507">
        <v>254</v>
      </c>
      <c r="H507" t="s">
        <v>102</v>
      </c>
      <c r="I507" t="s">
        <v>160</v>
      </c>
      <c r="J507" t="s">
        <v>157</v>
      </c>
      <c r="K507">
        <v>1120</v>
      </c>
      <c r="L507">
        <v>112012</v>
      </c>
      <c r="M507" t="s">
        <v>171</v>
      </c>
      <c r="N507" s="98">
        <v>0</v>
      </c>
      <c r="O507" s="98">
        <v>732</v>
      </c>
      <c r="P507" s="98">
        <v>-732</v>
      </c>
      <c r="Q507" s="98">
        <v>732</v>
      </c>
    </row>
    <row r="508" spans="1:17" x14ac:dyDescent="0.35">
      <c r="A508" t="s">
        <v>108</v>
      </c>
      <c r="B508" t="s">
        <v>109</v>
      </c>
      <c r="C508">
        <v>3</v>
      </c>
      <c r="D508" t="s">
        <v>23</v>
      </c>
      <c r="E508" t="s">
        <v>100</v>
      </c>
      <c r="F508" t="s">
        <v>101</v>
      </c>
      <c r="G508">
        <v>254</v>
      </c>
      <c r="H508" t="s">
        <v>102</v>
      </c>
      <c r="I508" t="s">
        <v>160</v>
      </c>
      <c r="J508" t="s">
        <v>157</v>
      </c>
      <c r="K508">
        <v>1120</v>
      </c>
      <c r="L508">
        <v>112012</v>
      </c>
      <c r="M508" t="s">
        <v>171</v>
      </c>
      <c r="N508" s="98">
        <v>0</v>
      </c>
      <c r="O508" s="98">
        <v>0</v>
      </c>
      <c r="P508" s="98">
        <v>0</v>
      </c>
      <c r="Q508" s="98">
        <v>0</v>
      </c>
    </row>
    <row r="509" spans="1:17" x14ac:dyDescent="0.35">
      <c r="A509" t="s">
        <v>110</v>
      </c>
      <c r="B509" t="s">
        <v>111</v>
      </c>
      <c r="C509">
        <v>4</v>
      </c>
      <c r="D509" t="s">
        <v>23</v>
      </c>
      <c r="E509" t="s">
        <v>100</v>
      </c>
      <c r="F509" t="s">
        <v>101</v>
      </c>
      <c r="G509">
        <v>254</v>
      </c>
      <c r="H509" t="s">
        <v>102</v>
      </c>
      <c r="I509" t="s">
        <v>160</v>
      </c>
      <c r="J509" t="s">
        <v>157</v>
      </c>
      <c r="K509">
        <v>1120</v>
      </c>
      <c r="L509">
        <v>112012</v>
      </c>
      <c r="M509" t="s">
        <v>171</v>
      </c>
      <c r="N509" s="98">
        <v>0</v>
      </c>
      <c r="O509" s="98">
        <v>1098</v>
      </c>
      <c r="P509" s="98">
        <v>-1098</v>
      </c>
      <c r="Q509" s="98">
        <v>1098</v>
      </c>
    </row>
    <row r="510" spans="1:17" x14ac:dyDescent="0.35">
      <c r="A510" t="s">
        <v>112</v>
      </c>
      <c r="B510" t="s">
        <v>113</v>
      </c>
      <c r="C510">
        <v>5</v>
      </c>
      <c r="D510" t="s">
        <v>27</v>
      </c>
      <c r="E510" t="s">
        <v>100</v>
      </c>
      <c r="F510" t="s">
        <v>101</v>
      </c>
      <c r="G510">
        <v>254</v>
      </c>
      <c r="H510" t="s">
        <v>102</v>
      </c>
      <c r="I510" t="s">
        <v>160</v>
      </c>
      <c r="J510" t="s">
        <v>157</v>
      </c>
      <c r="K510">
        <v>1120</v>
      </c>
      <c r="L510">
        <v>112012</v>
      </c>
      <c r="M510" t="s">
        <v>171</v>
      </c>
      <c r="N510" s="98">
        <v>0</v>
      </c>
      <c r="O510" s="98">
        <v>366</v>
      </c>
      <c r="P510" s="98">
        <v>-366</v>
      </c>
      <c r="Q510" s="98">
        <v>366</v>
      </c>
    </row>
    <row r="511" spans="1:17" x14ac:dyDescent="0.35">
      <c r="A511" t="s">
        <v>114</v>
      </c>
      <c r="B511" t="s">
        <v>115</v>
      </c>
      <c r="C511">
        <v>6</v>
      </c>
      <c r="D511" t="s">
        <v>27</v>
      </c>
      <c r="E511" t="s">
        <v>100</v>
      </c>
      <c r="F511" t="s">
        <v>101</v>
      </c>
      <c r="G511">
        <v>254</v>
      </c>
      <c r="H511" t="s">
        <v>102</v>
      </c>
      <c r="I511" t="s">
        <v>160</v>
      </c>
      <c r="J511" t="s">
        <v>157</v>
      </c>
      <c r="K511">
        <v>1120</v>
      </c>
      <c r="L511">
        <v>112012</v>
      </c>
      <c r="M511" t="s">
        <v>171</v>
      </c>
      <c r="N511" s="98">
        <v>0</v>
      </c>
      <c r="O511" s="98">
        <v>0</v>
      </c>
      <c r="P511" s="98">
        <v>0</v>
      </c>
      <c r="Q511" s="98">
        <v>0</v>
      </c>
    </row>
    <row r="512" spans="1:17" x14ac:dyDescent="0.35">
      <c r="A512" t="s">
        <v>116</v>
      </c>
      <c r="B512" t="s">
        <v>117</v>
      </c>
      <c r="C512">
        <v>7</v>
      </c>
      <c r="D512" t="s">
        <v>27</v>
      </c>
      <c r="E512" t="s">
        <v>100</v>
      </c>
      <c r="F512" t="s">
        <v>101</v>
      </c>
      <c r="G512">
        <v>254</v>
      </c>
      <c r="H512" t="s">
        <v>102</v>
      </c>
      <c r="I512" t="s">
        <v>160</v>
      </c>
      <c r="J512" t="s">
        <v>157</v>
      </c>
      <c r="K512">
        <v>1120</v>
      </c>
      <c r="L512">
        <v>112012</v>
      </c>
      <c r="M512" t="s">
        <v>171</v>
      </c>
      <c r="N512" s="98">
        <v>0</v>
      </c>
      <c r="O512" s="98">
        <v>366</v>
      </c>
      <c r="P512" s="98">
        <v>-366</v>
      </c>
      <c r="Q512" s="98">
        <v>366</v>
      </c>
    </row>
    <row r="513" spans="1:17" x14ac:dyDescent="0.35">
      <c r="A513" t="s">
        <v>118</v>
      </c>
      <c r="B513" t="s">
        <v>119</v>
      </c>
      <c r="C513">
        <v>8</v>
      </c>
      <c r="D513" t="s">
        <v>27</v>
      </c>
      <c r="E513" t="s">
        <v>100</v>
      </c>
      <c r="F513" t="s">
        <v>101</v>
      </c>
      <c r="G513">
        <v>254</v>
      </c>
      <c r="H513" t="s">
        <v>102</v>
      </c>
      <c r="I513" t="s">
        <v>160</v>
      </c>
      <c r="J513" t="s">
        <v>157</v>
      </c>
      <c r="K513">
        <v>1120</v>
      </c>
      <c r="L513">
        <v>112012</v>
      </c>
      <c r="M513" t="s">
        <v>171</v>
      </c>
      <c r="N513" s="98">
        <v>0</v>
      </c>
      <c r="O513" s="98">
        <v>366</v>
      </c>
      <c r="P513" s="98">
        <v>-366</v>
      </c>
      <c r="Q513" s="98">
        <v>366</v>
      </c>
    </row>
    <row r="514" spans="1:17" x14ac:dyDescent="0.35">
      <c r="A514" t="s">
        <v>120</v>
      </c>
      <c r="B514" t="s">
        <v>121</v>
      </c>
      <c r="C514">
        <v>9</v>
      </c>
      <c r="D514" t="s">
        <v>30</v>
      </c>
      <c r="E514" t="s">
        <v>5</v>
      </c>
      <c r="F514" t="s">
        <v>101</v>
      </c>
      <c r="G514">
        <v>254</v>
      </c>
      <c r="H514" t="s">
        <v>102</v>
      </c>
      <c r="I514" t="s">
        <v>160</v>
      </c>
      <c r="J514" t="s">
        <v>157</v>
      </c>
      <c r="K514">
        <v>1120</v>
      </c>
      <c r="L514">
        <v>112012</v>
      </c>
      <c r="M514" t="s">
        <v>171</v>
      </c>
      <c r="N514" s="98">
        <v>0</v>
      </c>
      <c r="O514" s="98">
        <v>0</v>
      </c>
      <c r="P514" s="98">
        <v>0</v>
      </c>
      <c r="Q514" s="98">
        <v>0</v>
      </c>
    </row>
    <row r="515" spans="1:17" x14ac:dyDescent="0.35">
      <c r="A515" t="s">
        <v>122</v>
      </c>
      <c r="B515" t="s">
        <v>123</v>
      </c>
      <c r="C515">
        <v>10</v>
      </c>
      <c r="D515" t="s">
        <v>30</v>
      </c>
      <c r="E515" t="s">
        <v>5</v>
      </c>
      <c r="F515" t="s">
        <v>101</v>
      </c>
      <c r="G515">
        <v>254</v>
      </c>
      <c r="H515" t="s">
        <v>102</v>
      </c>
      <c r="I515" t="s">
        <v>160</v>
      </c>
      <c r="J515" t="s">
        <v>157</v>
      </c>
      <c r="K515">
        <v>1120</v>
      </c>
      <c r="L515">
        <v>112012</v>
      </c>
      <c r="M515" t="s">
        <v>171</v>
      </c>
      <c r="N515" s="98">
        <v>0</v>
      </c>
      <c r="O515" s="98">
        <v>0</v>
      </c>
      <c r="P515" s="98">
        <v>0</v>
      </c>
      <c r="Q515" s="98">
        <v>0</v>
      </c>
    </row>
    <row r="516" spans="1:17" x14ac:dyDescent="0.35">
      <c r="A516" t="s">
        <v>124</v>
      </c>
      <c r="B516" t="s">
        <v>125</v>
      </c>
      <c r="C516">
        <v>11</v>
      </c>
      <c r="D516" t="s">
        <v>30</v>
      </c>
      <c r="E516" t="s">
        <v>5</v>
      </c>
      <c r="F516" t="s">
        <v>101</v>
      </c>
      <c r="G516">
        <v>254</v>
      </c>
      <c r="H516" t="s">
        <v>102</v>
      </c>
      <c r="I516" t="s">
        <v>160</v>
      </c>
      <c r="J516" t="s">
        <v>157</v>
      </c>
      <c r="K516">
        <v>1120</v>
      </c>
      <c r="L516">
        <v>112012</v>
      </c>
      <c r="M516" t="s">
        <v>171</v>
      </c>
      <c r="N516" s="98">
        <v>0</v>
      </c>
      <c r="O516" s="98">
        <v>0</v>
      </c>
      <c r="P516" s="98">
        <v>0</v>
      </c>
      <c r="Q516" s="98">
        <v>0</v>
      </c>
    </row>
    <row r="517" spans="1:17" x14ac:dyDescent="0.35">
      <c r="A517" t="s">
        <v>126</v>
      </c>
      <c r="B517" t="s">
        <v>127</v>
      </c>
      <c r="C517">
        <v>12</v>
      </c>
      <c r="D517" t="s">
        <v>30</v>
      </c>
      <c r="E517" t="s">
        <v>5</v>
      </c>
      <c r="F517" t="s">
        <v>101</v>
      </c>
      <c r="G517">
        <v>254</v>
      </c>
      <c r="H517" t="s">
        <v>102</v>
      </c>
      <c r="I517" t="s">
        <v>160</v>
      </c>
      <c r="J517" t="s">
        <v>157</v>
      </c>
      <c r="K517">
        <v>1120</v>
      </c>
      <c r="L517">
        <v>112012</v>
      </c>
      <c r="M517" t="s">
        <v>171</v>
      </c>
      <c r="N517" s="98">
        <v>0</v>
      </c>
      <c r="O517" s="98">
        <v>0</v>
      </c>
      <c r="P517" s="98">
        <v>0</v>
      </c>
      <c r="Q517" s="98">
        <v>0</v>
      </c>
    </row>
    <row r="518" spans="1:17" x14ac:dyDescent="0.35">
      <c r="A518" t="s">
        <v>98</v>
      </c>
      <c r="B518" t="s">
        <v>99</v>
      </c>
      <c r="C518">
        <v>1</v>
      </c>
      <c r="D518" t="s">
        <v>23</v>
      </c>
      <c r="E518" t="s">
        <v>100</v>
      </c>
      <c r="F518" t="s">
        <v>101</v>
      </c>
      <c r="G518">
        <v>254</v>
      </c>
      <c r="H518" t="s">
        <v>102</v>
      </c>
      <c r="I518" t="s">
        <v>160</v>
      </c>
      <c r="J518" t="s">
        <v>157</v>
      </c>
      <c r="K518">
        <v>1120</v>
      </c>
      <c r="L518">
        <v>112013</v>
      </c>
      <c r="M518" t="s">
        <v>172</v>
      </c>
      <c r="N518" s="98">
        <v>0</v>
      </c>
      <c r="O518" s="98">
        <v>0</v>
      </c>
      <c r="P518" s="98">
        <v>0</v>
      </c>
      <c r="Q518" s="98">
        <v>0</v>
      </c>
    </row>
    <row r="519" spans="1:17" x14ac:dyDescent="0.35">
      <c r="A519" t="s">
        <v>106</v>
      </c>
      <c r="B519" t="s">
        <v>107</v>
      </c>
      <c r="C519">
        <v>2</v>
      </c>
      <c r="D519" t="s">
        <v>23</v>
      </c>
      <c r="E519" t="s">
        <v>100</v>
      </c>
      <c r="F519" t="s">
        <v>101</v>
      </c>
      <c r="G519">
        <v>254</v>
      </c>
      <c r="H519" t="s">
        <v>102</v>
      </c>
      <c r="I519" t="s">
        <v>160</v>
      </c>
      <c r="J519" t="s">
        <v>157</v>
      </c>
      <c r="K519">
        <v>1120</v>
      </c>
      <c r="L519">
        <v>112013</v>
      </c>
      <c r="M519" t="s">
        <v>172</v>
      </c>
      <c r="N519" s="98">
        <v>0</v>
      </c>
      <c r="O519" s="98">
        <v>-732</v>
      </c>
      <c r="P519" s="98">
        <v>732</v>
      </c>
      <c r="Q519" s="98">
        <v>-732</v>
      </c>
    </row>
    <row r="520" spans="1:17" x14ac:dyDescent="0.35">
      <c r="A520" t="s">
        <v>108</v>
      </c>
      <c r="B520" t="s">
        <v>109</v>
      </c>
      <c r="C520">
        <v>3</v>
      </c>
      <c r="D520" t="s">
        <v>23</v>
      </c>
      <c r="E520" t="s">
        <v>100</v>
      </c>
      <c r="F520" t="s">
        <v>101</v>
      </c>
      <c r="G520">
        <v>254</v>
      </c>
      <c r="H520" t="s">
        <v>102</v>
      </c>
      <c r="I520" t="s">
        <v>160</v>
      </c>
      <c r="J520" t="s">
        <v>157</v>
      </c>
      <c r="K520">
        <v>1120</v>
      </c>
      <c r="L520">
        <v>112013</v>
      </c>
      <c r="M520" t="s">
        <v>172</v>
      </c>
      <c r="N520" s="98">
        <v>0</v>
      </c>
      <c r="O520" s="98">
        <v>0</v>
      </c>
      <c r="P520" s="98">
        <v>0</v>
      </c>
      <c r="Q520" s="98">
        <v>0</v>
      </c>
    </row>
    <row r="521" spans="1:17" x14ac:dyDescent="0.35">
      <c r="A521" t="s">
        <v>110</v>
      </c>
      <c r="B521" t="s">
        <v>111</v>
      </c>
      <c r="C521">
        <v>4</v>
      </c>
      <c r="D521" t="s">
        <v>23</v>
      </c>
      <c r="E521" t="s">
        <v>100</v>
      </c>
      <c r="F521" t="s">
        <v>101</v>
      </c>
      <c r="G521">
        <v>254</v>
      </c>
      <c r="H521" t="s">
        <v>102</v>
      </c>
      <c r="I521" t="s">
        <v>160</v>
      </c>
      <c r="J521" t="s">
        <v>157</v>
      </c>
      <c r="K521">
        <v>1120</v>
      </c>
      <c r="L521">
        <v>112013</v>
      </c>
      <c r="M521" t="s">
        <v>172</v>
      </c>
      <c r="N521" s="98">
        <v>0</v>
      </c>
      <c r="O521" s="98">
        <v>-1098</v>
      </c>
      <c r="P521" s="98">
        <v>1098</v>
      </c>
      <c r="Q521" s="98">
        <v>-1098</v>
      </c>
    </row>
    <row r="522" spans="1:17" x14ac:dyDescent="0.35">
      <c r="A522" t="s">
        <v>112</v>
      </c>
      <c r="B522" t="s">
        <v>113</v>
      </c>
      <c r="C522">
        <v>5</v>
      </c>
      <c r="D522" t="s">
        <v>27</v>
      </c>
      <c r="E522" t="s">
        <v>100</v>
      </c>
      <c r="F522" t="s">
        <v>101</v>
      </c>
      <c r="G522">
        <v>254</v>
      </c>
      <c r="H522" t="s">
        <v>102</v>
      </c>
      <c r="I522" t="s">
        <v>160</v>
      </c>
      <c r="J522" t="s">
        <v>157</v>
      </c>
      <c r="K522">
        <v>1120</v>
      </c>
      <c r="L522">
        <v>112013</v>
      </c>
      <c r="M522" t="s">
        <v>172</v>
      </c>
      <c r="N522" s="98">
        <v>0</v>
      </c>
      <c r="O522" s="98">
        <v>-366</v>
      </c>
      <c r="P522" s="98">
        <v>366</v>
      </c>
      <c r="Q522" s="98">
        <v>-366</v>
      </c>
    </row>
    <row r="523" spans="1:17" x14ac:dyDescent="0.35">
      <c r="A523" t="s">
        <v>114</v>
      </c>
      <c r="B523" t="s">
        <v>115</v>
      </c>
      <c r="C523">
        <v>6</v>
      </c>
      <c r="D523" t="s">
        <v>27</v>
      </c>
      <c r="E523" t="s">
        <v>100</v>
      </c>
      <c r="F523" t="s">
        <v>101</v>
      </c>
      <c r="G523">
        <v>254</v>
      </c>
      <c r="H523" t="s">
        <v>102</v>
      </c>
      <c r="I523" t="s">
        <v>160</v>
      </c>
      <c r="J523" t="s">
        <v>157</v>
      </c>
      <c r="K523">
        <v>1120</v>
      </c>
      <c r="L523">
        <v>112013</v>
      </c>
      <c r="M523" t="s">
        <v>172</v>
      </c>
      <c r="N523" s="98">
        <v>0</v>
      </c>
      <c r="O523" s="98">
        <v>0</v>
      </c>
      <c r="P523" s="98">
        <v>0</v>
      </c>
      <c r="Q523" s="98">
        <v>0</v>
      </c>
    </row>
    <row r="524" spans="1:17" x14ac:dyDescent="0.35">
      <c r="A524" t="s">
        <v>116</v>
      </c>
      <c r="B524" t="s">
        <v>117</v>
      </c>
      <c r="C524">
        <v>7</v>
      </c>
      <c r="D524" t="s">
        <v>27</v>
      </c>
      <c r="E524" t="s">
        <v>100</v>
      </c>
      <c r="F524" t="s">
        <v>101</v>
      </c>
      <c r="G524">
        <v>254</v>
      </c>
      <c r="H524" t="s">
        <v>102</v>
      </c>
      <c r="I524" t="s">
        <v>160</v>
      </c>
      <c r="J524" t="s">
        <v>157</v>
      </c>
      <c r="K524">
        <v>1120</v>
      </c>
      <c r="L524">
        <v>112013</v>
      </c>
      <c r="M524" t="s">
        <v>172</v>
      </c>
      <c r="N524" s="98">
        <v>0</v>
      </c>
      <c r="O524" s="98">
        <v>-366</v>
      </c>
      <c r="P524" s="98">
        <v>366</v>
      </c>
      <c r="Q524" s="98">
        <v>-366</v>
      </c>
    </row>
    <row r="525" spans="1:17" x14ac:dyDescent="0.35">
      <c r="A525" t="s">
        <v>118</v>
      </c>
      <c r="B525" t="s">
        <v>119</v>
      </c>
      <c r="C525">
        <v>8</v>
      </c>
      <c r="D525" t="s">
        <v>27</v>
      </c>
      <c r="E525" t="s">
        <v>100</v>
      </c>
      <c r="F525" t="s">
        <v>101</v>
      </c>
      <c r="G525">
        <v>254</v>
      </c>
      <c r="H525" t="s">
        <v>102</v>
      </c>
      <c r="I525" t="s">
        <v>160</v>
      </c>
      <c r="J525" t="s">
        <v>157</v>
      </c>
      <c r="K525">
        <v>1120</v>
      </c>
      <c r="L525">
        <v>112013</v>
      </c>
      <c r="M525" t="s">
        <v>172</v>
      </c>
      <c r="N525" s="98">
        <v>0</v>
      </c>
      <c r="O525" s="98">
        <v>-366</v>
      </c>
      <c r="P525" s="98">
        <v>366</v>
      </c>
      <c r="Q525" s="98">
        <v>-366</v>
      </c>
    </row>
    <row r="526" spans="1:17" x14ac:dyDescent="0.35">
      <c r="A526" t="s">
        <v>120</v>
      </c>
      <c r="B526" t="s">
        <v>121</v>
      </c>
      <c r="C526">
        <v>9</v>
      </c>
      <c r="D526" t="s">
        <v>30</v>
      </c>
      <c r="E526" t="s">
        <v>5</v>
      </c>
      <c r="F526" t="s">
        <v>101</v>
      </c>
      <c r="G526">
        <v>254</v>
      </c>
      <c r="H526" t="s">
        <v>102</v>
      </c>
      <c r="I526" t="s">
        <v>160</v>
      </c>
      <c r="J526" t="s">
        <v>157</v>
      </c>
      <c r="K526">
        <v>1120</v>
      </c>
      <c r="L526">
        <v>112013</v>
      </c>
      <c r="M526" t="s">
        <v>172</v>
      </c>
      <c r="N526" s="98">
        <v>0</v>
      </c>
      <c r="O526" s="98">
        <v>0</v>
      </c>
      <c r="P526" s="98">
        <v>0</v>
      </c>
      <c r="Q526" s="98">
        <v>0</v>
      </c>
    </row>
    <row r="527" spans="1:17" x14ac:dyDescent="0.35">
      <c r="A527" t="s">
        <v>122</v>
      </c>
      <c r="B527" t="s">
        <v>123</v>
      </c>
      <c r="C527">
        <v>10</v>
      </c>
      <c r="D527" t="s">
        <v>30</v>
      </c>
      <c r="E527" t="s">
        <v>5</v>
      </c>
      <c r="F527" t="s">
        <v>101</v>
      </c>
      <c r="G527">
        <v>254</v>
      </c>
      <c r="H527" t="s">
        <v>102</v>
      </c>
      <c r="I527" t="s">
        <v>160</v>
      </c>
      <c r="J527" t="s">
        <v>157</v>
      </c>
      <c r="K527">
        <v>1120</v>
      </c>
      <c r="L527">
        <v>112013</v>
      </c>
      <c r="M527" t="s">
        <v>172</v>
      </c>
      <c r="N527" s="98">
        <v>0</v>
      </c>
      <c r="O527" s="98">
        <v>0</v>
      </c>
      <c r="P527" s="98">
        <v>0</v>
      </c>
      <c r="Q527" s="98">
        <v>0</v>
      </c>
    </row>
    <row r="528" spans="1:17" x14ac:dyDescent="0.35">
      <c r="A528" t="s">
        <v>124</v>
      </c>
      <c r="B528" t="s">
        <v>125</v>
      </c>
      <c r="C528">
        <v>11</v>
      </c>
      <c r="D528" t="s">
        <v>30</v>
      </c>
      <c r="E528" t="s">
        <v>5</v>
      </c>
      <c r="F528" t="s">
        <v>101</v>
      </c>
      <c r="G528">
        <v>254</v>
      </c>
      <c r="H528" t="s">
        <v>102</v>
      </c>
      <c r="I528" t="s">
        <v>160</v>
      </c>
      <c r="J528" t="s">
        <v>157</v>
      </c>
      <c r="K528">
        <v>1120</v>
      </c>
      <c r="L528">
        <v>112013</v>
      </c>
      <c r="M528" t="s">
        <v>172</v>
      </c>
      <c r="N528" s="98">
        <v>0</v>
      </c>
      <c r="O528" s="98">
        <v>0</v>
      </c>
      <c r="P528" s="98">
        <v>0</v>
      </c>
      <c r="Q528" s="98">
        <v>0</v>
      </c>
    </row>
    <row r="529" spans="1:17" x14ac:dyDescent="0.35">
      <c r="A529" t="s">
        <v>126</v>
      </c>
      <c r="B529" t="s">
        <v>127</v>
      </c>
      <c r="C529">
        <v>12</v>
      </c>
      <c r="D529" t="s">
        <v>30</v>
      </c>
      <c r="E529" t="s">
        <v>5</v>
      </c>
      <c r="F529" t="s">
        <v>101</v>
      </c>
      <c r="G529">
        <v>254</v>
      </c>
      <c r="H529" t="s">
        <v>102</v>
      </c>
      <c r="I529" t="s">
        <v>160</v>
      </c>
      <c r="J529" t="s">
        <v>157</v>
      </c>
      <c r="K529">
        <v>1120</v>
      </c>
      <c r="L529">
        <v>112013</v>
      </c>
      <c r="M529" t="s">
        <v>172</v>
      </c>
      <c r="N529" s="98">
        <v>0</v>
      </c>
      <c r="O529" s="98">
        <v>0</v>
      </c>
      <c r="P529" s="98">
        <v>0</v>
      </c>
      <c r="Q529" s="98">
        <v>0</v>
      </c>
    </row>
    <row r="530" spans="1:17" x14ac:dyDescent="0.35">
      <c r="A530" t="s">
        <v>98</v>
      </c>
      <c r="B530" t="s">
        <v>99</v>
      </c>
      <c r="C530">
        <v>1</v>
      </c>
      <c r="D530" t="s">
        <v>23</v>
      </c>
      <c r="E530" t="s">
        <v>100</v>
      </c>
      <c r="F530" t="s">
        <v>101</v>
      </c>
      <c r="G530">
        <v>254</v>
      </c>
      <c r="H530" t="s">
        <v>102</v>
      </c>
      <c r="I530" t="s">
        <v>160</v>
      </c>
      <c r="J530" t="s">
        <v>157</v>
      </c>
      <c r="K530">
        <v>1120</v>
      </c>
      <c r="L530">
        <v>112020</v>
      </c>
      <c r="M530" t="s">
        <v>173</v>
      </c>
      <c r="N530" s="98">
        <v>0</v>
      </c>
      <c r="O530" s="98">
        <v>786.64</v>
      </c>
      <c r="P530" s="98">
        <v>-786.64</v>
      </c>
      <c r="Q530" s="98">
        <v>786.64</v>
      </c>
    </row>
    <row r="531" spans="1:17" x14ac:dyDescent="0.35">
      <c r="A531" t="s">
        <v>106</v>
      </c>
      <c r="B531" t="s">
        <v>107</v>
      </c>
      <c r="C531">
        <v>2</v>
      </c>
      <c r="D531" t="s">
        <v>23</v>
      </c>
      <c r="E531" t="s">
        <v>100</v>
      </c>
      <c r="F531" t="s">
        <v>101</v>
      </c>
      <c r="G531">
        <v>254</v>
      </c>
      <c r="H531" t="s">
        <v>102</v>
      </c>
      <c r="I531" t="s">
        <v>160</v>
      </c>
      <c r="J531" t="s">
        <v>157</v>
      </c>
      <c r="K531">
        <v>1120</v>
      </c>
      <c r="L531">
        <v>112020</v>
      </c>
      <c r="M531" t="s">
        <v>173</v>
      </c>
      <c r="N531" s="98">
        <v>0</v>
      </c>
      <c r="O531" s="98">
        <v>0</v>
      </c>
      <c r="P531" s="98">
        <v>0</v>
      </c>
      <c r="Q531" s="98">
        <v>0</v>
      </c>
    </row>
    <row r="532" spans="1:17" x14ac:dyDescent="0.35">
      <c r="A532" t="s">
        <v>108</v>
      </c>
      <c r="B532" t="s">
        <v>109</v>
      </c>
      <c r="C532">
        <v>3</v>
      </c>
      <c r="D532" t="s">
        <v>23</v>
      </c>
      <c r="E532" t="s">
        <v>100</v>
      </c>
      <c r="F532" t="s">
        <v>101</v>
      </c>
      <c r="G532">
        <v>254</v>
      </c>
      <c r="H532" t="s">
        <v>102</v>
      </c>
      <c r="I532" t="s">
        <v>160</v>
      </c>
      <c r="J532" t="s">
        <v>157</v>
      </c>
      <c r="K532">
        <v>1120</v>
      </c>
      <c r="L532">
        <v>112020</v>
      </c>
      <c r="M532" t="s">
        <v>173</v>
      </c>
      <c r="N532" s="98">
        <v>0</v>
      </c>
      <c r="O532" s="98">
        <v>0</v>
      </c>
      <c r="P532" s="98">
        <v>0</v>
      </c>
      <c r="Q532" s="98">
        <v>0</v>
      </c>
    </row>
    <row r="533" spans="1:17" x14ac:dyDescent="0.35">
      <c r="A533" t="s">
        <v>110</v>
      </c>
      <c r="B533" t="s">
        <v>111</v>
      </c>
      <c r="C533">
        <v>4</v>
      </c>
      <c r="D533" t="s">
        <v>23</v>
      </c>
      <c r="E533" t="s">
        <v>100</v>
      </c>
      <c r="F533" t="s">
        <v>101</v>
      </c>
      <c r="G533">
        <v>254</v>
      </c>
      <c r="H533" t="s">
        <v>102</v>
      </c>
      <c r="I533" t="s">
        <v>160</v>
      </c>
      <c r="J533" t="s">
        <v>157</v>
      </c>
      <c r="K533">
        <v>1120</v>
      </c>
      <c r="L533">
        <v>112020</v>
      </c>
      <c r="M533" t="s">
        <v>173</v>
      </c>
      <c r="N533" s="98">
        <v>0</v>
      </c>
      <c r="O533" s="98">
        <v>0</v>
      </c>
      <c r="P533" s="98">
        <v>0</v>
      </c>
      <c r="Q533" s="98">
        <v>0</v>
      </c>
    </row>
    <row r="534" spans="1:17" x14ac:dyDescent="0.35">
      <c r="A534" t="s">
        <v>112</v>
      </c>
      <c r="B534" t="s">
        <v>113</v>
      </c>
      <c r="C534">
        <v>5</v>
      </c>
      <c r="D534" t="s">
        <v>27</v>
      </c>
      <c r="E534" t="s">
        <v>100</v>
      </c>
      <c r="F534" t="s">
        <v>101</v>
      </c>
      <c r="G534">
        <v>254</v>
      </c>
      <c r="H534" t="s">
        <v>102</v>
      </c>
      <c r="I534" t="s">
        <v>160</v>
      </c>
      <c r="J534" t="s">
        <v>157</v>
      </c>
      <c r="K534">
        <v>1120</v>
      </c>
      <c r="L534">
        <v>112020</v>
      </c>
      <c r="M534" t="s">
        <v>173</v>
      </c>
      <c r="N534" s="98">
        <v>0</v>
      </c>
      <c r="O534" s="98">
        <v>0</v>
      </c>
      <c r="P534" s="98">
        <v>0</v>
      </c>
      <c r="Q534" s="98">
        <v>0</v>
      </c>
    </row>
    <row r="535" spans="1:17" x14ac:dyDescent="0.35">
      <c r="A535" t="s">
        <v>114</v>
      </c>
      <c r="B535" t="s">
        <v>115</v>
      </c>
      <c r="C535">
        <v>6</v>
      </c>
      <c r="D535" t="s">
        <v>27</v>
      </c>
      <c r="E535" t="s">
        <v>100</v>
      </c>
      <c r="F535" t="s">
        <v>101</v>
      </c>
      <c r="G535">
        <v>254</v>
      </c>
      <c r="H535" t="s">
        <v>102</v>
      </c>
      <c r="I535" t="s">
        <v>160</v>
      </c>
      <c r="J535" t="s">
        <v>157</v>
      </c>
      <c r="K535">
        <v>1120</v>
      </c>
      <c r="L535">
        <v>112020</v>
      </c>
      <c r="M535" t="s">
        <v>173</v>
      </c>
      <c r="N535" s="98">
        <v>0</v>
      </c>
      <c r="O535" s="98">
        <v>0</v>
      </c>
      <c r="P535" s="98">
        <v>0</v>
      </c>
      <c r="Q535" s="98">
        <v>0</v>
      </c>
    </row>
    <row r="536" spans="1:17" x14ac:dyDescent="0.35">
      <c r="A536" t="s">
        <v>116</v>
      </c>
      <c r="B536" t="s">
        <v>117</v>
      </c>
      <c r="C536">
        <v>7</v>
      </c>
      <c r="D536" t="s">
        <v>27</v>
      </c>
      <c r="E536" t="s">
        <v>100</v>
      </c>
      <c r="F536" t="s">
        <v>101</v>
      </c>
      <c r="G536">
        <v>254</v>
      </c>
      <c r="H536" t="s">
        <v>102</v>
      </c>
      <c r="I536" t="s">
        <v>160</v>
      </c>
      <c r="J536" t="s">
        <v>157</v>
      </c>
      <c r="K536">
        <v>1120</v>
      </c>
      <c r="L536">
        <v>112020</v>
      </c>
      <c r="M536" t="s">
        <v>173</v>
      </c>
      <c r="N536" s="98">
        <v>0</v>
      </c>
      <c r="O536" s="98">
        <v>0</v>
      </c>
      <c r="P536" s="98">
        <v>0</v>
      </c>
      <c r="Q536" s="98">
        <v>0</v>
      </c>
    </row>
    <row r="537" spans="1:17" x14ac:dyDescent="0.35">
      <c r="A537" t="s">
        <v>118</v>
      </c>
      <c r="B537" t="s">
        <v>119</v>
      </c>
      <c r="C537">
        <v>8</v>
      </c>
      <c r="D537" t="s">
        <v>27</v>
      </c>
      <c r="E537" t="s">
        <v>100</v>
      </c>
      <c r="F537" t="s">
        <v>101</v>
      </c>
      <c r="G537">
        <v>254</v>
      </c>
      <c r="H537" t="s">
        <v>102</v>
      </c>
      <c r="I537" t="s">
        <v>160</v>
      </c>
      <c r="J537" t="s">
        <v>157</v>
      </c>
      <c r="K537">
        <v>1120</v>
      </c>
      <c r="L537">
        <v>112020</v>
      </c>
      <c r="M537" t="s">
        <v>173</v>
      </c>
      <c r="N537" s="98">
        <v>0</v>
      </c>
      <c r="O537" s="98">
        <v>0</v>
      </c>
      <c r="P537" s="98">
        <v>0</v>
      </c>
      <c r="Q537" s="98">
        <v>0</v>
      </c>
    </row>
    <row r="538" spans="1:17" x14ac:dyDescent="0.35">
      <c r="A538" t="s">
        <v>120</v>
      </c>
      <c r="B538" t="s">
        <v>121</v>
      </c>
      <c r="C538">
        <v>9</v>
      </c>
      <c r="D538" t="s">
        <v>30</v>
      </c>
      <c r="E538" t="s">
        <v>5</v>
      </c>
      <c r="F538" t="s">
        <v>101</v>
      </c>
      <c r="G538">
        <v>254</v>
      </c>
      <c r="H538" t="s">
        <v>102</v>
      </c>
      <c r="I538" t="s">
        <v>160</v>
      </c>
      <c r="J538" t="s">
        <v>157</v>
      </c>
      <c r="K538">
        <v>1120</v>
      </c>
      <c r="L538">
        <v>112020</v>
      </c>
      <c r="M538" t="s">
        <v>173</v>
      </c>
      <c r="N538" s="98">
        <v>0</v>
      </c>
      <c r="O538" s="98">
        <v>0</v>
      </c>
      <c r="P538" s="98">
        <v>0</v>
      </c>
      <c r="Q538" s="98">
        <v>0</v>
      </c>
    </row>
    <row r="539" spans="1:17" x14ac:dyDescent="0.35">
      <c r="A539" t="s">
        <v>122</v>
      </c>
      <c r="B539" t="s">
        <v>123</v>
      </c>
      <c r="C539">
        <v>10</v>
      </c>
      <c r="D539" t="s">
        <v>30</v>
      </c>
      <c r="E539" t="s">
        <v>5</v>
      </c>
      <c r="F539" t="s">
        <v>101</v>
      </c>
      <c r="G539">
        <v>254</v>
      </c>
      <c r="H539" t="s">
        <v>102</v>
      </c>
      <c r="I539" t="s">
        <v>160</v>
      </c>
      <c r="J539" t="s">
        <v>157</v>
      </c>
      <c r="K539">
        <v>1120</v>
      </c>
      <c r="L539">
        <v>112020</v>
      </c>
      <c r="M539" t="s">
        <v>173</v>
      </c>
      <c r="N539" s="98">
        <v>0</v>
      </c>
      <c r="O539" s="98">
        <v>0</v>
      </c>
      <c r="P539" s="98">
        <v>0</v>
      </c>
      <c r="Q539" s="98">
        <v>0</v>
      </c>
    </row>
    <row r="540" spans="1:17" x14ac:dyDescent="0.35">
      <c r="A540" t="s">
        <v>124</v>
      </c>
      <c r="B540" t="s">
        <v>125</v>
      </c>
      <c r="C540">
        <v>11</v>
      </c>
      <c r="D540" t="s">
        <v>30</v>
      </c>
      <c r="E540" t="s">
        <v>5</v>
      </c>
      <c r="F540" t="s">
        <v>101</v>
      </c>
      <c r="G540">
        <v>254</v>
      </c>
      <c r="H540" t="s">
        <v>102</v>
      </c>
      <c r="I540" t="s">
        <v>160</v>
      </c>
      <c r="J540" t="s">
        <v>157</v>
      </c>
      <c r="K540">
        <v>1120</v>
      </c>
      <c r="L540">
        <v>112020</v>
      </c>
      <c r="M540" t="s">
        <v>173</v>
      </c>
      <c r="N540" s="98">
        <v>0</v>
      </c>
      <c r="O540" s="98">
        <v>0</v>
      </c>
      <c r="P540" s="98">
        <v>0</v>
      </c>
      <c r="Q540" s="98">
        <v>0</v>
      </c>
    </row>
    <row r="541" spans="1:17" x14ac:dyDescent="0.35">
      <c r="A541" t="s">
        <v>126</v>
      </c>
      <c r="B541" t="s">
        <v>127</v>
      </c>
      <c r="C541">
        <v>12</v>
      </c>
      <c r="D541" t="s">
        <v>30</v>
      </c>
      <c r="E541" t="s">
        <v>5</v>
      </c>
      <c r="F541" t="s">
        <v>101</v>
      </c>
      <c r="G541">
        <v>254</v>
      </c>
      <c r="H541" t="s">
        <v>102</v>
      </c>
      <c r="I541" t="s">
        <v>160</v>
      </c>
      <c r="J541" t="s">
        <v>157</v>
      </c>
      <c r="K541">
        <v>1120</v>
      </c>
      <c r="L541">
        <v>112020</v>
      </c>
      <c r="M541" t="s">
        <v>173</v>
      </c>
      <c r="N541" s="98">
        <v>0</v>
      </c>
      <c r="O541" s="98">
        <v>0</v>
      </c>
      <c r="P541" s="98">
        <v>0</v>
      </c>
      <c r="Q541" s="98">
        <v>0</v>
      </c>
    </row>
    <row r="542" spans="1:17" x14ac:dyDescent="0.35">
      <c r="A542" t="s">
        <v>98</v>
      </c>
      <c r="B542" t="s">
        <v>99</v>
      </c>
      <c r="C542">
        <v>1</v>
      </c>
      <c r="D542" t="s">
        <v>23</v>
      </c>
      <c r="E542" t="s">
        <v>100</v>
      </c>
      <c r="F542" t="s">
        <v>101</v>
      </c>
      <c r="G542">
        <v>254</v>
      </c>
      <c r="H542" t="s">
        <v>102</v>
      </c>
      <c r="I542" t="s">
        <v>160</v>
      </c>
      <c r="J542" t="s">
        <v>157</v>
      </c>
      <c r="K542">
        <v>1120</v>
      </c>
      <c r="L542">
        <v>112021</v>
      </c>
      <c r="M542" t="s">
        <v>174</v>
      </c>
      <c r="N542" s="98">
        <v>1868</v>
      </c>
      <c r="O542" s="98">
        <v>805.51</v>
      </c>
      <c r="P542" s="98">
        <v>1062.49</v>
      </c>
      <c r="Q542" s="98">
        <v>-1062.49</v>
      </c>
    </row>
    <row r="543" spans="1:17" x14ac:dyDescent="0.35">
      <c r="A543" t="s">
        <v>106</v>
      </c>
      <c r="B543" t="s">
        <v>107</v>
      </c>
      <c r="C543">
        <v>2</v>
      </c>
      <c r="D543" t="s">
        <v>23</v>
      </c>
      <c r="E543" t="s">
        <v>100</v>
      </c>
      <c r="F543" t="s">
        <v>101</v>
      </c>
      <c r="G543">
        <v>254</v>
      </c>
      <c r="H543" t="s">
        <v>102</v>
      </c>
      <c r="I543" t="s">
        <v>160</v>
      </c>
      <c r="J543" t="s">
        <v>157</v>
      </c>
      <c r="K543">
        <v>1120</v>
      </c>
      <c r="L543">
        <v>112021</v>
      </c>
      <c r="M543" t="s">
        <v>174</v>
      </c>
      <c r="N543" s="98">
        <v>1868</v>
      </c>
      <c r="O543" s="98">
        <v>0</v>
      </c>
      <c r="P543" s="98">
        <v>1868</v>
      </c>
      <c r="Q543" s="98">
        <v>-1868</v>
      </c>
    </row>
    <row r="544" spans="1:17" x14ac:dyDescent="0.35">
      <c r="A544" t="s">
        <v>108</v>
      </c>
      <c r="B544" t="s">
        <v>109</v>
      </c>
      <c r="C544">
        <v>3</v>
      </c>
      <c r="D544" t="s">
        <v>23</v>
      </c>
      <c r="E544" t="s">
        <v>100</v>
      </c>
      <c r="F544" t="s">
        <v>101</v>
      </c>
      <c r="G544">
        <v>254</v>
      </c>
      <c r="H544" t="s">
        <v>102</v>
      </c>
      <c r="I544" t="s">
        <v>160</v>
      </c>
      <c r="J544" t="s">
        <v>157</v>
      </c>
      <c r="K544">
        <v>1120</v>
      </c>
      <c r="L544">
        <v>112021</v>
      </c>
      <c r="M544" t="s">
        <v>174</v>
      </c>
      <c r="N544" s="98">
        <v>1868</v>
      </c>
      <c r="O544" s="98">
        <v>0</v>
      </c>
      <c r="P544" s="98">
        <v>1868</v>
      </c>
      <c r="Q544" s="98">
        <v>-1868</v>
      </c>
    </row>
    <row r="545" spans="1:17" x14ac:dyDescent="0.35">
      <c r="A545" t="s">
        <v>110</v>
      </c>
      <c r="B545" t="s">
        <v>111</v>
      </c>
      <c r="C545">
        <v>4</v>
      </c>
      <c r="D545" t="s">
        <v>23</v>
      </c>
      <c r="E545" t="s">
        <v>100</v>
      </c>
      <c r="F545" t="s">
        <v>101</v>
      </c>
      <c r="G545">
        <v>254</v>
      </c>
      <c r="H545" t="s">
        <v>102</v>
      </c>
      <c r="I545" t="s">
        <v>160</v>
      </c>
      <c r="J545" t="s">
        <v>157</v>
      </c>
      <c r="K545">
        <v>1120</v>
      </c>
      <c r="L545">
        <v>112021</v>
      </c>
      <c r="M545" t="s">
        <v>174</v>
      </c>
      <c r="N545" s="98">
        <v>1868</v>
      </c>
      <c r="O545" s="98">
        <v>5108.25</v>
      </c>
      <c r="P545" s="98">
        <v>-3240.25</v>
      </c>
      <c r="Q545" s="98">
        <v>3240.25</v>
      </c>
    </row>
    <row r="546" spans="1:17" x14ac:dyDescent="0.35">
      <c r="A546" t="s">
        <v>112</v>
      </c>
      <c r="B546" t="s">
        <v>113</v>
      </c>
      <c r="C546">
        <v>5</v>
      </c>
      <c r="D546" t="s">
        <v>27</v>
      </c>
      <c r="E546" t="s">
        <v>100</v>
      </c>
      <c r="F546" t="s">
        <v>101</v>
      </c>
      <c r="G546">
        <v>254</v>
      </c>
      <c r="H546" t="s">
        <v>102</v>
      </c>
      <c r="I546" t="s">
        <v>160</v>
      </c>
      <c r="J546" t="s">
        <v>157</v>
      </c>
      <c r="K546">
        <v>1120</v>
      </c>
      <c r="L546">
        <v>112021</v>
      </c>
      <c r="M546" t="s">
        <v>174</v>
      </c>
      <c r="N546" s="98">
        <v>1868</v>
      </c>
      <c r="O546" s="98">
        <v>1999.8</v>
      </c>
      <c r="P546" s="98">
        <v>-131.80000000000001</v>
      </c>
      <c r="Q546" s="98">
        <v>131.80000000000001</v>
      </c>
    </row>
    <row r="547" spans="1:17" x14ac:dyDescent="0.35">
      <c r="A547" t="s">
        <v>114</v>
      </c>
      <c r="B547" t="s">
        <v>115</v>
      </c>
      <c r="C547">
        <v>6</v>
      </c>
      <c r="D547" t="s">
        <v>27</v>
      </c>
      <c r="E547" t="s">
        <v>100</v>
      </c>
      <c r="F547" t="s">
        <v>101</v>
      </c>
      <c r="G547">
        <v>254</v>
      </c>
      <c r="H547" t="s">
        <v>102</v>
      </c>
      <c r="I547" t="s">
        <v>160</v>
      </c>
      <c r="J547" t="s">
        <v>157</v>
      </c>
      <c r="K547">
        <v>1120</v>
      </c>
      <c r="L547">
        <v>112021</v>
      </c>
      <c r="M547" t="s">
        <v>174</v>
      </c>
      <c r="N547" s="98">
        <v>1868</v>
      </c>
      <c r="O547" s="98">
        <v>2043.3</v>
      </c>
      <c r="P547" s="98">
        <v>-175.3</v>
      </c>
      <c r="Q547" s="98">
        <v>175.3</v>
      </c>
    </row>
    <row r="548" spans="1:17" x14ac:dyDescent="0.35">
      <c r="A548" t="s">
        <v>116</v>
      </c>
      <c r="B548" t="s">
        <v>117</v>
      </c>
      <c r="C548">
        <v>7</v>
      </c>
      <c r="D548" t="s">
        <v>27</v>
      </c>
      <c r="E548" t="s">
        <v>100</v>
      </c>
      <c r="F548" t="s">
        <v>101</v>
      </c>
      <c r="G548">
        <v>254</v>
      </c>
      <c r="H548" t="s">
        <v>102</v>
      </c>
      <c r="I548" t="s">
        <v>160</v>
      </c>
      <c r="J548" t="s">
        <v>157</v>
      </c>
      <c r="K548">
        <v>1120</v>
      </c>
      <c r="L548">
        <v>112021</v>
      </c>
      <c r="M548" t="s">
        <v>174</v>
      </c>
      <c r="N548" s="98">
        <v>1868</v>
      </c>
      <c r="O548" s="98">
        <v>0</v>
      </c>
      <c r="P548" s="98">
        <v>1868</v>
      </c>
      <c r="Q548" s="98">
        <v>-1868</v>
      </c>
    </row>
    <row r="549" spans="1:17" x14ac:dyDescent="0.35">
      <c r="A549" t="s">
        <v>118</v>
      </c>
      <c r="B549" t="s">
        <v>119</v>
      </c>
      <c r="C549">
        <v>8</v>
      </c>
      <c r="D549" t="s">
        <v>27</v>
      </c>
      <c r="E549" t="s">
        <v>100</v>
      </c>
      <c r="F549" t="s">
        <v>101</v>
      </c>
      <c r="G549">
        <v>254</v>
      </c>
      <c r="H549" t="s">
        <v>102</v>
      </c>
      <c r="I549" t="s">
        <v>160</v>
      </c>
      <c r="J549" t="s">
        <v>157</v>
      </c>
      <c r="K549">
        <v>1120</v>
      </c>
      <c r="L549">
        <v>112021</v>
      </c>
      <c r="M549" t="s">
        <v>174</v>
      </c>
      <c r="N549" s="98">
        <v>1868</v>
      </c>
      <c r="O549" s="98">
        <v>0</v>
      </c>
      <c r="P549" s="98">
        <v>1868</v>
      </c>
      <c r="Q549" s="98">
        <v>-1868</v>
      </c>
    </row>
    <row r="550" spans="1:17" x14ac:dyDescent="0.35">
      <c r="A550" t="s">
        <v>120</v>
      </c>
      <c r="B550" t="s">
        <v>121</v>
      </c>
      <c r="C550">
        <v>9</v>
      </c>
      <c r="D550" t="s">
        <v>30</v>
      </c>
      <c r="E550" t="s">
        <v>5</v>
      </c>
      <c r="F550" t="s">
        <v>101</v>
      </c>
      <c r="G550">
        <v>254</v>
      </c>
      <c r="H550" t="s">
        <v>102</v>
      </c>
      <c r="I550" t="s">
        <v>160</v>
      </c>
      <c r="J550" t="s">
        <v>157</v>
      </c>
      <c r="K550">
        <v>1120</v>
      </c>
      <c r="L550">
        <v>112021</v>
      </c>
      <c r="M550" t="s">
        <v>174</v>
      </c>
      <c r="N550" s="98">
        <v>1868</v>
      </c>
      <c r="O550" s="98">
        <v>0</v>
      </c>
      <c r="P550" s="98">
        <v>0</v>
      </c>
      <c r="Q550" s="98">
        <v>-1868</v>
      </c>
    </row>
    <row r="551" spans="1:17" x14ac:dyDescent="0.35">
      <c r="A551" t="s">
        <v>122</v>
      </c>
      <c r="B551" t="s">
        <v>123</v>
      </c>
      <c r="C551">
        <v>10</v>
      </c>
      <c r="D551" t="s">
        <v>30</v>
      </c>
      <c r="E551" t="s">
        <v>5</v>
      </c>
      <c r="F551" t="s">
        <v>101</v>
      </c>
      <c r="G551">
        <v>254</v>
      </c>
      <c r="H551" t="s">
        <v>102</v>
      </c>
      <c r="I551" t="s">
        <v>160</v>
      </c>
      <c r="J551" t="s">
        <v>157</v>
      </c>
      <c r="K551">
        <v>1120</v>
      </c>
      <c r="L551">
        <v>112021</v>
      </c>
      <c r="M551" t="s">
        <v>174</v>
      </c>
      <c r="N551" s="98">
        <v>1868</v>
      </c>
      <c r="O551" s="98">
        <v>0</v>
      </c>
      <c r="P551" s="98">
        <v>0</v>
      </c>
      <c r="Q551" s="98">
        <v>-1868</v>
      </c>
    </row>
    <row r="552" spans="1:17" x14ac:dyDescent="0.35">
      <c r="A552" t="s">
        <v>124</v>
      </c>
      <c r="B552" t="s">
        <v>125</v>
      </c>
      <c r="C552">
        <v>11</v>
      </c>
      <c r="D552" t="s">
        <v>30</v>
      </c>
      <c r="E552" t="s">
        <v>5</v>
      </c>
      <c r="F552" t="s">
        <v>101</v>
      </c>
      <c r="G552">
        <v>254</v>
      </c>
      <c r="H552" t="s">
        <v>102</v>
      </c>
      <c r="I552" t="s">
        <v>160</v>
      </c>
      <c r="J552" t="s">
        <v>157</v>
      </c>
      <c r="K552">
        <v>1120</v>
      </c>
      <c r="L552">
        <v>112021</v>
      </c>
      <c r="M552" t="s">
        <v>174</v>
      </c>
      <c r="N552" s="98">
        <v>1868</v>
      </c>
      <c r="O552" s="98">
        <v>0</v>
      </c>
      <c r="P552" s="98">
        <v>0</v>
      </c>
      <c r="Q552" s="98">
        <v>-1868</v>
      </c>
    </row>
    <row r="553" spans="1:17" x14ac:dyDescent="0.35">
      <c r="A553" t="s">
        <v>126</v>
      </c>
      <c r="B553" t="s">
        <v>127</v>
      </c>
      <c r="C553">
        <v>12</v>
      </c>
      <c r="D553" t="s">
        <v>30</v>
      </c>
      <c r="E553" t="s">
        <v>5</v>
      </c>
      <c r="F553" t="s">
        <v>101</v>
      </c>
      <c r="G553">
        <v>254</v>
      </c>
      <c r="H553" t="s">
        <v>102</v>
      </c>
      <c r="I553" t="s">
        <v>160</v>
      </c>
      <c r="J553" t="s">
        <v>157</v>
      </c>
      <c r="K553">
        <v>1120</v>
      </c>
      <c r="L553">
        <v>112021</v>
      </c>
      <c r="M553" t="s">
        <v>174</v>
      </c>
      <c r="N553" s="98">
        <v>1452</v>
      </c>
      <c r="O553" s="98">
        <v>0</v>
      </c>
      <c r="P553" s="98">
        <v>0</v>
      </c>
      <c r="Q553" s="98">
        <v>-1452</v>
      </c>
    </row>
    <row r="554" spans="1:17" x14ac:dyDescent="0.35">
      <c r="A554" t="s">
        <v>98</v>
      </c>
      <c r="B554" t="s">
        <v>99</v>
      </c>
      <c r="C554">
        <v>1</v>
      </c>
      <c r="D554" t="s">
        <v>23</v>
      </c>
      <c r="E554" t="s">
        <v>100</v>
      </c>
      <c r="F554" t="s">
        <v>101</v>
      </c>
      <c r="G554">
        <v>254</v>
      </c>
      <c r="H554" t="s">
        <v>102</v>
      </c>
      <c r="I554" t="s">
        <v>160</v>
      </c>
      <c r="J554" t="s">
        <v>157</v>
      </c>
      <c r="K554">
        <v>1120</v>
      </c>
      <c r="L554">
        <v>112022</v>
      </c>
      <c r="M554" t="s">
        <v>175</v>
      </c>
      <c r="N554" s="98">
        <v>850</v>
      </c>
      <c r="O554" s="98">
        <v>7132.57</v>
      </c>
      <c r="P554" s="98">
        <v>-6282.57</v>
      </c>
      <c r="Q554" s="98">
        <v>6282.57</v>
      </c>
    </row>
    <row r="555" spans="1:17" x14ac:dyDescent="0.35">
      <c r="A555" t="s">
        <v>106</v>
      </c>
      <c r="B555" t="s">
        <v>107</v>
      </c>
      <c r="C555">
        <v>2</v>
      </c>
      <c r="D555" t="s">
        <v>23</v>
      </c>
      <c r="E555" t="s">
        <v>100</v>
      </c>
      <c r="F555" t="s">
        <v>101</v>
      </c>
      <c r="G555">
        <v>254</v>
      </c>
      <c r="H555" t="s">
        <v>102</v>
      </c>
      <c r="I555" t="s">
        <v>160</v>
      </c>
      <c r="J555" t="s">
        <v>157</v>
      </c>
      <c r="K555">
        <v>1120</v>
      </c>
      <c r="L555">
        <v>112022</v>
      </c>
      <c r="M555" t="s">
        <v>175</v>
      </c>
      <c r="N555" s="98">
        <v>850</v>
      </c>
      <c r="O555" s="98">
        <v>0</v>
      </c>
      <c r="P555" s="98">
        <v>850</v>
      </c>
      <c r="Q555" s="98">
        <v>-850</v>
      </c>
    </row>
    <row r="556" spans="1:17" x14ac:dyDescent="0.35">
      <c r="A556" t="s">
        <v>108</v>
      </c>
      <c r="B556" t="s">
        <v>109</v>
      </c>
      <c r="C556">
        <v>3</v>
      </c>
      <c r="D556" t="s">
        <v>23</v>
      </c>
      <c r="E556" t="s">
        <v>100</v>
      </c>
      <c r="F556" t="s">
        <v>101</v>
      </c>
      <c r="G556">
        <v>254</v>
      </c>
      <c r="H556" t="s">
        <v>102</v>
      </c>
      <c r="I556" t="s">
        <v>160</v>
      </c>
      <c r="J556" t="s">
        <v>157</v>
      </c>
      <c r="K556">
        <v>1120</v>
      </c>
      <c r="L556">
        <v>112022</v>
      </c>
      <c r="M556" t="s">
        <v>175</v>
      </c>
      <c r="N556" s="98">
        <v>850</v>
      </c>
      <c r="O556" s="98">
        <v>0</v>
      </c>
      <c r="P556" s="98">
        <v>850</v>
      </c>
      <c r="Q556" s="98">
        <v>-850</v>
      </c>
    </row>
    <row r="557" spans="1:17" x14ac:dyDescent="0.35">
      <c r="A557" t="s">
        <v>110</v>
      </c>
      <c r="B557" t="s">
        <v>111</v>
      </c>
      <c r="C557">
        <v>4</v>
      </c>
      <c r="D557" t="s">
        <v>23</v>
      </c>
      <c r="E557" t="s">
        <v>100</v>
      </c>
      <c r="F557" t="s">
        <v>101</v>
      </c>
      <c r="G557">
        <v>254</v>
      </c>
      <c r="H557" t="s">
        <v>102</v>
      </c>
      <c r="I557" t="s">
        <v>160</v>
      </c>
      <c r="J557" t="s">
        <v>157</v>
      </c>
      <c r="K557">
        <v>1120</v>
      </c>
      <c r="L557">
        <v>112022</v>
      </c>
      <c r="M557" t="s">
        <v>175</v>
      </c>
      <c r="N557" s="98">
        <v>850</v>
      </c>
      <c r="O557" s="98">
        <v>0</v>
      </c>
      <c r="P557" s="98">
        <v>850</v>
      </c>
      <c r="Q557" s="98">
        <v>-850</v>
      </c>
    </row>
    <row r="558" spans="1:17" x14ac:dyDescent="0.35">
      <c r="A558" t="s">
        <v>112</v>
      </c>
      <c r="B558" t="s">
        <v>113</v>
      </c>
      <c r="C558">
        <v>5</v>
      </c>
      <c r="D558" t="s">
        <v>27</v>
      </c>
      <c r="E558" t="s">
        <v>100</v>
      </c>
      <c r="F558" t="s">
        <v>101</v>
      </c>
      <c r="G558">
        <v>254</v>
      </c>
      <c r="H558" t="s">
        <v>102</v>
      </c>
      <c r="I558" t="s">
        <v>160</v>
      </c>
      <c r="J558" t="s">
        <v>157</v>
      </c>
      <c r="K558">
        <v>1120</v>
      </c>
      <c r="L558">
        <v>112022</v>
      </c>
      <c r="M558" t="s">
        <v>175</v>
      </c>
      <c r="N558" s="98">
        <v>850</v>
      </c>
      <c r="O558" s="98">
        <v>0</v>
      </c>
      <c r="P558" s="98">
        <v>850</v>
      </c>
      <c r="Q558" s="98">
        <v>-850</v>
      </c>
    </row>
    <row r="559" spans="1:17" x14ac:dyDescent="0.35">
      <c r="A559" t="s">
        <v>114</v>
      </c>
      <c r="B559" t="s">
        <v>115</v>
      </c>
      <c r="C559">
        <v>6</v>
      </c>
      <c r="D559" t="s">
        <v>27</v>
      </c>
      <c r="E559" t="s">
        <v>100</v>
      </c>
      <c r="F559" t="s">
        <v>101</v>
      </c>
      <c r="G559">
        <v>254</v>
      </c>
      <c r="H559" t="s">
        <v>102</v>
      </c>
      <c r="I559" t="s">
        <v>160</v>
      </c>
      <c r="J559" t="s">
        <v>157</v>
      </c>
      <c r="K559">
        <v>1120</v>
      </c>
      <c r="L559">
        <v>112022</v>
      </c>
      <c r="M559" t="s">
        <v>175</v>
      </c>
      <c r="N559" s="98">
        <v>850</v>
      </c>
      <c r="O559" s="98">
        <v>0</v>
      </c>
      <c r="P559" s="98">
        <v>850</v>
      </c>
      <c r="Q559" s="98">
        <v>-850</v>
      </c>
    </row>
    <row r="560" spans="1:17" x14ac:dyDescent="0.35">
      <c r="A560" t="s">
        <v>116</v>
      </c>
      <c r="B560" t="s">
        <v>117</v>
      </c>
      <c r="C560">
        <v>7</v>
      </c>
      <c r="D560" t="s">
        <v>27</v>
      </c>
      <c r="E560" t="s">
        <v>100</v>
      </c>
      <c r="F560" t="s">
        <v>101</v>
      </c>
      <c r="G560">
        <v>254</v>
      </c>
      <c r="H560" t="s">
        <v>102</v>
      </c>
      <c r="I560" t="s">
        <v>160</v>
      </c>
      <c r="J560" t="s">
        <v>157</v>
      </c>
      <c r="K560">
        <v>1120</v>
      </c>
      <c r="L560">
        <v>112022</v>
      </c>
      <c r="M560" t="s">
        <v>175</v>
      </c>
      <c r="N560" s="98">
        <v>850</v>
      </c>
      <c r="O560" s="98">
        <v>0</v>
      </c>
      <c r="P560" s="98">
        <v>850</v>
      </c>
      <c r="Q560" s="98">
        <v>-850</v>
      </c>
    </row>
    <row r="561" spans="1:17" x14ac:dyDescent="0.35">
      <c r="A561" t="s">
        <v>118</v>
      </c>
      <c r="B561" t="s">
        <v>119</v>
      </c>
      <c r="C561">
        <v>8</v>
      </c>
      <c r="D561" t="s">
        <v>27</v>
      </c>
      <c r="E561" t="s">
        <v>100</v>
      </c>
      <c r="F561" t="s">
        <v>101</v>
      </c>
      <c r="G561">
        <v>254</v>
      </c>
      <c r="H561" t="s">
        <v>102</v>
      </c>
      <c r="I561" t="s">
        <v>160</v>
      </c>
      <c r="J561" t="s">
        <v>157</v>
      </c>
      <c r="K561">
        <v>1120</v>
      </c>
      <c r="L561">
        <v>112022</v>
      </c>
      <c r="M561" t="s">
        <v>175</v>
      </c>
      <c r="N561" s="98">
        <v>850</v>
      </c>
      <c r="O561" s="98">
        <v>0</v>
      </c>
      <c r="P561" s="98">
        <v>850</v>
      </c>
      <c r="Q561" s="98">
        <v>-850</v>
      </c>
    </row>
    <row r="562" spans="1:17" x14ac:dyDescent="0.35">
      <c r="A562" t="s">
        <v>120</v>
      </c>
      <c r="B562" t="s">
        <v>121</v>
      </c>
      <c r="C562">
        <v>9</v>
      </c>
      <c r="D562" t="s">
        <v>30</v>
      </c>
      <c r="E562" t="s">
        <v>5</v>
      </c>
      <c r="F562" t="s">
        <v>101</v>
      </c>
      <c r="G562">
        <v>254</v>
      </c>
      <c r="H562" t="s">
        <v>102</v>
      </c>
      <c r="I562" t="s">
        <v>160</v>
      </c>
      <c r="J562" t="s">
        <v>157</v>
      </c>
      <c r="K562">
        <v>1120</v>
      </c>
      <c r="L562">
        <v>112022</v>
      </c>
      <c r="M562" t="s">
        <v>175</v>
      </c>
      <c r="N562" s="98">
        <v>850</v>
      </c>
      <c r="O562" s="98">
        <v>0</v>
      </c>
      <c r="P562" s="98">
        <v>0</v>
      </c>
      <c r="Q562" s="98">
        <v>-850</v>
      </c>
    </row>
    <row r="563" spans="1:17" x14ac:dyDescent="0.35">
      <c r="A563" t="s">
        <v>122</v>
      </c>
      <c r="B563" t="s">
        <v>123</v>
      </c>
      <c r="C563">
        <v>10</v>
      </c>
      <c r="D563" t="s">
        <v>30</v>
      </c>
      <c r="E563" t="s">
        <v>5</v>
      </c>
      <c r="F563" t="s">
        <v>101</v>
      </c>
      <c r="G563">
        <v>254</v>
      </c>
      <c r="H563" t="s">
        <v>102</v>
      </c>
      <c r="I563" t="s">
        <v>160</v>
      </c>
      <c r="J563" t="s">
        <v>157</v>
      </c>
      <c r="K563">
        <v>1120</v>
      </c>
      <c r="L563">
        <v>112022</v>
      </c>
      <c r="M563" t="s">
        <v>175</v>
      </c>
      <c r="N563" s="98">
        <v>850</v>
      </c>
      <c r="O563" s="98">
        <v>0</v>
      </c>
      <c r="P563" s="98">
        <v>0</v>
      </c>
      <c r="Q563" s="98">
        <v>-850</v>
      </c>
    </row>
    <row r="564" spans="1:17" x14ac:dyDescent="0.35">
      <c r="A564" t="s">
        <v>124</v>
      </c>
      <c r="B564" t="s">
        <v>125</v>
      </c>
      <c r="C564">
        <v>11</v>
      </c>
      <c r="D564" t="s">
        <v>30</v>
      </c>
      <c r="E564" t="s">
        <v>5</v>
      </c>
      <c r="F564" t="s">
        <v>101</v>
      </c>
      <c r="G564">
        <v>254</v>
      </c>
      <c r="H564" t="s">
        <v>102</v>
      </c>
      <c r="I564" t="s">
        <v>160</v>
      </c>
      <c r="J564" t="s">
        <v>157</v>
      </c>
      <c r="K564">
        <v>1120</v>
      </c>
      <c r="L564">
        <v>112022</v>
      </c>
      <c r="M564" t="s">
        <v>175</v>
      </c>
      <c r="N564" s="98">
        <v>850</v>
      </c>
      <c r="O564" s="98">
        <v>0</v>
      </c>
      <c r="P564" s="98">
        <v>0</v>
      </c>
      <c r="Q564" s="98">
        <v>-850</v>
      </c>
    </row>
    <row r="565" spans="1:17" x14ac:dyDescent="0.35">
      <c r="A565" t="s">
        <v>126</v>
      </c>
      <c r="B565" t="s">
        <v>127</v>
      </c>
      <c r="C565">
        <v>12</v>
      </c>
      <c r="D565" t="s">
        <v>30</v>
      </c>
      <c r="E565" t="s">
        <v>5</v>
      </c>
      <c r="F565" t="s">
        <v>101</v>
      </c>
      <c r="G565">
        <v>254</v>
      </c>
      <c r="H565" t="s">
        <v>102</v>
      </c>
      <c r="I565" t="s">
        <v>160</v>
      </c>
      <c r="J565" t="s">
        <v>157</v>
      </c>
      <c r="K565">
        <v>1120</v>
      </c>
      <c r="L565">
        <v>112022</v>
      </c>
      <c r="M565" t="s">
        <v>175</v>
      </c>
      <c r="N565" s="98">
        <v>650</v>
      </c>
      <c r="O565" s="98">
        <v>0</v>
      </c>
      <c r="P565" s="98">
        <v>0</v>
      </c>
      <c r="Q565" s="98">
        <v>-650</v>
      </c>
    </row>
    <row r="566" spans="1:17" x14ac:dyDescent="0.35">
      <c r="A566" t="s">
        <v>98</v>
      </c>
      <c r="B566" t="s">
        <v>99</v>
      </c>
      <c r="C566">
        <v>1</v>
      </c>
      <c r="D566" t="s">
        <v>23</v>
      </c>
      <c r="E566" t="s">
        <v>100</v>
      </c>
      <c r="F566" t="s">
        <v>101</v>
      </c>
      <c r="G566">
        <v>254</v>
      </c>
      <c r="H566" t="s">
        <v>102</v>
      </c>
      <c r="I566" t="s">
        <v>160</v>
      </c>
      <c r="J566" t="s">
        <v>157</v>
      </c>
      <c r="K566">
        <v>1120</v>
      </c>
      <c r="L566">
        <v>112024</v>
      </c>
      <c r="M566" t="s">
        <v>176</v>
      </c>
      <c r="N566" s="98">
        <v>0</v>
      </c>
      <c r="O566" s="98">
        <v>0</v>
      </c>
      <c r="P566" s="98">
        <v>0</v>
      </c>
      <c r="Q566" s="98">
        <v>0</v>
      </c>
    </row>
    <row r="567" spans="1:17" x14ac:dyDescent="0.35">
      <c r="A567" t="s">
        <v>106</v>
      </c>
      <c r="B567" t="s">
        <v>107</v>
      </c>
      <c r="C567">
        <v>2</v>
      </c>
      <c r="D567" t="s">
        <v>23</v>
      </c>
      <c r="E567" t="s">
        <v>100</v>
      </c>
      <c r="F567" t="s">
        <v>101</v>
      </c>
      <c r="G567">
        <v>254</v>
      </c>
      <c r="H567" t="s">
        <v>102</v>
      </c>
      <c r="I567" t="s">
        <v>160</v>
      </c>
      <c r="J567" t="s">
        <v>157</v>
      </c>
      <c r="K567">
        <v>1120</v>
      </c>
      <c r="L567">
        <v>112024</v>
      </c>
      <c r="M567" t="s">
        <v>176</v>
      </c>
      <c r="N567" s="98">
        <v>0</v>
      </c>
      <c r="O567" s="98">
        <v>0</v>
      </c>
      <c r="P567" s="98">
        <v>0</v>
      </c>
      <c r="Q567" s="98">
        <v>0</v>
      </c>
    </row>
    <row r="568" spans="1:17" x14ac:dyDescent="0.35">
      <c r="A568" t="s">
        <v>108</v>
      </c>
      <c r="B568" t="s">
        <v>109</v>
      </c>
      <c r="C568">
        <v>3</v>
      </c>
      <c r="D568" t="s">
        <v>23</v>
      </c>
      <c r="E568" t="s">
        <v>100</v>
      </c>
      <c r="F568" t="s">
        <v>101</v>
      </c>
      <c r="G568">
        <v>254</v>
      </c>
      <c r="H568" t="s">
        <v>102</v>
      </c>
      <c r="I568" t="s">
        <v>160</v>
      </c>
      <c r="J568" t="s">
        <v>157</v>
      </c>
      <c r="K568">
        <v>1120</v>
      </c>
      <c r="L568">
        <v>112024</v>
      </c>
      <c r="M568" t="s">
        <v>176</v>
      </c>
      <c r="N568" s="98">
        <v>0</v>
      </c>
      <c r="O568" s="98">
        <v>0</v>
      </c>
      <c r="P568" s="98">
        <v>0</v>
      </c>
      <c r="Q568" s="98">
        <v>0</v>
      </c>
    </row>
    <row r="569" spans="1:17" x14ac:dyDescent="0.35">
      <c r="A569" t="s">
        <v>110</v>
      </c>
      <c r="B569" t="s">
        <v>111</v>
      </c>
      <c r="C569">
        <v>4</v>
      </c>
      <c r="D569" t="s">
        <v>23</v>
      </c>
      <c r="E569" t="s">
        <v>100</v>
      </c>
      <c r="F569" t="s">
        <v>101</v>
      </c>
      <c r="G569">
        <v>254</v>
      </c>
      <c r="H569" t="s">
        <v>102</v>
      </c>
      <c r="I569" t="s">
        <v>160</v>
      </c>
      <c r="J569" t="s">
        <v>157</v>
      </c>
      <c r="K569">
        <v>1120</v>
      </c>
      <c r="L569">
        <v>112024</v>
      </c>
      <c r="M569" t="s">
        <v>176</v>
      </c>
      <c r="N569" s="98">
        <v>0</v>
      </c>
      <c r="O569" s="98">
        <v>0</v>
      </c>
      <c r="P569" s="98">
        <v>0</v>
      </c>
      <c r="Q569" s="98">
        <v>0</v>
      </c>
    </row>
    <row r="570" spans="1:17" x14ac:dyDescent="0.35">
      <c r="A570" t="s">
        <v>112</v>
      </c>
      <c r="B570" t="s">
        <v>113</v>
      </c>
      <c r="C570">
        <v>5</v>
      </c>
      <c r="D570" t="s">
        <v>27</v>
      </c>
      <c r="E570" t="s">
        <v>100</v>
      </c>
      <c r="F570" t="s">
        <v>101</v>
      </c>
      <c r="G570">
        <v>254</v>
      </c>
      <c r="H570" t="s">
        <v>102</v>
      </c>
      <c r="I570" t="s">
        <v>160</v>
      </c>
      <c r="J570" t="s">
        <v>157</v>
      </c>
      <c r="K570">
        <v>1120</v>
      </c>
      <c r="L570">
        <v>112024</v>
      </c>
      <c r="M570" t="s">
        <v>176</v>
      </c>
      <c r="N570" s="98">
        <v>0</v>
      </c>
      <c r="O570" s="98">
        <v>0</v>
      </c>
      <c r="P570" s="98">
        <v>0</v>
      </c>
      <c r="Q570" s="98">
        <v>0</v>
      </c>
    </row>
    <row r="571" spans="1:17" x14ac:dyDescent="0.35">
      <c r="A571" t="s">
        <v>114</v>
      </c>
      <c r="B571" t="s">
        <v>115</v>
      </c>
      <c r="C571">
        <v>6</v>
      </c>
      <c r="D571" t="s">
        <v>27</v>
      </c>
      <c r="E571" t="s">
        <v>100</v>
      </c>
      <c r="F571" t="s">
        <v>101</v>
      </c>
      <c r="G571">
        <v>254</v>
      </c>
      <c r="H571" t="s">
        <v>102</v>
      </c>
      <c r="I571" t="s">
        <v>160</v>
      </c>
      <c r="J571" t="s">
        <v>157</v>
      </c>
      <c r="K571">
        <v>1120</v>
      </c>
      <c r="L571">
        <v>112024</v>
      </c>
      <c r="M571" t="s">
        <v>176</v>
      </c>
      <c r="N571" s="98">
        <v>0</v>
      </c>
      <c r="O571" s="98">
        <v>0</v>
      </c>
      <c r="P571" s="98">
        <v>0</v>
      </c>
      <c r="Q571" s="98">
        <v>0</v>
      </c>
    </row>
    <row r="572" spans="1:17" x14ac:dyDescent="0.35">
      <c r="A572" t="s">
        <v>116</v>
      </c>
      <c r="B572" t="s">
        <v>117</v>
      </c>
      <c r="C572">
        <v>7</v>
      </c>
      <c r="D572" t="s">
        <v>27</v>
      </c>
      <c r="E572" t="s">
        <v>100</v>
      </c>
      <c r="F572" t="s">
        <v>101</v>
      </c>
      <c r="G572">
        <v>254</v>
      </c>
      <c r="H572" t="s">
        <v>102</v>
      </c>
      <c r="I572" t="s">
        <v>160</v>
      </c>
      <c r="J572" t="s">
        <v>157</v>
      </c>
      <c r="K572">
        <v>1120</v>
      </c>
      <c r="L572">
        <v>112024</v>
      </c>
      <c r="M572" t="s">
        <v>176</v>
      </c>
      <c r="N572" s="98">
        <v>0</v>
      </c>
      <c r="O572" s="98">
        <v>600</v>
      </c>
      <c r="P572" s="98">
        <v>-600</v>
      </c>
      <c r="Q572" s="98">
        <v>600</v>
      </c>
    </row>
    <row r="573" spans="1:17" x14ac:dyDescent="0.35">
      <c r="A573" t="s">
        <v>118</v>
      </c>
      <c r="B573" t="s">
        <v>119</v>
      </c>
      <c r="C573">
        <v>8</v>
      </c>
      <c r="D573" t="s">
        <v>27</v>
      </c>
      <c r="E573" t="s">
        <v>100</v>
      </c>
      <c r="F573" t="s">
        <v>101</v>
      </c>
      <c r="G573">
        <v>254</v>
      </c>
      <c r="H573" t="s">
        <v>102</v>
      </c>
      <c r="I573" t="s">
        <v>160</v>
      </c>
      <c r="J573" t="s">
        <v>157</v>
      </c>
      <c r="K573">
        <v>1120</v>
      </c>
      <c r="L573">
        <v>112024</v>
      </c>
      <c r="M573" t="s">
        <v>176</v>
      </c>
      <c r="N573" s="98">
        <v>0</v>
      </c>
      <c r="O573" s="98">
        <v>0</v>
      </c>
      <c r="P573" s="98">
        <v>0</v>
      </c>
      <c r="Q573" s="98">
        <v>0</v>
      </c>
    </row>
    <row r="574" spans="1:17" x14ac:dyDescent="0.35">
      <c r="A574" t="s">
        <v>120</v>
      </c>
      <c r="B574" t="s">
        <v>121</v>
      </c>
      <c r="C574">
        <v>9</v>
      </c>
      <c r="D574" t="s">
        <v>30</v>
      </c>
      <c r="E574" t="s">
        <v>5</v>
      </c>
      <c r="F574" t="s">
        <v>101</v>
      </c>
      <c r="G574">
        <v>254</v>
      </c>
      <c r="H574" t="s">
        <v>102</v>
      </c>
      <c r="I574" t="s">
        <v>160</v>
      </c>
      <c r="J574" t="s">
        <v>157</v>
      </c>
      <c r="K574">
        <v>1120</v>
      </c>
      <c r="L574">
        <v>112024</v>
      </c>
      <c r="M574" t="s">
        <v>176</v>
      </c>
      <c r="N574" s="98">
        <v>0</v>
      </c>
      <c r="O574" s="98">
        <v>0</v>
      </c>
      <c r="P574" s="98">
        <v>0</v>
      </c>
      <c r="Q574" s="98">
        <v>0</v>
      </c>
    </row>
    <row r="575" spans="1:17" x14ac:dyDescent="0.35">
      <c r="A575" t="s">
        <v>122</v>
      </c>
      <c r="B575" t="s">
        <v>123</v>
      </c>
      <c r="C575">
        <v>10</v>
      </c>
      <c r="D575" t="s">
        <v>30</v>
      </c>
      <c r="E575" t="s">
        <v>5</v>
      </c>
      <c r="F575" t="s">
        <v>101</v>
      </c>
      <c r="G575">
        <v>254</v>
      </c>
      <c r="H575" t="s">
        <v>102</v>
      </c>
      <c r="I575" t="s">
        <v>160</v>
      </c>
      <c r="J575" t="s">
        <v>157</v>
      </c>
      <c r="K575">
        <v>1120</v>
      </c>
      <c r="L575">
        <v>112024</v>
      </c>
      <c r="M575" t="s">
        <v>176</v>
      </c>
      <c r="N575" s="98">
        <v>0</v>
      </c>
      <c r="O575" s="98">
        <v>0</v>
      </c>
      <c r="P575" s="98">
        <v>0</v>
      </c>
      <c r="Q575" s="98">
        <v>0</v>
      </c>
    </row>
    <row r="576" spans="1:17" x14ac:dyDescent="0.35">
      <c r="A576" t="s">
        <v>124</v>
      </c>
      <c r="B576" t="s">
        <v>125</v>
      </c>
      <c r="C576">
        <v>11</v>
      </c>
      <c r="D576" t="s">
        <v>30</v>
      </c>
      <c r="E576" t="s">
        <v>5</v>
      </c>
      <c r="F576" t="s">
        <v>101</v>
      </c>
      <c r="G576">
        <v>254</v>
      </c>
      <c r="H576" t="s">
        <v>102</v>
      </c>
      <c r="I576" t="s">
        <v>160</v>
      </c>
      <c r="J576" t="s">
        <v>157</v>
      </c>
      <c r="K576">
        <v>1120</v>
      </c>
      <c r="L576">
        <v>112024</v>
      </c>
      <c r="M576" t="s">
        <v>176</v>
      </c>
      <c r="N576" s="98">
        <v>0</v>
      </c>
      <c r="O576" s="98">
        <v>0</v>
      </c>
      <c r="P576" s="98">
        <v>0</v>
      </c>
      <c r="Q576" s="98">
        <v>0</v>
      </c>
    </row>
    <row r="577" spans="1:17" x14ac:dyDescent="0.35">
      <c r="A577" t="s">
        <v>126</v>
      </c>
      <c r="B577" t="s">
        <v>127</v>
      </c>
      <c r="C577">
        <v>12</v>
      </c>
      <c r="D577" t="s">
        <v>30</v>
      </c>
      <c r="E577" t="s">
        <v>5</v>
      </c>
      <c r="F577" t="s">
        <v>101</v>
      </c>
      <c r="G577">
        <v>254</v>
      </c>
      <c r="H577" t="s">
        <v>102</v>
      </c>
      <c r="I577" t="s">
        <v>160</v>
      </c>
      <c r="J577" t="s">
        <v>157</v>
      </c>
      <c r="K577">
        <v>1120</v>
      </c>
      <c r="L577">
        <v>112024</v>
      </c>
      <c r="M577" t="s">
        <v>176</v>
      </c>
      <c r="N577" s="98">
        <v>0</v>
      </c>
      <c r="O577" s="98">
        <v>0</v>
      </c>
      <c r="P577" s="98">
        <v>0</v>
      </c>
      <c r="Q577" s="98">
        <v>0</v>
      </c>
    </row>
    <row r="578" spans="1:17" x14ac:dyDescent="0.35">
      <c r="A578" t="s">
        <v>98</v>
      </c>
      <c r="B578" t="s">
        <v>99</v>
      </c>
      <c r="C578">
        <v>1</v>
      </c>
      <c r="D578" t="s">
        <v>23</v>
      </c>
      <c r="E578" t="s">
        <v>100</v>
      </c>
      <c r="F578" t="s">
        <v>101</v>
      </c>
      <c r="G578">
        <v>254</v>
      </c>
      <c r="H578" t="s">
        <v>102</v>
      </c>
      <c r="I578" t="s">
        <v>160</v>
      </c>
      <c r="J578" t="s">
        <v>157</v>
      </c>
      <c r="K578">
        <v>1120</v>
      </c>
      <c r="L578">
        <v>112025</v>
      </c>
      <c r="M578" t="s">
        <v>177</v>
      </c>
      <c r="N578" s="98">
        <v>0</v>
      </c>
      <c r="O578" s="98">
        <v>0</v>
      </c>
      <c r="P578" s="98">
        <v>0</v>
      </c>
      <c r="Q578" s="98">
        <v>0</v>
      </c>
    </row>
    <row r="579" spans="1:17" x14ac:dyDescent="0.35">
      <c r="A579" t="s">
        <v>106</v>
      </c>
      <c r="B579" t="s">
        <v>107</v>
      </c>
      <c r="C579">
        <v>2</v>
      </c>
      <c r="D579" t="s">
        <v>23</v>
      </c>
      <c r="E579" t="s">
        <v>100</v>
      </c>
      <c r="F579" t="s">
        <v>101</v>
      </c>
      <c r="G579">
        <v>254</v>
      </c>
      <c r="H579" t="s">
        <v>102</v>
      </c>
      <c r="I579" t="s">
        <v>160</v>
      </c>
      <c r="J579" t="s">
        <v>157</v>
      </c>
      <c r="K579">
        <v>1120</v>
      </c>
      <c r="L579">
        <v>112025</v>
      </c>
      <c r="M579" t="s">
        <v>177</v>
      </c>
      <c r="N579" s="98">
        <v>0</v>
      </c>
      <c r="O579" s="98">
        <v>0</v>
      </c>
      <c r="P579" s="98">
        <v>0</v>
      </c>
      <c r="Q579" s="98">
        <v>0</v>
      </c>
    </row>
    <row r="580" spans="1:17" x14ac:dyDescent="0.35">
      <c r="A580" t="s">
        <v>108</v>
      </c>
      <c r="B580" t="s">
        <v>109</v>
      </c>
      <c r="C580">
        <v>3</v>
      </c>
      <c r="D580" t="s">
        <v>23</v>
      </c>
      <c r="E580" t="s">
        <v>100</v>
      </c>
      <c r="F580" t="s">
        <v>101</v>
      </c>
      <c r="G580">
        <v>254</v>
      </c>
      <c r="H580" t="s">
        <v>102</v>
      </c>
      <c r="I580" t="s">
        <v>160</v>
      </c>
      <c r="J580" t="s">
        <v>157</v>
      </c>
      <c r="K580">
        <v>1120</v>
      </c>
      <c r="L580">
        <v>112025</v>
      </c>
      <c r="M580" t="s">
        <v>177</v>
      </c>
      <c r="N580" s="98">
        <v>0</v>
      </c>
      <c r="O580" s="98">
        <v>0</v>
      </c>
      <c r="P580" s="98">
        <v>0</v>
      </c>
      <c r="Q580" s="98">
        <v>0</v>
      </c>
    </row>
    <row r="581" spans="1:17" x14ac:dyDescent="0.35">
      <c r="A581" t="s">
        <v>110</v>
      </c>
      <c r="B581" t="s">
        <v>111</v>
      </c>
      <c r="C581">
        <v>4</v>
      </c>
      <c r="D581" t="s">
        <v>23</v>
      </c>
      <c r="E581" t="s">
        <v>100</v>
      </c>
      <c r="F581" t="s">
        <v>101</v>
      </c>
      <c r="G581">
        <v>254</v>
      </c>
      <c r="H581" t="s">
        <v>102</v>
      </c>
      <c r="I581" t="s">
        <v>160</v>
      </c>
      <c r="J581" t="s">
        <v>157</v>
      </c>
      <c r="K581">
        <v>1120</v>
      </c>
      <c r="L581">
        <v>112025</v>
      </c>
      <c r="M581" t="s">
        <v>177</v>
      </c>
      <c r="N581" s="98">
        <v>0</v>
      </c>
      <c r="O581" s="98">
        <v>0</v>
      </c>
      <c r="P581" s="98">
        <v>0</v>
      </c>
      <c r="Q581" s="98">
        <v>0</v>
      </c>
    </row>
    <row r="582" spans="1:17" x14ac:dyDescent="0.35">
      <c r="A582" t="s">
        <v>112</v>
      </c>
      <c r="B582" t="s">
        <v>113</v>
      </c>
      <c r="C582">
        <v>5</v>
      </c>
      <c r="D582" t="s">
        <v>27</v>
      </c>
      <c r="E582" t="s">
        <v>100</v>
      </c>
      <c r="F582" t="s">
        <v>101</v>
      </c>
      <c r="G582">
        <v>254</v>
      </c>
      <c r="H582" t="s">
        <v>102</v>
      </c>
      <c r="I582" t="s">
        <v>160</v>
      </c>
      <c r="J582" t="s">
        <v>157</v>
      </c>
      <c r="K582">
        <v>1120</v>
      </c>
      <c r="L582">
        <v>112025</v>
      </c>
      <c r="M582" t="s">
        <v>177</v>
      </c>
      <c r="N582" s="98">
        <v>0</v>
      </c>
      <c r="O582" s="98">
        <v>0</v>
      </c>
      <c r="P582" s="98">
        <v>0</v>
      </c>
      <c r="Q582" s="98">
        <v>0</v>
      </c>
    </row>
    <row r="583" spans="1:17" x14ac:dyDescent="0.35">
      <c r="A583" t="s">
        <v>114</v>
      </c>
      <c r="B583" t="s">
        <v>115</v>
      </c>
      <c r="C583">
        <v>6</v>
      </c>
      <c r="D583" t="s">
        <v>27</v>
      </c>
      <c r="E583" t="s">
        <v>100</v>
      </c>
      <c r="F583" t="s">
        <v>101</v>
      </c>
      <c r="G583">
        <v>254</v>
      </c>
      <c r="H583" t="s">
        <v>102</v>
      </c>
      <c r="I583" t="s">
        <v>160</v>
      </c>
      <c r="J583" t="s">
        <v>157</v>
      </c>
      <c r="K583">
        <v>1120</v>
      </c>
      <c r="L583">
        <v>112025</v>
      </c>
      <c r="M583" t="s">
        <v>177</v>
      </c>
      <c r="N583" s="98">
        <v>0</v>
      </c>
      <c r="O583" s="98">
        <v>3486</v>
      </c>
      <c r="P583" s="98">
        <v>-3486</v>
      </c>
      <c r="Q583" s="98">
        <v>3486</v>
      </c>
    </row>
    <row r="584" spans="1:17" x14ac:dyDescent="0.35">
      <c r="A584" t="s">
        <v>116</v>
      </c>
      <c r="B584" t="s">
        <v>117</v>
      </c>
      <c r="C584">
        <v>7</v>
      </c>
      <c r="D584" t="s">
        <v>27</v>
      </c>
      <c r="E584" t="s">
        <v>100</v>
      </c>
      <c r="F584" t="s">
        <v>101</v>
      </c>
      <c r="G584">
        <v>254</v>
      </c>
      <c r="H584" t="s">
        <v>102</v>
      </c>
      <c r="I584" t="s">
        <v>160</v>
      </c>
      <c r="J584" t="s">
        <v>157</v>
      </c>
      <c r="K584">
        <v>1120</v>
      </c>
      <c r="L584">
        <v>112025</v>
      </c>
      <c r="M584" t="s">
        <v>177</v>
      </c>
      <c r="N584" s="98">
        <v>0</v>
      </c>
      <c r="O584" s="98">
        <v>0</v>
      </c>
      <c r="P584" s="98">
        <v>0</v>
      </c>
      <c r="Q584" s="98">
        <v>0</v>
      </c>
    </row>
    <row r="585" spans="1:17" x14ac:dyDescent="0.35">
      <c r="A585" t="s">
        <v>118</v>
      </c>
      <c r="B585" t="s">
        <v>119</v>
      </c>
      <c r="C585">
        <v>8</v>
      </c>
      <c r="D585" t="s">
        <v>27</v>
      </c>
      <c r="E585" t="s">
        <v>100</v>
      </c>
      <c r="F585" t="s">
        <v>101</v>
      </c>
      <c r="G585">
        <v>254</v>
      </c>
      <c r="H585" t="s">
        <v>102</v>
      </c>
      <c r="I585" t="s">
        <v>160</v>
      </c>
      <c r="J585" t="s">
        <v>157</v>
      </c>
      <c r="K585">
        <v>1120</v>
      </c>
      <c r="L585">
        <v>112025</v>
      </c>
      <c r="M585" t="s">
        <v>177</v>
      </c>
      <c r="N585" s="98">
        <v>0</v>
      </c>
      <c r="O585" s="98">
        <v>0</v>
      </c>
      <c r="P585" s="98">
        <v>0</v>
      </c>
      <c r="Q585" s="98">
        <v>0</v>
      </c>
    </row>
    <row r="586" spans="1:17" x14ac:dyDescent="0.35">
      <c r="A586" t="s">
        <v>120</v>
      </c>
      <c r="B586" t="s">
        <v>121</v>
      </c>
      <c r="C586">
        <v>9</v>
      </c>
      <c r="D586" t="s">
        <v>30</v>
      </c>
      <c r="E586" t="s">
        <v>5</v>
      </c>
      <c r="F586" t="s">
        <v>101</v>
      </c>
      <c r="G586">
        <v>254</v>
      </c>
      <c r="H586" t="s">
        <v>102</v>
      </c>
      <c r="I586" t="s">
        <v>160</v>
      </c>
      <c r="J586" t="s">
        <v>157</v>
      </c>
      <c r="K586">
        <v>1120</v>
      </c>
      <c r="L586">
        <v>112025</v>
      </c>
      <c r="M586" t="s">
        <v>177</v>
      </c>
      <c r="N586" s="98">
        <v>0</v>
      </c>
      <c r="O586" s="98">
        <v>0</v>
      </c>
      <c r="P586" s="98">
        <v>0</v>
      </c>
      <c r="Q586" s="98">
        <v>0</v>
      </c>
    </row>
    <row r="587" spans="1:17" x14ac:dyDescent="0.35">
      <c r="A587" t="s">
        <v>122</v>
      </c>
      <c r="B587" t="s">
        <v>123</v>
      </c>
      <c r="C587">
        <v>10</v>
      </c>
      <c r="D587" t="s">
        <v>30</v>
      </c>
      <c r="E587" t="s">
        <v>5</v>
      </c>
      <c r="F587" t="s">
        <v>101</v>
      </c>
      <c r="G587">
        <v>254</v>
      </c>
      <c r="H587" t="s">
        <v>102</v>
      </c>
      <c r="I587" t="s">
        <v>160</v>
      </c>
      <c r="J587" t="s">
        <v>157</v>
      </c>
      <c r="K587">
        <v>1120</v>
      </c>
      <c r="L587">
        <v>112025</v>
      </c>
      <c r="M587" t="s">
        <v>177</v>
      </c>
      <c r="N587" s="98">
        <v>0</v>
      </c>
      <c r="O587" s="98">
        <v>0</v>
      </c>
      <c r="P587" s="98">
        <v>0</v>
      </c>
      <c r="Q587" s="98">
        <v>0</v>
      </c>
    </row>
    <row r="588" spans="1:17" x14ac:dyDescent="0.35">
      <c r="A588" t="s">
        <v>124</v>
      </c>
      <c r="B588" t="s">
        <v>125</v>
      </c>
      <c r="C588">
        <v>11</v>
      </c>
      <c r="D588" t="s">
        <v>30</v>
      </c>
      <c r="E588" t="s">
        <v>5</v>
      </c>
      <c r="F588" t="s">
        <v>101</v>
      </c>
      <c r="G588">
        <v>254</v>
      </c>
      <c r="H588" t="s">
        <v>102</v>
      </c>
      <c r="I588" t="s">
        <v>160</v>
      </c>
      <c r="J588" t="s">
        <v>157</v>
      </c>
      <c r="K588">
        <v>1120</v>
      </c>
      <c r="L588">
        <v>112025</v>
      </c>
      <c r="M588" t="s">
        <v>177</v>
      </c>
      <c r="N588" s="98">
        <v>0</v>
      </c>
      <c r="O588" s="98">
        <v>0</v>
      </c>
      <c r="P588" s="98">
        <v>0</v>
      </c>
      <c r="Q588" s="98">
        <v>0</v>
      </c>
    </row>
    <row r="589" spans="1:17" x14ac:dyDescent="0.35">
      <c r="A589" t="s">
        <v>126</v>
      </c>
      <c r="B589" t="s">
        <v>127</v>
      </c>
      <c r="C589">
        <v>12</v>
      </c>
      <c r="D589" t="s">
        <v>30</v>
      </c>
      <c r="E589" t="s">
        <v>5</v>
      </c>
      <c r="F589" t="s">
        <v>101</v>
      </c>
      <c r="G589">
        <v>254</v>
      </c>
      <c r="H589" t="s">
        <v>102</v>
      </c>
      <c r="I589" t="s">
        <v>160</v>
      </c>
      <c r="J589" t="s">
        <v>157</v>
      </c>
      <c r="K589">
        <v>1120</v>
      </c>
      <c r="L589">
        <v>112025</v>
      </c>
      <c r="M589" t="s">
        <v>177</v>
      </c>
      <c r="N589" s="98">
        <v>0</v>
      </c>
      <c r="O589" s="98">
        <v>0</v>
      </c>
      <c r="P589" s="98">
        <v>0</v>
      </c>
      <c r="Q589" s="98">
        <v>0</v>
      </c>
    </row>
    <row r="590" spans="1:17" x14ac:dyDescent="0.35">
      <c r="A590" t="s">
        <v>98</v>
      </c>
      <c r="B590" t="s">
        <v>99</v>
      </c>
      <c r="C590">
        <v>1</v>
      </c>
      <c r="D590" t="s">
        <v>23</v>
      </c>
      <c r="E590" t="s">
        <v>100</v>
      </c>
      <c r="F590" t="s">
        <v>101</v>
      </c>
      <c r="G590">
        <v>254</v>
      </c>
      <c r="H590" t="s">
        <v>102</v>
      </c>
      <c r="I590" t="s">
        <v>160</v>
      </c>
      <c r="J590" t="s">
        <v>157</v>
      </c>
      <c r="K590">
        <v>1120</v>
      </c>
      <c r="L590">
        <v>112060</v>
      </c>
      <c r="M590" t="s">
        <v>178</v>
      </c>
      <c r="N590" s="98">
        <v>170</v>
      </c>
      <c r="O590" s="98">
        <v>0</v>
      </c>
      <c r="P590" s="98">
        <v>170</v>
      </c>
      <c r="Q590" s="98">
        <v>-170</v>
      </c>
    </row>
    <row r="591" spans="1:17" x14ac:dyDescent="0.35">
      <c r="A591" t="s">
        <v>106</v>
      </c>
      <c r="B591" t="s">
        <v>107</v>
      </c>
      <c r="C591">
        <v>2</v>
      </c>
      <c r="D591" t="s">
        <v>23</v>
      </c>
      <c r="E591" t="s">
        <v>100</v>
      </c>
      <c r="F591" t="s">
        <v>101</v>
      </c>
      <c r="G591">
        <v>254</v>
      </c>
      <c r="H591" t="s">
        <v>102</v>
      </c>
      <c r="I591" t="s">
        <v>160</v>
      </c>
      <c r="J591" t="s">
        <v>157</v>
      </c>
      <c r="K591">
        <v>1120</v>
      </c>
      <c r="L591">
        <v>112060</v>
      </c>
      <c r="M591" t="s">
        <v>178</v>
      </c>
      <c r="N591" s="98">
        <v>170</v>
      </c>
      <c r="O591" s="98">
        <v>0</v>
      </c>
      <c r="P591" s="98">
        <v>170</v>
      </c>
      <c r="Q591" s="98">
        <v>-170</v>
      </c>
    </row>
    <row r="592" spans="1:17" x14ac:dyDescent="0.35">
      <c r="A592" t="s">
        <v>108</v>
      </c>
      <c r="B592" t="s">
        <v>109</v>
      </c>
      <c r="C592">
        <v>3</v>
      </c>
      <c r="D592" t="s">
        <v>23</v>
      </c>
      <c r="E592" t="s">
        <v>100</v>
      </c>
      <c r="F592" t="s">
        <v>101</v>
      </c>
      <c r="G592">
        <v>254</v>
      </c>
      <c r="H592" t="s">
        <v>102</v>
      </c>
      <c r="I592" t="s">
        <v>160</v>
      </c>
      <c r="J592" t="s">
        <v>157</v>
      </c>
      <c r="K592">
        <v>1120</v>
      </c>
      <c r="L592">
        <v>112060</v>
      </c>
      <c r="M592" t="s">
        <v>178</v>
      </c>
      <c r="N592" s="98">
        <v>170</v>
      </c>
      <c r="O592" s="98">
        <v>0</v>
      </c>
      <c r="P592" s="98">
        <v>170</v>
      </c>
      <c r="Q592" s="98">
        <v>-170</v>
      </c>
    </row>
    <row r="593" spans="1:17" x14ac:dyDescent="0.35">
      <c r="A593" t="s">
        <v>110</v>
      </c>
      <c r="B593" t="s">
        <v>111</v>
      </c>
      <c r="C593">
        <v>4</v>
      </c>
      <c r="D593" t="s">
        <v>23</v>
      </c>
      <c r="E593" t="s">
        <v>100</v>
      </c>
      <c r="F593" t="s">
        <v>101</v>
      </c>
      <c r="G593">
        <v>254</v>
      </c>
      <c r="H593" t="s">
        <v>102</v>
      </c>
      <c r="I593" t="s">
        <v>160</v>
      </c>
      <c r="J593" t="s">
        <v>157</v>
      </c>
      <c r="K593">
        <v>1120</v>
      </c>
      <c r="L593">
        <v>112060</v>
      </c>
      <c r="M593" t="s">
        <v>178</v>
      </c>
      <c r="N593" s="98">
        <v>170</v>
      </c>
      <c r="O593" s="98">
        <v>0</v>
      </c>
      <c r="P593" s="98">
        <v>170</v>
      </c>
      <c r="Q593" s="98">
        <v>-170</v>
      </c>
    </row>
    <row r="594" spans="1:17" x14ac:dyDescent="0.35">
      <c r="A594" t="s">
        <v>112</v>
      </c>
      <c r="B594" t="s">
        <v>113</v>
      </c>
      <c r="C594">
        <v>5</v>
      </c>
      <c r="D594" t="s">
        <v>27</v>
      </c>
      <c r="E594" t="s">
        <v>100</v>
      </c>
      <c r="F594" t="s">
        <v>101</v>
      </c>
      <c r="G594">
        <v>254</v>
      </c>
      <c r="H594" t="s">
        <v>102</v>
      </c>
      <c r="I594" t="s">
        <v>160</v>
      </c>
      <c r="J594" t="s">
        <v>157</v>
      </c>
      <c r="K594">
        <v>1120</v>
      </c>
      <c r="L594">
        <v>112060</v>
      </c>
      <c r="M594" t="s">
        <v>178</v>
      </c>
      <c r="N594" s="98">
        <v>170</v>
      </c>
      <c r="O594" s="98">
        <v>0</v>
      </c>
      <c r="P594" s="98">
        <v>170</v>
      </c>
      <c r="Q594" s="98">
        <v>-170</v>
      </c>
    </row>
    <row r="595" spans="1:17" x14ac:dyDescent="0.35">
      <c r="A595" t="s">
        <v>114</v>
      </c>
      <c r="B595" t="s">
        <v>115</v>
      </c>
      <c r="C595">
        <v>6</v>
      </c>
      <c r="D595" t="s">
        <v>27</v>
      </c>
      <c r="E595" t="s">
        <v>100</v>
      </c>
      <c r="F595" t="s">
        <v>101</v>
      </c>
      <c r="G595">
        <v>254</v>
      </c>
      <c r="H595" t="s">
        <v>102</v>
      </c>
      <c r="I595" t="s">
        <v>160</v>
      </c>
      <c r="J595" t="s">
        <v>157</v>
      </c>
      <c r="K595">
        <v>1120</v>
      </c>
      <c r="L595">
        <v>112060</v>
      </c>
      <c r="M595" t="s">
        <v>178</v>
      </c>
      <c r="N595" s="98">
        <v>170</v>
      </c>
      <c r="O595" s="98">
        <v>0</v>
      </c>
      <c r="P595" s="98">
        <v>170</v>
      </c>
      <c r="Q595" s="98">
        <v>-170</v>
      </c>
    </row>
    <row r="596" spans="1:17" x14ac:dyDescent="0.35">
      <c r="A596" t="s">
        <v>116</v>
      </c>
      <c r="B596" t="s">
        <v>117</v>
      </c>
      <c r="C596">
        <v>7</v>
      </c>
      <c r="D596" t="s">
        <v>27</v>
      </c>
      <c r="E596" t="s">
        <v>100</v>
      </c>
      <c r="F596" t="s">
        <v>101</v>
      </c>
      <c r="G596">
        <v>254</v>
      </c>
      <c r="H596" t="s">
        <v>102</v>
      </c>
      <c r="I596" t="s">
        <v>160</v>
      </c>
      <c r="J596" t="s">
        <v>157</v>
      </c>
      <c r="K596">
        <v>1120</v>
      </c>
      <c r="L596">
        <v>112060</v>
      </c>
      <c r="M596" t="s">
        <v>178</v>
      </c>
      <c r="N596" s="98">
        <v>170</v>
      </c>
      <c r="O596" s="98">
        <v>0</v>
      </c>
      <c r="P596" s="98">
        <v>170</v>
      </c>
      <c r="Q596" s="98">
        <v>-170</v>
      </c>
    </row>
    <row r="597" spans="1:17" x14ac:dyDescent="0.35">
      <c r="A597" t="s">
        <v>118</v>
      </c>
      <c r="B597" t="s">
        <v>119</v>
      </c>
      <c r="C597">
        <v>8</v>
      </c>
      <c r="D597" t="s">
        <v>27</v>
      </c>
      <c r="E597" t="s">
        <v>100</v>
      </c>
      <c r="F597" t="s">
        <v>101</v>
      </c>
      <c r="G597">
        <v>254</v>
      </c>
      <c r="H597" t="s">
        <v>102</v>
      </c>
      <c r="I597" t="s">
        <v>160</v>
      </c>
      <c r="J597" t="s">
        <v>157</v>
      </c>
      <c r="K597">
        <v>1120</v>
      </c>
      <c r="L597">
        <v>112060</v>
      </c>
      <c r="M597" t="s">
        <v>178</v>
      </c>
      <c r="N597" s="98">
        <v>170</v>
      </c>
      <c r="O597" s="98">
        <v>0</v>
      </c>
      <c r="P597" s="98">
        <v>170</v>
      </c>
      <c r="Q597" s="98">
        <v>-170</v>
      </c>
    </row>
    <row r="598" spans="1:17" x14ac:dyDescent="0.35">
      <c r="A598" t="s">
        <v>120</v>
      </c>
      <c r="B598" t="s">
        <v>121</v>
      </c>
      <c r="C598">
        <v>9</v>
      </c>
      <c r="D598" t="s">
        <v>30</v>
      </c>
      <c r="E598" t="s">
        <v>5</v>
      </c>
      <c r="F598" t="s">
        <v>101</v>
      </c>
      <c r="G598">
        <v>254</v>
      </c>
      <c r="H598" t="s">
        <v>102</v>
      </c>
      <c r="I598" t="s">
        <v>160</v>
      </c>
      <c r="J598" t="s">
        <v>157</v>
      </c>
      <c r="K598">
        <v>1120</v>
      </c>
      <c r="L598">
        <v>112060</v>
      </c>
      <c r="M598" t="s">
        <v>178</v>
      </c>
      <c r="N598" s="98">
        <v>170</v>
      </c>
      <c r="O598" s="98">
        <v>0</v>
      </c>
      <c r="P598" s="98">
        <v>0</v>
      </c>
      <c r="Q598" s="98">
        <v>-170</v>
      </c>
    </row>
    <row r="599" spans="1:17" x14ac:dyDescent="0.35">
      <c r="A599" t="s">
        <v>122</v>
      </c>
      <c r="B599" t="s">
        <v>123</v>
      </c>
      <c r="C599">
        <v>10</v>
      </c>
      <c r="D599" t="s">
        <v>30</v>
      </c>
      <c r="E599" t="s">
        <v>5</v>
      </c>
      <c r="F599" t="s">
        <v>101</v>
      </c>
      <c r="G599">
        <v>254</v>
      </c>
      <c r="H599" t="s">
        <v>102</v>
      </c>
      <c r="I599" t="s">
        <v>160</v>
      </c>
      <c r="J599" t="s">
        <v>157</v>
      </c>
      <c r="K599">
        <v>1120</v>
      </c>
      <c r="L599">
        <v>112060</v>
      </c>
      <c r="M599" t="s">
        <v>178</v>
      </c>
      <c r="N599" s="98">
        <v>170</v>
      </c>
      <c r="O599" s="98">
        <v>0</v>
      </c>
      <c r="P599" s="98">
        <v>0</v>
      </c>
      <c r="Q599" s="98">
        <v>-170</v>
      </c>
    </row>
    <row r="600" spans="1:17" x14ac:dyDescent="0.35">
      <c r="A600" t="s">
        <v>124</v>
      </c>
      <c r="B600" t="s">
        <v>125</v>
      </c>
      <c r="C600">
        <v>11</v>
      </c>
      <c r="D600" t="s">
        <v>30</v>
      </c>
      <c r="E600" t="s">
        <v>5</v>
      </c>
      <c r="F600" t="s">
        <v>101</v>
      </c>
      <c r="G600">
        <v>254</v>
      </c>
      <c r="H600" t="s">
        <v>102</v>
      </c>
      <c r="I600" t="s">
        <v>160</v>
      </c>
      <c r="J600" t="s">
        <v>157</v>
      </c>
      <c r="K600">
        <v>1120</v>
      </c>
      <c r="L600">
        <v>112060</v>
      </c>
      <c r="M600" t="s">
        <v>178</v>
      </c>
      <c r="N600" s="98">
        <v>170</v>
      </c>
      <c r="O600" s="98">
        <v>0</v>
      </c>
      <c r="P600" s="98">
        <v>0</v>
      </c>
      <c r="Q600" s="98">
        <v>-170</v>
      </c>
    </row>
    <row r="601" spans="1:17" x14ac:dyDescent="0.35">
      <c r="A601" t="s">
        <v>126</v>
      </c>
      <c r="B601" t="s">
        <v>127</v>
      </c>
      <c r="C601">
        <v>12</v>
      </c>
      <c r="D601" t="s">
        <v>30</v>
      </c>
      <c r="E601" t="s">
        <v>5</v>
      </c>
      <c r="F601" t="s">
        <v>101</v>
      </c>
      <c r="G601">
        <v>254</v>
      </c>
      <c r="H601" t="s">
        <v>102</v>
      </c>
      <c r="I601" t="s">
        <v>160</v>
      </c>
      <c r="J601" t="s">
        <v>157</v>
      </c>
      <c r="K601">
        <v>1120</v>
      </c>
      <c r="L601">
        <v>112060</v>
      </c>
      <c r="M601" t="s">
        <v>178</v>
      </c>
      <c r="N601" s="98">
        <v>130</v>
      </c>
      <c r="O601" s="98">
        <v>0</v>
      </c>
      <c r="P601" s="98">
        <v>0</v>
      </c>
      <c r="Q601" s="98">
        <v>-130</v>
      </c>
    </row>
    <row r="602" spans="1:17" x14ac:dyDescent="0.35">
      <c r="A602" t="s">
        <v>98</v>
      </c>
      <c r="B602" t="s">
        <v>99</v>
      </c>
      <c r="C602">
        <v>1</v>
      </c>
      <c r="D602" t="s">
        <v>23</v>
      </c>
      <c r="E602" t="s">
        <v>100</v>
      </c>
      <c r="F602" t="s">
        <v>101</v>
      </c>
      <c r="G602">
        <v>254</v>
      </c>
      <c r="H602" t="s">
        <v>102</v>
      </c>
      <c r="I602" t="s">
        <v>160</v>
      </c>
      <c r="J602" t="s">
        <v>157</v>
      </c>
      <c r="K602">
        <v>1120</v>
      </c>
      <c r="L602">
        <v>112090</v>
      </c>
      <c r="M602" t="s">
        <v>179</v>
      </c>
      <c r="N602" s="98">
        <v>3536</v>
      </c>
      <c r="O602" s="98">
        <v>4413.72</v>
      </c>
      <c r="P602" s="98">
        <v>-877.72</v>
      </c>
      <c r="Q602" s="98">
        <v>877.72</v>
      </c>
    </row>
    <row r="603" spans="1:17" x14ac:dyDescent="0.35">
      <c r="A603" t="s">
        <v>106</v>
      </c>
      <c r="B603" t="s">
        <v>107</v>
      </c>
      <c r="C603">
        <v>2</v>
      </c>
      <c r="D603" t="s">
        <v>23</v>
      </c>
      <c r="E603" t="s">
        <v>100</v>
      </c>
      <c r="F603" t="s">
        <v>101</v>
      </c>
      <c r="G603">
        <v>254</v>
      </c>
      <c r="H603" t="s">
        <v>102</v>
      </c>
      <c r="I603" t="s">
        <v>160</v>
      </c>
      <c r="J603" t="s">
        <v>157</v>
      </c>
      <c r="K603">
        <v>1120</v>
      </c>
      <c r="L603">
        <v>112090</v>
      </c>
      <c r="M603" t="s">
        <v>179</v>
      </c>
      <c r="N603" s="98">
        <v>3536</v>
      </c>
      <c r="O603" s="98">
        <v>3804.96</v>
      </c>
      <c r="P603" s="98">
        <v>-268.95999999999998</v>
      </c>
      <c r="Q603" s="98">
        <v>268.95999999999998</v>
      </c>
    </row>
    <row r="604" spans="1:17" x14ac:dyDescent="0.35">
      <c r="A604" t="s">
        <v>108</v>
      </c>
      <c r="B604" t="s">
        <v>109</v>
      </c>
      <c r="C604">
        <v>3</v>
      </c>
      <c r="D604" t="s">
        <v>23</v>
      </c>
      <c r="E604" t="s">
        <v>100</v>
      </c>
      <c r="F604" t="s">
        <v>101</v>
      </c>
      <c r="G604">
        <v>254</v>
      </c>
      <c r="H604" t="s">
        <v>102</v>
      </c>
      <c r="I604" t="s">
        <v>160</v>
      </c>
      <c r="J604" t="s">
        <v>157</v>
      </c>
      <c r="K604">
        <v>1120</v>
      </c>
      <c r="L604">
        <v>112090</v>
      </c>
      <c r="M604" t="s">
        <v>179</v>
      </c>
      <c r="N604" s="98">
        <v>3536</v>
      </c>
      <c r="O604" s="98">
        <v>2925.8</v>
      </c>
      <c r="P604" s="98">
        <v>610.20000000000005</v>
      </c>
      <c r="Q604" s="98">
        <v>-610.20000000000005</v>
      </c>
    </row>
    <row r="605" spans="1:17" x14ac:dyDescent="0.35">
      <c r="A605" t="s">
        <v>110</v>
      </c>
      <c r="B605" t="s">
        <v>111</v>
      </c>
      <c r="C605">
        <v>4</v>
      </c>
      <c r="D605" t="s">
        <v>23</v>
      </c>
      <c r="E605" t="s">
        <v>100</v>
      </c>
      <c r="F605" t="s">
        <v>101</v>
      </c>
      <c r="G605">
        <v>254</v>
      </c>
      <c r="H605" t="s">
        <v>102</v>
      </c>
      <c r="I605" t="s">
        <v>160</v>
      </c>
      <c r="J605" t="s">
        <v>157</v>
      </c>
      <c r="K605">
        <v>1120</v>
      </c>
      <c r="L605">
        <v>112090</v>
      </c>
      <c r="M605" t="s">
        <v>179</v>
      </c>
      <c r="N605" s="98">
        <v>3536</v>
      </c>
      <c r="O605" s="98">
        <v>4818.5</v>
      </c>
      <c r="P605" s="98">
        <v>-1282.5</v>
      </c>
      <c r="Q605" s="98">
        <v>1282.5</v>
      </c>
    </row>
    <row r="606" spans="1:17" x14ac:dyDescent="0.35">
      <c r="A606" t="s">
        <v>112</v>
      </c>
      <c r="B606" t="s">
        <v>113</v>
      </c>
      <c r="C606">
        <v>5</v>
      </c>
      <c r="D606" t="s">
        <v>27</v>
      </c>
      <c r="E606" t="s">
        <v>100</v>
      </c>
      <c r="F606" t="s">
        <v>101</v>
      </c>
      <c r="G606">
        <v>254</v>
      </c>
      <c r="H606" t="s">
        <v>102</v>
      </c>
      <c r="I606" t="s">
        <v>160</v>
      </c>
      <c r="J606" t="s">
        <v>157</v>
      </c>
      <c r="K606">
        <v>1120</v>
      </c>
      <c r="L606">
        <v>112090</v>
      </c>
      <c r="M606" t="s">
        <v>179</v>
      </c>
      <c r="N606" s="98">
        <v>3536</v>
      </c>
      <c r="O606" s="98">
        <v>4414.29</v>
      </c>
      <c r="P606" s="98">
        <v>-878.29</v>
      </c>
      <c r="Q606" s="98">
        <v>878.29</v>
      </c>
    </row>
    <row r="607" spans="1:17" x14ac:dyDescent="0.35">
      <c r="A607" t="s">
        <v>114</v>
      </c>
      <c r="B607" t="s">
        <v>115</v>
      </c>
      <c r="C607">
        <v>6</v>
      </c>
      <c r="D607" t="s">
        <v>27</v>
      </c>
      <c r="E607" t="s">
        <v>100</v>
      </c>
      <c r="F607" t="s">
        <v>101</v>
      </c>
      <c r="G607">
        <v>254</v>
      </c>
      <c r="H607" t="s">
        <v>102</v>
      </c>
      <c r="I607" t="s">
        <v>160</v>
      </c>
      <c r="J607" t="s">
        <v>157</v>
      </c>
      <c r="K607">
        <v>1120</v>
      </c>
      <c r="L607">
        <v>112090</v>
      </c>
      <c r="M607" t="s">
        <v>179</v>
      </c>
      <c r="N607" s="98">
        <v>3536</v>
      </c>
      <c r="O607" s="98">
        <v>7675.68</v>
      </c>
      <c r="P607" s="98">
        <v>-4139.68</v>
      </c>
      <c r="Q607" s="98">
        <v>4139.68</v>
      </c>
    </row>
    <row r="608" spans="1:17" x14ac:dyDescent="0.35">
      <c r="A608" t="s">
        <v>116</v>
      </c>
      <c r="B608" t="s">
        <v>117</v>
      </c>
      <c r="C608">
        <v>7</v>
      </c>
      <c r="D608" t="s">
        <v>27</v>
      </c>
      <c r="E608" t="s">
        <v>100</v>
      </c>
      <c r="F608" t="s">
        <v>101</v>
      </c>
      <c r="G608">
        <v>254</v>
      </c>
      <c r="H608" t="s">
        <v>102</v>
      </c>
      <c r="I608" t="s">
        <v>160</v>
      </c>
      <c r="J608" t="s">
        <v>157</v>
      </c>
      <c r="K608">
        <v>1120</v>
      </c>
      <c r="L608">
        <v>112090</v>
      </c>
      <c r="M608" t="s">
        <v>179</v>
      </c>
      <c r="N608" s="98">
        <v>3536</v>
      </c>
      <c r="O608" s="98">
        <v>1358.36</v>
      </c>
      <c r="P608" s="98">
        <v>2177.64</v>
      </c>
      <c r="Q608" s="98">
        <v>-2177.64</v>
      </c>
    </row>
    <row r="609" spans="1:17" x14ac:dyDescent="0.35">
      <c r="A609" t="s">
        <v>118</v>
      </c>
      <c r="B609" t="s">
        <v>119</v>
      </c>
      <c r="C609">
        <v>8</v>
      </c>
      <c r="D609" t="s">
        <v>27</v>
      </c>
      <c r="E609" t="s">
        <v>100</v>
      </c>
      <c r="F609" t="s">
        <v>101</v>
      </c>
      <c r="G609">
        <v>254</v>
      </c>
      <c r="H609" t="s">
        <v>102</v>
      </c>
      <c r="I609" t="s">
        <v>160</v>
      </c>
      <c r="J609" t="s">
        <v>157</v>
      </c>
      <c r="K609">
        <v>1120</v>
      </c>
      <c r="L609">
        <v>112090</v>
      </c>
      <c r="M609" t="s">
        <v>179</v>
      </c>
      <c r="N609" s="98">
        <v>3536</v>
      </c>
      <c r="O609" s="98">
        <v>48.4</v>
      </c>
      <c r="P609" s="98">
        <v>3487.6</v>
      </c>
      <c r="Q609" s="98">
        <v>-3487.6</v>
      </c>
    </row>
    <row r="610" spans="1:17" x14ac:dyDescent="0.35">
      <c r="A610" t="s">
        <v>120</v>
      </c>
      <c r="B610" t="s">
        <v>121</v>
      </c>
      <c r="C610">
        <v>9</v>
      </c>
      <c r="D610" t="s">
        <v>30</v>
      </c>
      <c r="E610" t="s">
        <v>5</v>
      </c>
      <c r="F610" t="s">
        <v>101</v>
      </c>
      <c r="G610">
        <v>254</v>
      </c>
      <c r="H610" t="s">
        <v>102</v>
      </c>
      <c r="I610" t="s">
        <v>160</v>
      </c>
      <c r="J610" t="s">
        <v>157</v>
      </c>
      <c r="K610">
        <v>1120</v>
      </c>
      <c r="L610">
        <v>112090</v>
      </c>
      <c r="M610" t="s">
        <v>179</v>
      </c>
      <c r="N610" s="98">
        <v>3536</v>
      </c>
      <c r="O610" s="98">
        <v>0</v>
      </c>
      <c r="P610" s="98">
        <v>0</v>
      </c>
      <c r="Q610" s="98">
        <v>-3536</v>
      </c>
    </row>
    <row r="611" spans="1:17" x14ac:dyDescent="0.35">
      <c r="A611" t="s">
        <v>122</v>
      </c>
      <c r="B611" t="s">
        <v>123</v>
      </c>
      <c r="C611">
        <v>10</v>
      </c>
      <c r="D611" t="s">
        <v>30</v>
      </c>
      <c r="E611" t="s">
        <v>5</v>
      </c>
      <c r="F611" t="s">
        <v>101</v>
      </c>
      <c r="G611">
        <v>254</v>
      </c>
      <c r="H611" t="s">
        <v>102</v>
      </c>
      <c r="I611" t="s">
        <v>160</v>
      </c>
      <c r="J611" t="s">
        <v>157</v>
      </c>
      <c r="K611">
        <v>1120</v>
      </c>
      <c r="L611">
        <v>112090</v>
      </c>
      <c r="M611" t="s">
        <v>179</v>
      </c>
      <c r="N611" s="98">
        <v>3536</v>
      </c>
      <c r="O611" s="98">
        <v>0</v>
      </c>
      <c r="P611" s="98">
        <v>0</v>
      </c>
      <c r="Q611" s="98">
        <v>-3536</v>
      </c>
    </row>
    <row r="612" spans="1:17" x14ac:dyDescent="0.35">
      <c r="A612" t="s">
        <v>124</v>
      </c>
      <c r="B612" t="s">
        <v>125</v>
      </c>
      <c r="C612">
        <v>11</v>
      </c>
      <c r="D612" t="s">
        <v>30</v>
      </c>
      <c r="E612" t="s">
        <v>5</v>
      </c>
      <c r="F612" t="s">
        <v>101</v>
      </c>
      <c r="G612">
        <v>254</v>
      </c>
      <c r="H612" t="s">
        <v>102</v>
      </c>
      <c r="I612" t="s">
        <v>160</v>
      </c>
      <c r="J612" t="s">
        <v>157</v>
      </c>
      <c r="K612">
        <v>1120</v>
      </c>
      <c r="L612">
        <v>112090</v>
      </c>
      <c r="M612" t="s">
        <v>179</v>
      </c>
      <c r="N612" s="98">
        <v>3536</v>
      </c>
      <c r="O612" s="98">
        <v>0</v>
      </c>
      <c r="P612" s="98">
        <v>0</v>
      </c>
      <c r="Q612" s="98">
        <v>-3536</v>
      </c>
    </row>
    <row r="613" spans="1:17" x14ac:dyDescent="0.35">
      <c r="A613" t="s">
        <v>126</v>
      </c>
      <c r="B613" t="s">
        <v>127</v>
      </c>
      <c r="C613">
        <v>12</v>
      </c>
      <c r="D613" t="s">
        <v>30</v>
      </c>
      <c r="E613" t="s">
        <v>5</v>
      </c>
      <c r="F613" t="s">
        <v>101</v>
      </c>
      <c r="G613">
        <v>254</v>
      </c>
      <c r="H613" t="s">
        <v>102</v>
      </c>
      <c r="I613" t="s">
        <v>160</v>
      </c>
      <c r="J613" t="s">
        <v>157</v>
      </c>
      <c r="K613">
        <v>1120</v>
      </c>
      <c r="L613">
        <v>112090</v>
      </c>
      <c r="M613" t="s">
        <v>179</v>
      </c>
      <c r="N613" s="98">
        <v>4104</v>
      </c>
      <c r="O613" s="98">
        <v>0</v>
      </c>
      <c r="P613" s="98">
        <v>0</v>
      </c>
      <c r="Q613" s="98">
        <v>-4104</v>
      </c>
    </row>
    <row r="614" spans="1:17" x14ac:dyDescent="0.35">
      <c r="A614" t="s">
        <v>98</v>
      </c>
      <c r="B614" t="s">
        <v>99</v>
      </c>
      <c r="C614">
        <v>1</v>
      </c>
      <c r="D614" t="s">
        <v>23</v>
      </c>
      <c r="E614" t="s">
        <v>100</v>
      </c>
      <c r="F614" t="s">
        <v>101</v>
      </c>
      <c r="G614">
        <v>254</v>
      </c>
      <c r="H614" t="s">
        <v>102</v>
      </c>
      <c r="I614" t="s">
        <v>160</v>
      </c>
      <c r="J614" t="s">
        <v>157</v>
      </c>
      <c r="K614">
        <v>1120</v>
      </c>
      <c r="L614">
        <v>112098</v>
      </c>
      <c r="M614" t="s">
        <v>180</v>
      </c>
      <c r="N614" s="98">
        <v>0</v>
      </c>
      <c r="O614" s="98">
        <v>0</v>
      </c>
      <c r="P614" s="98">
        <v>0</v>
      </c>
      <c r="Q614" s="98">
        <v>0</v>
      </c>
    </row>
    <row r="615" spans="1:17" x14ac:dyDescent="0.35">
      <c r="A615" t="s">
        <v>106</v>
      </c>
      <c r="B615" t="s">
        <v>107</v>
      </c>
      <c r="C615">
        <v>2</v>
      </c>
      <c r="D615" t="s">
        <v>23</v>
      </c>
      <c r="E615" t="s">
        <v>100</v>
      </c>
      <c r="F615" t="s">
        <v>101</v>
      </c>
      <c r="G615">
        <v>254</v>
      </c>
      <c r="H615" t="s">
        <v>102</v>
      </c>
      <c r="I615" t="s">
        <v>160</v>
      </c>
      <c r="J615" t="s">
        <v>157</v>
      </c>
      <c r="K615">
        <v>1120</v>
      </c>
      <c r="L615">
        <v>112098</v>
      </c>
      <c r="M615" t="s">
        <v>180</v>
      </c>
      <c r="N615" s="98">
        <v>0</v>
      </c>
      <c r="O615" s="98">
        <v>0</v>
      </c>
      <c r="P615" s="98">
        <v>0</v>
      </c>
      <c r="Q615" s="98">
        <v>0</v>
      </c>
    </row>
    <row r="616" spans="1:17" x14ac:dyDescent="0.35">
      <c r="A616" t="s">
        <v>108</v>
      </c>
      <c r="B616" t="s">
        <v>109</v>
      </c>
      <c r="C616">
        <v>3</v>
      </c>
      <c r="D616" t="s">
        <v>23</v>
      </c>
      <c r="E616" t="s">
        <v>100</v>
      </c>
      <c r="F616" t="s">
        <v>101</v>
      </c>
      <c r="G616">
        <v>254</v>
      </c>
      <c r="H616" t="s">
        <v>102</v>
      </c>
      <c r="I616" t="s">
        <v>160</v>
      </c>
      <c r="J616" t="s">
        <v>157</v>
      </c>
      <c r="K616">
        <v>1120</v>
      </c>
      <c r="L616">
        <v>112098</v>
      </c>
      <c r="M616" t="s">
        <v>180</v>
      </c>
      <c r="N616" s="98">
        <v>0</v>
      </c>
      <c r="O616" s="98">
        <v>0</v>
      </c>
      <c r="P616" s="98">
        <v>0</v>
      </c>
      <c r="Q616" s="98">
        <v>0</v>
      </c>
    </row>
    <row r="617" spans="1:17" x14ac:dyDescent="0.35">
      <c r="A617" t="s">
        <v>110</v>
      </c>
      <c r="B617" t="s">
        <v>111</v>
      </c>
      <c r="C617">
        <v>4</v>
      </c>
      <c r="D617" t="s">
        <v>23</v>
      </c>
      <c r="E617" t="s">
        <v>100</v>
      </c>
      <c r="F617" t="s">
        <v>101</v>
      </c>
      <c r="G617">
        <v>254</v>
      </c>
      <c r="H617" t="s">
        <v>102</v>
      </c>
      <c r="I617" t="s">
        <v>160</v>
      </c>
      <c r="J617" t="s">
        <v>157</v>
      </c>
      <c r="K617">
        <v>1120</v>
      </c>
      <c r="L617">
        <v>112098</v>
      </c>
      <c r="M617" t="s">
        <v>180</v>
      </c>
      <c r="N617" s="98">
        <v>0</v>
      </c>
      <c r="O617" s="98">
        <v>-61447</v>
      </c>
      <c r="P617" s="98">
        <v>61447</v>
      </c>
      <c r="Q617" s="98">
        <v>-61447</v>
      </c>
    </row>
    <row r="618" spans="1:17" x14ac:dyDescent="0.35">
      <c r="A618" t="s">
        <v>112</v>
      </c>
      <c r="B618" t="s">
        <v>113</v>
      </c>
      <c r="C618">
        <v>5</v>
      </c>
      <c r="D618" t="s">
        <v>27</v>
      </c>
      <c r="E618" t="s">
        <v>100</v>
      </c>
      <c r="F618" t="s">
        <v>101</v>
      </c>
      <c r="G618">
        <v>254</v>
      </c>
      <c r="H618" t="s">
        <v>102</v>
      </c>
      <c r="I618" t="s">
        <v>160</v>
      </c>
      <c r="J618" t="s">
        <v>157</v>
      </c>
      <c r="K618">
        <v>1120</v>
      </c>
      <c r="L618">
        <v>112098</v>
      </c>
      <c r="M618" t="s">
        <v>180</v>
      </c>
      <c r="N618" s="98">
        <v>0</v>
      </c>
      <c r="O618" s="98">
        <v>0</v>
      </c>
      <c r="P618" s="98">
        <v>0</v>
      </c>
      <c r="Q618" s="98">
        <v>0</v>
      </c>
    </row>
    <row r="619" spans="1:17" x14ac:dyDescent="0.35">
      <c r="A619" t="s">
        <v>114</v>
      </c>
      <c r="B619" t="s">
        <v>115</v>
      </c>
      <c r="C619">
        <v>6</v>
      </c>
      <c r="D619" t="s">
        <v>27</v>
      </c>
      <c r="E619" t="s">
        <v>100</v>
      </c>
      <c r="F619" t="s">
        <v>101</v>
      </c>
      <c r="G619">
        <v>254</v>
      </c>
      <c r="H619" t="s">
        <v>102</v>
      </c>
      <c r="I619" t="s">
        <v>160</v>
      </c>
      <c r="J619" t="s">
        <v>157</v>
      </c>
      <c r="K619">
        <v>1120</v>
      </c>
      <c r="L619">
        <v>112098</v>
      </c>
      <c r="M619" t="s">
        <v>180</v>
      </c>
      <c r="N619" s="98">
        <v>0</v>
      </c>
      <c r="O619" s="98">
        <v>0</v>
      </c>
      <c r="P619" s="98">
        <v>0</v>
      </c>
      <c r="Q619" s="98">
        <v>0</v>
      </c>
    </row>
    <row r="620" spans="1:17" x14ac:dyDescent="0.35">
      <c r="A620" t="s">
        <v>116</v>
      </c>
      <c r="B620" t="s">
        <v>117</v>
      </c>
      <c r="C620">
        <v>7</v>
      </c>
      <c r="D620" t="s">
        <v>27</v>
      </c>
      <c r="E620" t="s">
        <v>100</v>
      </c>
      <c r="F620" t="s">
        <v>101</v>
      </c>
      <c r="G620">
        <v>254</v>
      </c>
      <c r="H620" t="s">
        <v>102</v>
      </c>
      <c r="I620" t="s">
        <v>160</v>
      </c>
      <c r="J620" t="s">
        <v>157</v>
      </c>
      <c r="K620">
        <v>1120</v>
      </c>
      <c r="L620">
        <v>112098</v>
      </c>
      <c r="M620" t="s">
        <v>180</v>
      </c>
      <c r="N620" s="98">
        <v>0</v>
      </c>
      <c r="O620" s="98">
        <v>0</v>
      </c>
      <c r="P620" s="98">
        <v>0</v>
      </c>
      <c r="Q620" s="98">
        <v>0</v>
      </c>
    </row>
    <row r="621" spans="1:17" x14ac:dyDescent="0.35">
      <c r="A621" t="s">
        <v>118</v>
      </c>
      <c r="B621" t="s">
        <v>119</v>
      </c>
      <c r="C621">
        <v>8</v>
      </c>
      <c r="D621" t="s">
        <v>27</v>
      </c>
      <c r="E621" t="s">
        <v>100</v>
      </c>
      <c r="F621" t="s">
        <v>101</v>
      </c>
      <c r="G621">
        <v>254</v>
      </c>
      <c r="H621" t="s">
        <v>102</v>
      </c>
      <c r="I621" t="s">
        <v>160</v>
      </c>
      <c r="J621" t="s">
        <v>157</v>
      </c>
      <c r="K621">
        <v>1120</v>
      </c>
      <c r="L621">
        <v>112098</v>
      </c>
      <c r="M621" t="s">
        <v>180</v>
      </c>
      <c r="N621" s="98">
        <v>0</v>
      </c>
      <c r="O621" s="98">
        <v>-99000</v>
      </c>
      <c r="P621" s="98">
        <v>99000</v>
      </c>
      <c r="Q621" s="98">
        <v>-99000</v>
      </c>
    </row>
    <row r="622" spans="1:17" x14ac:dyDescent="0.35">
      <c r="A622" t="s">
        <v>120</v>
      </c>
      <c r="B622" t="s">
        <v>121</v>
      </c>
      <c r="C622">
        <v>9</v>
      </c>
      <c r="D622" t="s">
        <v>30</v>
      </c>
      <c r="E622" t="s">
        <v>5</v>
      </c>
      <c r="F622" t="s">
        <v>101</v>
      </c>
      <c r="G622">
        <v>254</v>
      </c>
      <c r="H622" t="s">
        <v>102</v>
      </c>
      <c r="I622" t="s">
        <v>160</v>
      </c>
      <c r="J622" t="s">
        <v>157</v>
      </c>
      <c r="K622">
        <v>1120</v>
      </c>
      <c r="L622">
        <v>112098</v>
      </c>
      <c r="M622" t="s">
        <v>180</v>
      </c>
      <c r="N622" s="98">
        <v>0</v>
      </c>
      <c r="O622" s="98">
        <v>0</v>
      </c>
      <c r="P622" s="98">
        <v>0</v>
      </c>
      <c r="Q622" s="98">
        <v>0</v>
      </c>
    </row>
    <row r="623" spans="1:17" x14ac:dyDescent="0.35">
      <c r="A623" t="s">
        <v>122</v>
      </c>
      <c r="B623" t="s">
        <v>123</v>
      </c>
      <c r="C623">
        <v>10</v>
      </c>
      <c r="D623" t="s">
        <v>30</v>
      </c>
      <c r="E623" t="s">
        <v>5</v>
      </c>
      <c r="F623" t="s">
        <v>101</v>
      </c>
      <c r="G623">
        <v>254</v>
      </c>
      <c r="H623" t="s">
        <v>102</v>
      </c>
      <c r="I623" t="s">
        <v>160</v>
      </c>
      <c r="J623" t="s">
        <v>157</v>
      </c>
      <c r="K623">
        <v>1120</v>
      </c>
      <c r="L623">
        <v>112098</v>
      </c>
      <c r="M623" t="s">
        <v>180</v>
      </c>
      <c r="N623" s="98">
        <v>0</v>
      </c>
      <c r="O623" s="98">
        <v>0</v>
      </c>
      <c r="P623" s="98">
        <v>0</v>
      </c>
      <c r="Q623" s="98">
        <v>0</v>
      </c>
    </row>
    <row r="624" spans="1:17" x14ac:dyDescent="0.35">
      <c r="A624" t="s">
        <v>124</v>
      </c>
      <c r="B624" t="s">
        <v>125</v>
      </c>
      <c r="C624">
        <v>11</v>
      </c>
      <c r="D624" t="s">
        <v>30</v>
      </c>
      <c r="E624" t="s">
        <v>5</v>
      </c>
      <c r="F624" t="s">
        <v>101</v>
      </c>
      <c r="G624">
        <v>254</v>
      </c>
      <c r="H624" t="s">
        <v>102</v>
      </c>
      <c r="I624" t="s">
        <v>160</v>
      </c>
      <c r="J624" t="s">
        <v>157</v>
      </c>
      <c r="K624">
        <v>1120</v>
      </c>
      <c r="L624">
        <v>112098</v>
      </c>
      <c r="M624" t="s">
        <v>180</v>
      </c>
      <c r="N624" s="98">
        <v>0</v>
      </c>
      <c r="O624" s="98">
        <v>0</v>
      </c>
      <c r="P624" s="98">
        <v>0</v>
      </c>
      <c r="Q624" s="98">
        <v>0</v>
      </c>
    </row>
    <row r="625" spans="1:17" x14ac:dyDescent="0.35">
      <c r="A625" t="s">
        <v>126</v>
      </c>
      <c r="B625" t="s">
        <v>127</v>
      </c>
      <c r="C625">
        <v>12</v>
      </c>
      <c r="D625" t="s">
        <v>30</v>
      </c>
      <c r="E625" t="s">
        <v>5</v>
      </c>
      <c r="F625" t="s">
        <v>101</v>
      </c>
      <c r="G625">
        <v>254</v>
      </c>
      <c r="H625" t="s">
        <v>102</v>
      </c>
      <c r="I625" t="s">
        <v>160</v>
      </c>
      <c r="J625" t="s">
        <v>157</v>
      </c>
      <c r="K625">
        <v>1120</v>
      </c>
      <c r="L625">
        <v>112098</v>
      </c>
      <c r="M625" t="s">
        <v>180</v>
      </c>
      <c r="N625" s="98">
        <v>0</v>
      </c>
      <c r="O625" s="98">
        <v>0</v>
      </c>
      <c r="P625" s="98">
        <v>0</v>
      </c>
      <c r="Q625" s="98">
        <v>0</v>
      </c>
    </row>
    <row r="626" spans="1:17" x14ac:dyDescent="0.35">
      <c r="A626" t="s">
        <v>98</v>
      </c>
      <c r="B626" t="s">
        <v>99</v>
      </c>
      <c r="C626">
        <v>1</v>
      </c>
      <c r="D626" t="s">
        <v>23</v>
      </c>
      <c r="E626" t="s">
        <v>100</v>
      </c>
      <c r="F626" t="s">
        <v>101</v>
      </c>
      <c r="G626">
        <v>254</v>
      </c>
      <c r="H626" t="s">
        <v>102</v>
      </c>
      <c r="I626" t="s">
        <v>160</v>
      </c>
      <c r="J626" t="s">
        <v>157</v>
      </c>
      <c r="K626">
        <v>1120</v>
      </c>
      <c r="L626">
        <v>112099</v>
      </c>
      <c r="M626" t="s">
        <v>181</v>
      </c>
      <c r="N626" s="98">
        <v>0</v>
      </c>
      <c r="O626" s="98">
        <v>0</v>
      </c>
      <c r="P626" s="98">
        <v>0</v>
      </c>
      <c r="Q626" s="98">
        <v>0</v>
      </c>
    </row>
    <row r="627" spans="1:17" x14ac:dyDescent="0.35">
      <c r="A627" t="s">
        <v>106</v>
      </c>
      <c r="B627" t="s">
        <v>107</v>
      </c>
      <c r="C627">
        <v>2</v>
      </c>
      <c r="D627" t="s">
        <v>23</v>
      </c>
      <c r="E627" t="s">
        <v>100</v>
      </c>
      <c r="F627" t="s">
        <v>101</v>
      </c>
      <c r="G627">
        <v>254</v>
      </c>
      <c r="H627" t="s">
        <v>102</v>
      </c>
      <c r="I627" t="s">
        <v>160</v>
      </c>
      <c r="J627" t="s">
        <v>157</v>
      </c>
      <c r="K627">
        <v>1120</v>
      </c>
      <c r="L627">
        <v>112099</v>
      </c>
      <c r="M627" t="s">
        <v>181</v>
      </c>
      <c r="N627" s="98">
        <v>0</v>
      </c>
      <c r="O627" s="98">
        <v>0</v>
      </c>
      <c r="P627" s="98">
        <v>0</v>
      </c>
      <c r="Q627" s="98">
        <v>0</v>
      </c>
    </row>
    <row r="628" spans="1:17" x14ac:dyDescent="0.35">
      <c r="A628" t="s">
        <v>108</v>
      </c>
      <c r="B628" t="s">
        <v>109</v>
      </c>
      <c r="C628">
        <v>3</v>
      </c>
      <c r="D628" t="s">
        <v>23</v>
      </c>
      <c r="E628" t="s">
        <v>100</v>
      </c>
      <c r="F628" t="s">
        <v>101</v>
      </c>
      <c r="G628">
        <v>254</v>
      </c>
      <c r="H628" t="s">
        <v>102</v>
      </c>
      <c r="I628" t="s">
        <v>160</v>
      </c>
      <c r="J628" t="s">
        <v>157</v>
      </c>
      <c r="K628">
        <v>1120</v>
      </c>
      <c r="L628">
        <v>112099</v>
      </c>
      <c r="M628" t="s">
        <v>181</v>
      </c>
      <c r="N628" s="98">
        <v>0</v>
      </c>
      <c r="O628" s="98">
        <v>100</v>
      </c>
      <c r="P628" s="98">
        <v>-100</v>
      </c>
      <c r="Q628" s="98">
        <v>100</v>
      </c>
    </row>
    <row r="629" spans="1:17" x14ac:dyDescent="0.35">
      <c r="A629" t="s">
        <v>110</v>
      </c>
      <c r="B629" t="s">
        <v>111</v>
      </c>
      <c r="C629">
        <v>4</v>
      </c>
      <c r="D629" t="s">
        <v>23</v>
      </c>
      <c r="E629" t="s">
        <v>100</v>
      </c>
      <c r="F629" t="s">
        <v>101</v>
      </c>
      <c r="G629">
        <v>254</v>
      </c>
      <c r="H629" t="s">
        <v>102</v>
      </c>
      <c r="I629" t="s">
        <v>160</v>
      </c>
      <c r="J629" t="s">
        <v>157</v>
      </c>
      <c r="K629">
        <v>1120</v>
      </c>
      <c r="L629">
        <v>112099</v>
      </c>
      <c r="M629" t="s">
        <v>181</v>
      </c>
      <c r="N629" s="98">
        <v>0</v>
      </c>
      <c r="O629" s="98">
        <v>308</v>
      </c>
      <c r="P629" s="98">
        <v>-308</v>
      </c>
      <c r="Q629" s="98">
        <v>308</v>
      </c>
    </row>
    <row r="630" spans="1:17" x14ac:dyDescent="0.35">
      <c r="A630" t="s">
        <v>112</v>
      </c>
      <c r="B630" t="s">
        <v>113</v>
      </c>
      <c r="C630">
        <v>5</v>
      </c>
      <c r="D630" t="s">
        <v>27</v>
      </c>
      <c r="E630" t="s">
        <v>100</v>
      </c>
      <c r="F630" t="s">
        <v>101</v>
      </c>
      <c r="G630">
        <v>254</v>
      </c>
      <c r="H630" t="s">
        <v>102</v>
      </c>
      <c r="I630" t="s">
        <v>160</v>
      </c>
      <c r="J630" t="s">
        <v>157</v>
      </c>
      <c r="K630">
        <v>1120</v>
      </c>
      <c r="L630">
        <v>112099</v>
      </c>
      <c r="M630" t="s">
        <v>181</v>
      </c>
      <c r="N630" s="98">
        <v>0</v>
      </c>
      <c r="O630" s="98">
        <v>0</v>
      </c>
      <c r="P630" s="98">
        <v>0</v>
      </c>
      <c r="Q630" s="98">
        <v>0</v>
      </c>
    </row>
    <row r="631" spans="1:17" x14ac:dyDescent="0.35">
      <c r="A631" t="s">
        <v>114</v>
      </c>
      <c r="B631" t="s">
        <v>115</v>
      </c>
      <c r="C631">
        <v>6</v>
      </c>
      <c r="D631" t="s">
        <v>27</v>
      </c>
      <c r="E631" t="s">
        <v>100</v>
      </c>
      <c r="F631" t="s">
        <v>101</v>
      </c>
      <c r="G631">
        <v>254</v>
      </c>
      <c r="H631" t="s">
        <v>102</v>
      </c>
      <c r="I631" t="s">
        <v>160</v>
      </c>
      <c r="J631" t="s">
        <v>157</v>
      </c>
      <c r="K631">
        <v>1120</v>
      </c>
      <c r="L631">
        <v>112099</v>
      </c>
      <c r="M631" t="s">
        <v>181</v>
      </c>
      <c r="N631" s="98">
        <v>0</v>
      </c>
      <c r="O631" s="98">
        <v>205</v>
      </c>
      <c r="P631" s="98">
        <v>-205</v>
      </c>
      <c r="Q631" s="98">
        <v>205</v>
      </c>
    </row>
    <row r="632" spans="1:17" x14ac:dyDescent="0.35">
      <c r="A632" t="s">
        <v>116</v>
      </c>
      <c r="B632" t="s">
        <v>117</v>
      </c>
      <c r="C632">
        <v>7</v>
      </c>
      <c r="D632" t="s">
        <v>27</v>
      </c>
      <c r="E632" t="s">
        <v>100</v>
      </c>
      <c r="F632" t="s">
        <v>101</v>
      </c>
      <c r="G632">
        <v>254</v>
      </c>
      <c r="H632" t="s">
        <v>102</v>
      </c>
      <c r="I632" t="s">
        <v>160</v>
      </c>
      <c r="J632" t="s">
        <v>157</v>
      </c>
      <c r="K632">
        <v>1120</v>
      </c>
      <c r="L632">
        <v>112099</v>
      </c>
      <c r="M632" t="s">
        <v>181</v>
      </c>
      <c r="N632" s="98">
        <v>0</v>
      </c>
      <c r="O632" s="98">
        <v>0</v>
      </c>
      <c r="P632" s="98">
        <v>0</v>
      </c>
      <c r="Q632" s="98">
        <v>0</v>
      </c>
    </row>
    <row r="633" spans="1:17" x14ac:dyDescent="0.35">
      <c r="A633" t="s">
        <v>118</v>
      </c>
      <c r="B633" t="s">
        <v>119</v>
      </c>
      <c r="C633">
        <v>8</v>
      </c>
      <c r="D633" t="s">
        <v>27</v>
      </c>
      <c r="E633" t="s">
        <v>100</v>
      </c>
      <c r="F633" t="s">
        <v>101</v>
      </c>
      <c r="G633">
        <v>254</v>
      </c>
      <c r="H633" t="s">
        <v>102</v>
      </c>
      <c r="I633" t="s">
        <v>160</v>
      </c>
      <c r="J633" t="s">
        <v>157</v>
      </c>
      <c r="K633">
        <v>1120</v>
      </c>
      <c r="L633">
        <v>112099</v>
      </c>
      <c r="M633" t="s">
        <v>181</v>
      </c>
      <c r="N633" s="98">
        <v>0</v>
      </c>
      <c r="O633" s="98">
        <v>0</v>
      </c>
      <c r="P633" s="98">
        <v>0</v>
      </c>
      <c r="Q633" s="98">
        <v>0</v>
      </c>
    </row>
    <row r="634" spans="1:17" x14ac:dyDescent="0.35">
      <c r="A634" t="s">
        <v>120</v>
      </c>
      <c r="B634" t="s">
        <v>121</v>
      </c>
      <c r="C634">
        <v>9</v>
      </c>
      <c r="D634" t="s">
        <v>30</v>
      </c>
      <c r="E634" t="s">
        <v>5</v>
      </c>
      <c r="F634" t="s">
        <v>101</v>
      </c>
      <c r="G634">
        <v>254</v>
      </c>
      <c r="H634" t="s">
        <v>102</v>
      </c>
      <c r="I634" t="s">
        <v>160</v>
      </c>
      <c r="J634" t="s">
        <v>157</v>
      </c>
      <c r="K634">
        <v>1120</v>
      </c>
      <c r="L634">
        <v>112099</v>
      </c>
      <c r="M634" t="s">
        <v>181</v>
      </c>
      <c r="N634" s="98">
        <v>0</v>
      </c>
      <c r="O634" s="98">
        <v>0</v>
      </c>
      <c r="P634" s="98">
        <v>0</v>
      </c>
      <c r="Q634" s="98">
        <v>0</v>
      </c>
    </row>
    <row r="635" spans="1:17" x14ac:dyDescent="0.35">
      <c r="A635" t="s">
        <v>122</v>
      </c>
      <c r="B635" t="s">
        <v>123</v>
      </c>
      <c r="C635">
        <v>10</v>
      </c>
      <c r="D635" t="s">
        <v>30</v>
      </c>
      <c r="E635" t="s">
        <v>5</v>
      </c>
      <c r="F635" t="s">
        <v>101</v>
      </c>
      <c r="G635">
        <v>254</v>
      </c>
      <c r="H635" t="s">
        <v>102</v>
      </c>
      <c r="I635" t="s">
        <v>160</v>
      </c>
      <c r="J635" t="s">
        <v>157</v>
      </c>
      <c r="K635">
        <v>1120</v>
      </c>
      <c r="L635">
        <v>112099</v>
      </c>
      <c r="M635" t="s">
        <v>181</v>
      </c>
      <c r="N635" s="98">
        <v>0</v>
      </c>
      <c r="O635" s="98">
        <v>0</v>
      </c>
      <c r="P635" s="98">
        <v>0</v>
      </c>
      <c r="Q635" s="98">
        <v>0</v>
      </c>
    </row>
    <row r="636" spans="1:17" x14ac:dyDescent="0.35">
      <c r="A636" t="s">
        <v>124</v>
      </c>
      <c r="B636" t="s">
        <v>125</v>
      </c>
      <c r="C636">
        <v>11</v>
      </c>
      <c r="D636" t="s">
        <v>30</v>
      </c>
      <c r="E636" t="s">
        <v>5</v>
      </c>
      <c r="F636" t="s">
        <v>101</v>
      </c>
      <c r="G636">
        <v>254</v>
      </c>
      <c r="H636" t="s">
        <v>102</v>
      </c>
      <c r="I636" t="s">
        <v>160</v>
      </c>
      <c r="J636" t="s">
        <v>157</v>
      </c>
      <c r="K636">
        <v>1120</v>
      </c>
      <c r="L636">
        <v>112099</v>
      </c>
      <c r="M636" t="s">
        <v>181</v>
      </c>
      <c r="N636" s="98">
        <v>0</v>
      </c>
      <c r="O636" s="98">
        <v>0</v>
      </c>
      <c r="P636" s="98">
        <v>0</v>
      </c>
      <c r="Q636" s="98">
        <v>0</v>
      </c>
    </row>
    <row r="637" spans="1:17" x14ac:dyDescent="0.35">
      <c r="A637" t="s">
        <v>126</v>
      </c>
      <c r="B637" t="s">
        <v>127</v>
      </c>
      <c r="C637">
        <v>12</v>
      </c>
      <c r="D637" t="s">
        <v>30</v>
      </c>
      <c r="E637" t="s">
        <v>5</v>
      </c>
      <c r="F637" t="s">
        <v>101</v>
      </c>
      <c r="G637">
        <v>254</v>
      </c>
      <c r="H637" t="s">
        <v>102</v>
      </c>
      <c r="I637" t="s">
        <v>160</v>
      </c>
      <c r="J637" t="s">
        <v>157</v>
      </c>
      <c r="K637">
        <v>1120</v>
      </c>
      <c r="L637">
        <v>112099</v>
      </c>
      <c r="M637" t="s">
        <v>181</v>
      </c>
      <c r="N637" s="98">
        <v>0</v>
      </c>
      <c r="O637" s="98">
        <v>0</v>
      </c>
      <c r="P637" s="98">
        <v>0</v>
      </c>
      <c r="Q637" s="98">
        <v>0</v>
      </c>
    </row>
    <row r="638" spans="1:17" x14ac:dyDescent="0.35">
      <c r="A638" t="s">
        <v>98</v>
      </c>
      <c r="B638" t="s">
        <v>99</v>
      </c>
      <c r="C638">
        <v>1</v>
      </c>
      <c r="D638" t="s">
        <v>23</v>
      </c>
      <c r="E638" t="s">
        <v>100</v>
      </c>
      <c r="F638" t="s">
        <v>101</v>
      </c>
      <c r="G638">
        <v>254</v>
      </c>
      <c r="H638" t="s">
        <v>102</v>
      </c>
      <c r="I638" t="s">
        <v>160</v>
      </c>
      <c r="J638" t="s">
        <v>157</v>
      </c>
      <c r="K638">
        <v>1130</v>
      </c>
      <c r="L638">
        <v>113000</v>
      </c>
      <c r="M638" t="s">
        <v>182</v>
      </c>
      <c r="N638" s="98">
        <v>850</v>
      </c>
      <c r="O638" s="98">
        <v>0</v>
      </c>
      <c r="P638" s="98">
        <v>850</v>
      </c>
      <c r="Q638" s="98">
        <v>-850</v>
      </c>
    </row>
    <row r="639" spans="1:17" x14ac:dyDescent="0.35">
      <c r="A639" t="s">
        <v>106</v>
      </c>
      <c r="B639" t="s">
        <v>107</v>
      </c>
      <c r="C639">
        <v>2</v>
      </c>
      <c r="D639" t="s">
        <v>23</v>
      </c>
      <c r="E639" t="s">
        <v>100</v>
      </c>
      <c r="F639" t="s">
        <v>101</v>
      </c>
      <c r="G639">
        <v>254</v>
      </c>
      <c r="H639" t="s">
        <v>102</v>
      </c>
      <c r="I639" t="s">
        <v>160</v>
      </c>
      <c r="J639" t="s">
        <v>157</v>
      </c>
      <c r="K639">
        <v>1130</v>
      </c>
      <c r="L639">
        <v>113000</v>
      </c>
      <c r="M639" t="s">
        <v>182</v>
      </c>
      <c r="N639" s="98">
        <v>850</v>
      </c>
      <c r="O639" s="98">
        <v>137.99</v>
      </c>
      <c r="P639" s="98">
        <v>712.01</v>
      </c>
      <c r="Q639" s="98">
        <v>-712.01</v>
      </c>
    </row>
    <row r="640" spans="1:17" x14ac:dyDescent="0.35">
      <c r="A640" t="s">
        <v>108</v>
      </c>
      <c r="B640" t="s">
        <v>109</v>
      </c>
      <c r="C640">
        <v>3</v>
      </c>
      <c r="D640" t="s">
        <v>23</v>
      </c>
      <c r="E640" t="s">
        <v>100</v>
      </c>
      <c r="F640" t="s">
        <v>101</v>
      </c>
      <c r="G640">
        <v>254</v>
      </c>
      <c r="H640" t="s">
        <v>102</v>
      </c>
      <c r="I640" t="s">
        <v>160</v>
      </c>
      <c r="J640" t="s">
        <v>157</v>
      </c>
      <c r="K640">
        <v>1130</v>
      </c>
      <c r="L640">
        <v>113000</v>
      </c>
      <c r="M640" t="s">
        <v>182</v>
      </c>
      <c r="N640" s="98">
        <v>850</v>
      </c>
      <c r="O640" s="98">
        <v>273.20999999999998</v>
      </c>
      <c r="P640" s="98">
        <v>576.79</v>
      </c>
      <c r="Q640" s="98">
        <v>-576.79</v>
      </c>
    </row>
    <row r="641" spans="1:17" x14ac:dyDescent="0.35">
      <c r="A641" t="s">
        <v>110</v>
      </c>
      <c r="B641" t="s">
        <v>111</v>
      </c>
      <c r="C641">
        <v>4</v>
      </c>
      <c r="D641" t="s">
        <v>23</v>
      </c>
      <c r="E641" t="s">
        <v>100</v>
      </c>
      <c r="F641" t="s">
        <v>101</v>
      </c>
      <c r="G641">
        <v>254</v>
      </c>
      <c r="H641" t="s">
        <v>102</v>
      </c>
      <c r="I641" t="s">
        <v>160</v>
      </c>
      <c r="J641" t="s">
        <v>157</v>
      </c>
      <c r="K641">
        <v>1130</v>
      </c>
      <c r="L641">
        <v>113000</v>
      </c>
      <c r="M641" t="s">
        <v>182</v>
      </c>
      <c r="N641" s="98">
        <v>850</v>
      </c>
      <c r="O641" s="98">
        <v>137</v>
      </c>
      <c r="P641" s="98">
        <v>713</v>
      </c>
      <c r="Q641" s="98">
        <v>-713</v>
      </c>
    </row>
    <row r="642" spans="1:17" x14ac:dyDescent="0.35">
      <c r="A642" t="s">
        <v>112</v>
      </c>
      <c r="B642" t="s">
        <v>113</v>
      </c>
      <c r="C642">
        <v>5</v>
      </c>
      <c r="D642" t="s">
        <v>27</v>
      </c>
      <c r="E642" t="s">
        <v>100</v>
      </c>
      <c r="F642" t="s">
        <v>101</v>
      </c>
      <c r="G642">
        <v>254</v>
      </c>
      <c r="H642" t="s">
        <v>102</v>
      </c>
      <c r="I642" t="s">
        <v>160</v>
      </c>
      <c r="J642" t="s">
        <v>157</v>
      </c>
      <c r="K642">
        <v>1130</v>
      </c>
      <c r="L642">
        <v>113000</v>
      </c>
      <c r="M642" t="s">
        <v>182</v>
      </c>
      <c r="N642" s="98">
        <v>850</v>
      </c>
      <c r="O642" s="98">
        <v>138.97999999999999</v>
      </c>
      <c r="P642" s="98">
        <v>711.02</v>
      </c>
      <c r="Q642" s="98">
        <v>-711.02</v>
      </c>
    </row>
    <row r="643" spans="1:17" x14ac:dyDescent="0.35">
      <c r="A643" t="s">
        <v>114</v>
      </c>
      <c r="B643" t="s">
        <v>115</v>
      </c>
      <c r="C643">
        <v>6</v>
      </c>
      <c r="D643" t="s">
        <v>27</v>
      </c>
      <c r="E643" t="s">
        <v>100</v>
      </c>
      <c r="F643" t="s">
        <v>101</v>
      </c>
      <c r="G643">
        <v>254</v>
      </c>
      <c r="H643" t="s">
        <v>102</v>
      </c>
      <c r="I643" t="s">
        <v>160</v>
      </c>
      <c r="J643" t="s">
        <v>157</v>
      </c>
      <c r="K643">
        <v>1130</v>
      </c>
      <c r="L643">
        <v>113000</v>
      </c>
      <c r="M643" t="s">
        <v>182</v>
      </c>
      <c r="N643" s="98">
        <v>850</v>
      </c>
      <c r="O643" s="98">
        <v>135.41999999999999</v>
      </c>
      <c r="P643" s="98">
        <v>714.58</v>
      </c>
      <c r="Q643" s="98">
        <v>-714.58</v>
      </c>
    </row>
    <row r="644" spans="1:17" x14ac:dyDescent="0.35">
      <c r="A644" t="s">
        <v>116</v>
      </c>
      <c r="B644" t="s">
        <v>117</v>
      </c>
      <c r="C644">
        <v>7</v>
      </c>
      <c r="D644" t="s">
        <v>27</v>
      </c>
      <c r="E644" t="s">
        <v>100</v>
      </c>
      <c r="F644" t="s">
        <v>101</v>
      </c>
      <c r="G644">
        <v>254</v>
      </c>
      <c r="H644" t="s">
        <v>102</v>
      </c>
      <c r="I644" t="s">
        <v>160</v>
      </c>
      <c r="J644" t="s">
        <v>157</v>
      </c>
      <c r="K644">
        <v>1130</v>
      </c>
      <c r="L644">
        <v>113000</v>
      </c>
      <c r="M644" t="s">
        <v>182</v>
      </c>
      <c r="N644" s="98">
        <v>850</v>
      </c>
      <c r="O644" s="98">
        <v>545.08000000000004</v>
      </c>
      <c r="P644" s="98">
        <v>304.92</v>
      </c>
      <c r="Q644" s="98">
        <v>-304.92</v>
      </c>
    </row>
    <row r="645" spans="1:17" x14ac:dyDescent="0.35">
      <c r="A645" t="s">
        <v>118</v>
      </c>
      <c r="B645" t="s">
        <v>119</v>
      </c>
      <c r="C645">
        <v>8</v>
      </c>
      <c r="D645" t="s">
        <v>27</v>
      </c>
      <c r="E645" t="s">
        <v>100</v>
      </c>
      <c r="F645" t="s">
        <v>101</v>
      </c>
      <c r="G645">
        <v>254</v>
      </c>
      <c r="H645" t="s">
        <v>102</v>
      </c>
      <c r="I645" t="s">
        <v>160</v>
      </c>
      <c r="J645" t="s">
        <v>157</v>
      </c>
      <c r="K645">
        <v>1130</v>
      </c>
      <c r="L645">
        <v>113000</v>
      </c>
      <c r="M645" t="s">
        <v>182</v>
      </c>
      <c r="N645" s="98">
        <v>850</v>
      </c>
      <c r="O645" s="98">
        <v>491.99</v>
      </c>
      <c r="P645" s="98">
        <v>358.01</v>
      </c>
      <c r="Q645" s="98">
        <v>-358.01</v>
      </c>
    </row>
    <row r="646" spans="1:17" x14ac:dyDescent="0.35">
      <c r="A646" t="s">
        <v>120</v>
      </c>
      <c r="B646" t="s">
        <v>121</v>
      </c>
      <c r="C646">
        <v>9</v>
      </c>
      <c r="D646" t="s">
        <v>30</v>
      </c>
      <c r="E646" t="s">
        <v>5</v>
      </c>
      <c r="F646" t="s">
        <v>101</v>
      </c>
      <c r="G646">
        <v>254</v>
      </c>
      <c r="H646" t="s">
        <v>102</v>
      </c>
      <c r="I646" t="s">
        <v>160</v>
      </c>
      <c r="J646" t="s">
        <v>157</v>
      </c>
      <c r="K646">
        <v>1130</v>
      </c>
      <c r="L646">
        <v>113000</v>
      </c>
      <c r="M646" t="s">
        <v>182</v>
      </c>
      <c r="N646" s="98">
        <v>850</v>
      </c>
      <c r="O646" s="98">
        <v>0</v>
      </c>
      <c r="P646" s="98">
        <v>0</v>
      </c>
      <c r="Q646" s="98">
        <v>-850</v>
      </c>
    </row>
    <row r="647" spans="1:17" x14ac:dyDescent="0.35">
      <c r="A647" t="s">
        <v>122</v>
      </c>
      <c r="B647" t="s">
        <v>123</v>
      </c>
      <c r="C647">
        <v>10</v>
      </c>
      <c r="D647" t="s">
        <v>30</v>
      </c>
      <c r="E647" t="s">
        <v>5</v>
      </c>
      <c r="F647" t="s">
        <v>101</v>
      </c>
      <c r="G647">
        <v>254</v>
      </c>
      <c r="H647" t="s">
        <v>102</v>
      </c>
      <c r="I647" t="s">
        <v>160</v>
      </c>
      <c r="J647" t="s">
        <v>157</v>
      </c>
      <c r="K647">
        <v>1130</v>
      </c>
      <c r="L647">
        <v>113000</v>
      </c>
      <c r="M647" t="s">
        <v>182</v>
      </c>
      <c r="N647" s="98">
        <v>850</v>
      </c>
      <c r="O647" s="98">
        <v>0</v>
      </c>
      <c r="P647" s="98">
        <v>0</v>
      </c>
      <c r="Q647" s="98">
        <v>-850</v>
      </c>
    </row>
    <row r="648" spans="1:17" x14ac:dyDescent="0.35">
      <c r="A648" t="s">
        <v>124</v>
      </c>
      <c r="B648" t="s">
        <v>125</v>
      </c>
      <c r="C648">
        <v>11</v>
      </c>
      <c r="D648" t="s">
        <v>30</v>
      </c>
      <c r="E648" t="s">
        <v>5</v>
      </c>
      <c r="F648" t="s">
        <v>101</v>
      </c>
      <c r="G648">
        <v>254</v>
      </c>
      <c r="H648" t="s">
        <v>102</v>
      </c>
      <c r="I648" t="s">
        <v>160</v>
      </c>
      <c r="J648" t="s">
        <v>157</v>
      </c>
      <c r="K648">
        <v>1130</v>
      </c>
      <c r="L648">
        <v>113000</v>
      </c>
      <c r="M648" t="s">
        <v>182</v>
      </c>
      <c r="N648" s="98">
        <v>850</v>
      </c>
      <c r="O648" s="98">
        <v>0</v>
      </c>
      <c r="P648" s="98">
        <v>0</v>
      </c>
      <c r="Q648" s="98">
        <v>-850</v>
      </c>
    </row>
    <row r="649" spans="1:17" x14ac:dyDescent="0.35">
      <c r="A649" t="s">
        <v>126</v>
      </c>
      <c r="B649" t="s">
        <v>127</v>
      </c>
      <c r="C649">
        <v>12</v>
      </c>
      <c r="D649" t="s">
        <v>30</v>
      </c>
      <c r="E649" t="s">
        <v>5</v>
      </c>
      <c r="F649" t="s">
        <v>101</v>
      </c>
      <c r="G649">
        <v>254</v>
      </c>
      <c r="H649" t="s">
        <v>102</v>
      </c>
      <c r="I649" t="s">
        <v>160</v>
      </c>
      <c r="J649" t="s">
        <v>157</v>
      </c>
      <c r="K649">
        <v>1130</v>
      </c>
      <c r="L649">
        <v>113000</v>
      </c>
      <c r="M649" t="s">
        <v>182</v>
      </c>
      <c r="N649" s="98">
        <v>650</v>
      </c>
      <c r="O649" s="98">
        <v>0</v>
      </c>
      <c r="P649" s="98">
        <v>0</v>
      </c>
      <c r="Q649" s="98">
        <v>-650</v>
      </c>
    </row>
    <row r="650" spans="1:17" x14ac:dyDescent="0.35">
      <c r="A650" t="s">
        <v>98</v>
      </c>
      <c r="B650" t="s">
        <v>99</v>
      </c>
      <c r="C650">
        <v>1</v>
      </c>
      <c r="D650" t="s">
        <v>23</v>
      </c>
      <c r="E650" t="s">
        <v>100</v>
      </c>
      <c r="F650" t="s">
        <v>101</v>
      </c>
      <c r="G650">
        <v>254</v>
      </c>
      <c r="H650" t="s">
        <v>102</v>
      </c>
      <c r="I650" t="s">
        <v>160</v>
      </c>
      <c r="J650" t="s">
        <v>157</v>
      </c>
      <c r="K650">
        <v>1130</v>
      </c>
      <c r="L650">
        <v>113004</v>
      </c>
      <c r="M650" t="s">
        <v>183</v>
      </c>
      <c r="N650" s="98">
        <v>0</v>
      </c>
      <c r="O650" s="98">
        <v>0</v>
      </c>
      <c r="P650" s="98">
        <v>0</v>
      </c>
      <c r="Q650" s="98">
        <v>0</v>
      </c>
    </row>
    <row r="651" spans="1:17" x14ac:dyDescent="0.35">
      <c r="A651" t="s">
        <v>106</v>
      </c>
      <c r="B651" t="s">
        <v>107</v>
      </c>
      <c r="C651">
        <v>2</v>
      </c>
      <c r="D651" t="s">
        <v>23</v>
      </c>
      <c r="E651" t="s">
        <v>100</v>
      </c>
      <c r="F651" t="s">
        <v>101</v>
      </c>
      <c r="G651">
        <v>254</v>
      </c>
      <c r="H651" t="s">
        <v>102</v>
      </c>
      <c r="I651" t="s">
        <v>160</v>
      </c>
      <c r="J651" t="s">
        <v>157</v>
      </c>
      <c r="K651">
        <v>1130</v>
      </c>
      <c r="L651">
        <v>113004</v>
      </c>
      <c r="M651" t="s">
        <v>183</v>
      </c>
      <c r="N651" s="98">
        <v>0</v>
      </c>
      <c r="O651" s="98">
        <v>0</v>
      </c>
      <c r="P651" s="98">
        <v>0</v>
      </c>
      <c r="Q651" s="98">
        <v>0</v>
      </c>
    </row>
    <row r="652" spans="1:17" x14ac:dyDescent="0.35">
      <c r="A652" t="s">
        <v>108</v>
      </c>
      <c r="B652" t="s">
        <v>109</v>
      </c>
      <c r="C652">
        <v>3</v>
      </c>
      <c r="D652" t="s">
        <v>23</v>
      </c>
      <c r="E652" t="s">
        <v>100</v>
      </c>
      <c r="F652" t="s">
        <v>101</v>
      </c>
      <c r="G652">
        <v>254</v>
      </c>
      <c r="H652" t="s">
        <v>102</v>
      </c>
      <c r="I652" t="s">
        <v>160</v>
      </c>
      <c r="J652" t="s">
        <v>157</v>
      </c>
      <c r="K652">
        <v>1130</v>
      </c>
      <c r="L652">
        <v>113004</v>
      </c>
      <c r="M652" t="s">
        <v>183</v>
      </c>
      <c r="N652" s="98">
        <v>0</v>
      </c>
      <c r="O652" s="98">
        <v>0</v>
      </c>
      <c r="P652" s="98">
        <v>0</v>
      </c>
      <c r="Q652" s="98">
        <v>0</v>
      </c>
    </row>
    <row r="653" spans="1:17" x14ac:dyDescent="0.35">
      <c r="A653" t="s">
        <v>110</v>
      </c>
      <c r="B653" t="s">
        <v>111</v>
      </c>
      <c r="C653">
        <v>4</v>
      </c>
      <c r="D653" t="s">
        <v>23</v>
      </c>
      <c r="E653" t="s">
        <v>100</v>
      </c>
      <c r="F653" t="s">
        <v>101</v>
      </c>
      <c r="G653">
        <v>254</v>
      </c>
      <c r="H653" t="s">
        <v>102</v>
      </c>
      <c r="I653" t="s">
        <v>160</v>
      </c>
      <c r="J653" t="s">
        <v>157</v>
      </c>
      <c r="K653">
        <v>1130</v>
      </c>
      <c r="L653">
        <v>113004</v>
      </c>
      <c r="M653" t="s">
        <v>183</v>
      </c>
      <c r="N653" s="98">
        <v>0</v>
      </c>
      <c r="O653" s="98">
        <v>0</v>
      </c>
      <c r="P653" s="98">
        <v>0</v>
      </c>
      <c r="Q653" s="98">
        <v>0</v>
      </c>
    </row>
    <row r="654" spans="1:17" x14ac:dyDescent="0.35">
      <c r="A654" t="s">
        <v>112</v>
      </c>
      <c r="B654" t="s">
        <v>113</v>
      </c>
      <c r="C654">
        <v>5</v>
      </c>
      <c r="D654" t="s">
        <v>27</v>
      </c>
      <c r="E654" t="s">
        <v>100</v>
      </c>
      <c r="F654" t="s">
        <v>101</v>
      </c>
      <c r="G654">
        <v>254</v>
      </c>
      <c r="H654" t="s">
        <v>102</v>
      </c>
      <c r="I654" t="s">
        <v>160</v>
      </c>
      <c r="J654" t="s">
        <v>157</v>
      </c>
      <c r="K654">
        <v>1130</v>
      </c>
      <c r="L654">
        <v>113004</v>
      </c>
      <c r="M654" t="s">
        <v>183</v>
      </c>
      <c r="N654" s="98">
        <v>0</v>
      </c>
      <c r="O654" s="98">
        <v>295</v>
      </c>
      <c r="P654" s="98">
        <v>-295</v>
      </c>
      <c r="Q654" s="98">
        <v>295</v>
      </c>
    </row>
    <row r="655" spans="1:17" x14ac:dyDescent="0.35">
      <c r="A655" t="s">
        <v>114</v>
      </c>
      <c r="B655" t="s">
        <v>115</v>
      </c>
      <c r="C655">
        <v>6</v>
      </c>
      <c r="D655" t="s">
        <v>27</v>
      </c>
      <c r="E655" t="s">
        <v>100</v>
      </c>
      <c r="F655" t="s">
        <v>101</v>
      </c>
      <c r="G655">
        <v>254</v>
      </c>
      <c r="H655" t="s">
        <v>102</v>
      </c>
      <c r="I655" t="s">
        <v>160</v>
      </c>
      <c r="J655" t="s">
        <v>157</v>
      </c>
      <c r="K655">
        <v>1130</v>
      </c>
      <c r="L655">
        <v>113004</v>
      </c>
      <c r="M655" t="s">
        <v>183</v>
      </c>
      <c r="N655" s="98">
        <v>0</v>
      </c>
      <c r="O655" s="98">
        <v>0</v>
      </c>
      <c r="P655" s="98">
        <v>0</v>
      </c>
      <c r="Q655" s="98">
        <v>0</v>
      </c>
    </row>
    <row r="656" spans="1:17" x14ac:dyDescent="0.35">
      <c r="A656" t="s">
        <v>116</v>
      </c>
      <c r="B656" t="s">
        <v>117</v>
      </c>
      <c r="C656">
        <v>7</v>
      </c>
      <c r="D656" t="s">
        <v>27</v>
      </c>
      <c r="E656" t="s">
        <v>100</v>
      </c>
      <c r="F656" t="s">
        <v>101</v>
      </c>
      <c r="G656">
        <v>254</v>
      </c>
      <c r="H656" t="s">
        <v>102</v>
      </c>
      <c r="I656" t="s">
        <v>160</v>
      </c>
      <c r="J656" t="s">
        <v>157</v>
      </c>
      <c r="K656">
        <v>1130</v>
      </c>
      <c r="L656">
        <v>113004</v>
      </c>
      <c r="M656" t="s">
        <v>183</v>
      </c>
      <c r="N656" s="98">
        <v>0</v>
      </c>
      <c r="O656" s="98">
        <v>0</v>
      </c>
      <c r="P656" s="98">
        <v>0</v>
      </c>
      <c r="Q656" s="98">
        <v>0</v>
      </c>
    </row>
    <row r="657" spans="1:17" x14ac:dyDescent="0.35">
      <c r="A657" t="s">
        <v>118</v>
      </c>
      <c r="B657" t="s">
        <v>119</v>
      </c>
      <c r="C657">
        <v>8</v>
      </c>
      <c r="D657" t="s">
        <v>27</v>
      </c>
      <c r="E657" t="s">
        <v>100</v>
      </c>
      <c r="F657" t="s">
        <v>101</v>
      </c>
      <c r="G657">
        <v>254</v>
      </c>
      <c r="H657" t="s">
        <v>102</v>
      </c>
      <c r="I657" t="s">
        <v>160</v>
      </c>
      <c r="J657" t="s">
        <v>157</v>
      </c>
      <c r="K657">
        <v>1130</v>
      </c>
      <c r="L657">
        <v>113004</v>
      </c>
      <c r="M657" t="s">
        <v>183</v>
      </c>
      <c r="N657" s="98">
        <v>0</v>
      </c>
      <c r="O657" s="98">
        <v>0</v>
      </c>
      <c r="P657" s="98">
        <v>0</v>
      </c>
      <c r="Q657" s="98">
        <v>0</v>
      </c>
    </row>
    <row r="658" spans="1:17" x14ac:dyDescent="0.35">
      <c r="A658" t="s">
        <v>120</v>
      </c>
      <c r="B658" t="s">
        <v>121</v>
      </c>
      <c r="C658">
        <v>9</v>
      </c>
      <c r="D658" t="s">
        <v>30</v>
      </c>
      <c r="E658" t="s">
        <v>5</v>
      </c>
      <c r="F658" t="s">
        <v>101</v>
      </c>
      <c r="G658">
        <v>254</v>
      </c>
      <c r="H658" t="s">
        <v>102</v>
      </c>
      <c r="I658" t="s">
        <v>160</v>
      </c>
      <c r="J658" t="s">
        <v>157</v>
      </c>
      <c r="K658">
        <v>1130</v>
      </c>
      <c r="L658">
        <v>113004</v>
      </c>
      <c r="M658" t="s">
        <v>183</v>
      </c>
      <c r="N658" s="98">
        <v>0</v>
      </c>
      <c r="O658" s="98">
        <v>0</v>
      </c>
      <c r="P658" s="98">
        <v>0</v>
      </c>
      <c r="Q658" s="98">
        <v>0</v>
      </c>
    </row>
    <row r="659" spans="1:17" x14ac:dyDescent="0.35">
      <c r="A659" t="s">
        <v>122</v>
      </c>
      <c r="B659" t="s">
        <v>123</v>
      </c>
      <c r="C659">
        <v>10</v>
      </c>
      <c r="D659" t="s">
        <v>30</v>
      </c>
      <c r="E659" t="s">
        <v>5</v>
      </c>
      <c r="F659" t="s">
        <v>101</v>
      </c>
      <c r="G659">
        <v>254</v>
      </c>
      <c r="H659" t="s">
        <v>102</v>
      </c>
      <c r="I659" t="s">
        <v>160</v>
      </c>
      <c r="J659" t="s">
        <v>157</v>
      </c>
      <c r="K659">
        <v>1130</v>
      </c>
      <c r="L659">
        <v>113004</v>
      </c>
      <c r="M659" t="s">
        <v>183</v>
      </c>
      <c r="N659" s="98">
        <v>0</v>
      </c>
      <c r="O659" s="98">
        <v>0</v>
      </c>
      <c r="P659" s="98">
        <v>0</v>
      </c>
      <c r="Q659" s="98">
        <v>0</v>
      </c>
    </row>
    <row r="660" spans="1:17" x14ac:dyDescent="0.35">
      <c r="A660" t="s">
        <v>124</v>
      </c>
      <c r="B660" t="s">
        <v>125</v>
      </c>
      <c r="C660">
        <v>11</v>
      </c>
      <c r="D660" t="s">
        <v>30</v>
      </c>
      <c r="E660" t="s">
        <v>5</v>
      </c>
      <c r="F660" t="s">
        <v>101</v>
      </c>
      <c r="G660">
        <v>254</v>
      </c>
      <c r="H660" t="s">
        <v>102</v>
      </c>
      <c r="I660" t="s">
        <v>160</v>
      </c>
      <c r="J660" t="s">
        <v>157</v>
      </c>
      <c r="K660">
        <v>1130</v>
      </c>
      <c r="L660">
        <v>113004</v>
      </c>
      <c r="M660" t="s">
        <v>183</v>
      </c>
      <c r="N660" s="98">
        <v>0</v>
      </c>
      <c r="O660" s="98">
        <v>0</v>
      </c>
      <c r="P660" s="98">
        <v>0</v>
      </c>
      <c r="Q660" s="98">
        <v>0</v>
      </c>
    </row>
    <row r="661" spans="1:17" x14ac:dyDescent="0.35">
      <c r="A661" t="s">
        <v>126</v>
      </c>
      <c r="B661" t="s">
        <v>127</v>
      </c>
      <c r="C661">
        <v>12</v>
      </c>
      <c r="D661" t="s">
        <v>30</v>
      </c>
      <c r="E661" t="s">
        <v>5</v>
      </c>
      <c r="F661" t="s">
        <v>101</v>
      </c>
      <c r="G661">
        <v>254</v>
      </c>
      <c r="H661" t="s">
        <v>102</v>
      </c>
      <c r="I661" t="s">
        <v>160</v>
      </c>
      <c r="J661" t="s">
        <v>157</v>
      </c>
      <c r="K661">
        <v>1130</v>
      </c>
      <c r="L661">
        <v>113004</v>
      </c>
      <c r="M661" t="s">
        <v>183</v>
      </c>
      <c r="N661" s="98">
        <v>0</v>
      </c>
      <c r="O661" s="98">
        <v>0</v>
      </c>
      <c r="P661" s="98">
        <v>0</v>
      </c>
      <c r="Q661" s="98">
        <v>0</v>
      </c>
    </row>
    <row r="662" spans="1:17" x14ac:dyDescent="0.35">
      <c r="A662" t="s">
        <v>98</v>
      </c>
      <c r="B662" t="s">
        <v>99</v>
      </c>
      <c r="C662">
        <v>1</v>
      </c>
      <c r="D662" t="s">
        <v>23</v>
      </c>
      <c r="E662" t="s">
        <v>100</v>
      </c>
      <c r="F662" t="s">
        <v>101</v>
      </c>
      <c r="G662">
        <v>254</v>
      </c>
      <c r="H662" t="s">
        <v>102</v>
      </c>
      <c r="I662" t="s">
        <v>160</v>
      </c>
      <c r="J662" t="s">
        <v>157</v>
      </c>
      <c r="K662">
        <v>1140</v>
      </c>
      <c r="L662">
        <v>114000</v>
      </c>
      <c r="M662" t="s">
        <v>184</v>
      </c>
      <c r="N662" s="98">
        <v>2550</v>
      </c>
      <c r="O662" s="98">
        <v>0</v>
      </c>
      <c r="P662" s="98">
        <v>2550</v>
      </c>
      <c r="Q662" s="98">
        <v>-2550</v>
      </c>
    </row>
    <row r="663" spans="1:17" x14ac:dyDescent="0.35">
      <c r="A663" t="s">
        <v>106</v>
      </c>
      <c r="B663" t="s">
        <v>107</v>
      </c>
      <c r="C663">
        <v>2</v>
      </c>
      <c r="D663" t="s">
        <v>23</v>
      </c>
      <c r="E663" t="s">
        <v>100</v>
      </c>
      <c r="F663" t="s">
        <v>101</v>
      </c>
      <c r="G663">
        <v>254</v>
      </c>
      <c r="H663" t="s">
        <v>102</v>
      </c>
      <c r="I663" t="s">
        <v>160</v>
      </c>
      <c r="J663" t="s">
        <v>157</v>
      </c>
      <c r="K663">
        <v>1140</v>
      </c>
      <c r="L663">
        <v>114000</v>
      </c>
      <c r="M663" t="s">
        <v>184</v>
      </c>
      <c r="N663" s="98">
        <v>2550</v>
      </c>
      <c r="O663" s="98">
        <v>6875</v>
      </c>
      <c r="P663" s="98">
        <v>-4325</v>
      </c>
      <c r="Q663" s="98">
        <v>4325</v>
      </c>
    </row>
    <row r="664" spans="1:17" x14ac:dyDescent="0.35">
      <c r="A664" t="s">
        <v>108</v>
      </c>
      <c r="B664" t="s">
        <v>109</v>
      </c>
      <c r="C664">
        <v>3</v>
      </c>
      <c r="D664" t="s">
        <v>23</v>
      </c>
      <c r="E664" t="s">
        <v>100</v>
      </c>
      <c r="F664" t="s">
        <v>101</v>
      </c>
      <c r="G664">
        <v>254</v>
      </c>
      <c r="H664" t="s">
        <v>102</v>
      </c>
      <c r="I664" t="s">
        <v>160</v>
      </c>
      <c r="J664" t="s">
        <v>157</v>
      </c>
      <c r="K664">
        <v>1140</v>
      </c>
      <c r="L664">
        <v>114000</v>
      </c>
      <c r="M664" t="s">
        <v>184</v>
      </c>
      <c r="N664" s="98">
        <v>2550</v>
      </c>
      <c r="O664" s="98">
        <v>137.5</v>
      </c>
      <c r="P664" s="98">
        <v>2412.5</v>
      </c>
      <c r="Q664" s="98">
        <v>-2412.5</v>
      </c>
    </row>
    <row r="665" spans="1:17" x14ac:dyDescent="0.35">
      <c r="A665" t="s">
        <v>110</v>
      </c>
      <c r="B665" t="s">
        <v>111</v>
      </c>
      <c r="C665">
        <v>4</v>
      </c>
      <c r="D665" t="s">
        <v>23</v>
      </c>
      <c r="E665" t="s">
        <v>100</v>
      </c>
      <c r="F665" t="s">
        <v>101</v>
      </c>
      <c r="G665">
        <v>254</v>
      </c>
      <c r="H665" t="s">
        <v>102</v>
      </c>
      <c r="I665" t="s">
        <v>160</v>
      </c>
      <c r="J665" t="s">
        <v>157</v>
      </c>
      <c r="K665">
        <v>1140</v>
      </c>
      <c r="L665">
        <v>114000</v>
      </c>
      <c r="M665" t="s">
        <v>184</v>
      </c>
      <c r="N665" s="98">
        <v>2550</v>
      </c>
      <c r="O665" s="98">
        <v>0</v>
      </c>
      <c r="P665" s="98">
        <v>2550</v>
      </c>
      <c r="Q665" s="98">
        <v>-2550</v>
      </c>
    </row>
    <row r="666" spans="1:17" x14ac:dyDescent="0.35">
      <c r="A666" t="s">
        <v>112</v>
      </c>
      <c r="B666" t="s">
        <v>113</v>
      </c>
      <c r="C666">
        <v>5</v>
      </c>
      <c r="D666" t="s">
        <v>27</v>
      </c>
      <c r="E666" t="s">
        <v>100</v>
      </c>
      <c r="F666" t="s">
        <v>101</v>
      </c>
      <c r="G666">
        <v>254</v>
      </c>
      <c r="H666" t="s">
        <v>102</v>
      </c>
      <c r="I666" t="s">
        <v>160</v>
      </c>
      <c r="J666" t="s">
        <v>157</v>
      </c>
      <c r="K666">
        <v>1140</v>
      </c>
      <c r="L666">
        <v>114000</v>
      </c>
      <c r="M666" t="s">
        <v>184</v>
      </c>
      <c r="N666" s="98">
        <v>2550</v>
      </c>
      <c r="O666" s="98">
        <v>0</v>
      </c>
      <c r="P666" s="98">
        <v>2550</v>
      </c>
      <c r="Q666" s="98">
        <v>-2550</v>
      </c>
    </row>
    <row r="667" spans="1:17" x14ac:dyDescent="0.35">
      <c r="A667" t="s">
        <v>114</v>
      </c>
      <c r="B667" t="s">
        <v>115</v>
      </c>
      <c r="C667">
        <v>6</v>
      </c>
      <c r="D667" t="s">
        <v>27</v>
      </c>
      <c r="E667" t="s">
        <v>100</v>
      </c>
      <c r="F667" t="s">
        <v>101</v>
      </c>
      <c r="G667">
        <v>254</v>
      </c>
      <c r="H667" t="s">
        <v>102</v>
      </c>
      <c r="I667" t="s">
        <v>160</v>
      </c>
      <c r="J667" t="s">
        <v>157</v>
      </c>
      <c r="K667">
        <v>1140</v>
      </c>
      <c r="L667">
        <v>114000</v>
      </c>
      <c r="M667" t="s">
        <v>184</v>
      </c>
      <c r="N667" s="98">
        <v>2550</v>
      </c>
      <c r="O667" s="98">
        <v>3300</v>
      </c>
      <c r="P667" s="98">
        <v>-750</v>
      </c>
      <c r="Q667" s="98">
        <v>750</v>
      </c>
    </row>
    <row r="668" spans="1:17" x14ac:dyDescent="0.35">
      <c r="A668" t="s">
        <v>116</v>
      </c>
      <c r="B668" t="s">
        <v>117</v>
      </c>
      <c r="C668">
        <v>7</v>
      </c>
      <c r="D668" t="s">
        <v>27</v>
      </c>
      <c r="E668" t="s">
        <v>100</v>
      </c>
      <c r="F668" t="s">
        <v>101</v>
      </c>
      <c r="G668">
        <v>254</v>
      </c>
      <c r="H668" t="s">
        <v>102</v>
      </c>
      <c r="I668" t="s">
        <v>160</v>
      </c>
      <c r="J668" t="s">
        <v>157</v>
      </c>
      <c r="K668">
        <v>1140</v>
      </c>
      <c r="L668">
        <v>114000</v>
      </c>
      <c r="M668" t="s">
        <v>184</v>
      </c>
      <c r="N668" s="98">
        <v>2550</v>
      </c>
      <c r="O668" s="98">
        <v>0</v>
      </c>
      <c r="P668" s="98">
        <v>2550</v>
      </c>
      <c r="Q668" s="98">
        <v>-2550</v>
      </c>
    </row>
    <row r="669" spans="1:17" x14ac:dyDescent="0.35">
      <c r="A669" t="s">
        <v>118</v>
      </c>
      <c r="B669" t="s">
        <v>119</v>
      </c>
      <c r="C669">
        <v>8</v>
      </c>
      <c r="D669" t="s">
        <v>27</v>
      </c>
      <c r="E669" t="s">
        <v>100</v>
      </c>
      <c r="F669" t="s">
        <v>101</v>
      </c>
      <c r="G669">
        <v>254</v>
      </c>
      <c r="H669" t="s">
        <v>102</v>
      </c>
      <c r="I669" t="s">
        <v>160</v>
      </c>
      <c r="J669" t="s">
        <v>157</v>
      </c>
      <c r="K669">
        <v>1140</v>
      </c>
      <c r="L669">
        <v>114000</v>
      </c>
      <c r="M669" t="s">
        <v>184</v>
      </c>
      <c r="N669" s="98">
        <v>2550</v>
      </c>
      <c r="O669" s="98">
        <v>0</v>
      </c>
      <c r="P669" s="98">
        <v>2550</v>
      </c>
      <c r="Q669" s="98">
        <v>-2550</v>
      </c>
    </row>
    <row r="670" spans="1:17" x14ac:dyDescent="0.35">
      <c r="A670" t="s">
        <v>120</v>
      </c>
      <c r="B670" t="s">
        <v>121</v>
      </c>
      <c r="C670">
        <v>9</v>
      </c>
      <c r="D670" t="s">
        <v>30</v>
      </c>
      <c r="E670" t="s">
        <v>5</v>
      </c>
      <c r="F670" t="s">
        <v>101</v>
      </c>
      <c r="G670">
        <v>254</v>
      </c>
      <c r="H670" t="s">
        <v>102</v>
      </c>
      <c r="I670" t="s">
        <v>160</v>
      </c>
      <c r="J670" t="s">
        <v>157</v>
      </c>
      <c r="K670">
        <v>1140</v>
      </c>
      <c r="L670">
        <v>114000</v>
      </c>
      <c r="M670" t="s">
        <v>184</v>
      </c>
      <c r="N670" s="98">
        <v>2550</v>
      </c>
      <c r="O670" s="98">
        <v>0</v>
      </c>
      <c r="P670" s="98">
        <v>0</v>
      </c>
      <c r="Q670" s="98">
        <v>-2550</v>
      </c>
    </row>
    <row r="671" spans="1:17" x14ac:dyDescent="0.35">
      <c r="A671" t="s">
        <v>122</v>
      </c>
      <c r="B671" t="s">
        <v>123</v>
      </c>
      <c r="C671">
        <v>10</v>
      </c>
      <c r="D671" t="s">
        <v>30</v>
      </c>
      <c r="E671" t="s">
        <v>5</v>
      </c>
      <c r="F671" t="s">
        <v>101</v>
      </c>
      <c r="G671">
        <v>254</v>
      </c>
      <c r="H671" t="s">
        <v>102</v>
      </c>
      <c r="I671" t="s">
        <v>160</v>
      </c>
      <c r="J671" t="s">
        <v>157</v>
      </c>
      <c r="K671">
        <v>1140</v>
      </c>
      <c r="L671">
        <v>114000</v>
      </c>
      <c r="M671" t="s">
        <v>184</v>
      </c>
      <c r="N671" s="98">
        <v>2550</v>
      </c>
      <c r="O671" s="98">
        <v>0</v>
      </c>
      <c r="P671" s="98">
        <v>0</v>
      </c>
      <c r="Q671" s="98">
        <v>-2550</v>
      </c>
    </row>
    <row r="672" spans="1:17" x14ac:dyDescent="0.35">
      <c r="A672" t="s">
        <v>124</v>
      </c>
      <c r="B672" t="s">
        <v>125</v>
      </c>
      <c r="C672">
        <v>11</v>
      </c>
      <c r="D672" t="s">
        <v>30</v>
      </c>
      <c r="E672" t="s">
        <v>5</v>
      </c>
      <c r="F672" t="s">
        <v>101</v>
      </c>
      <c r="G672">
        <v>254</v>
      </c>
      <c r="H672" t="s">
        <v>102</v>
      </c>
      <c r="I672" t="s">
        <v>160</v>
      </c>
      <c r="J672" t="s">
        <v>157</v>
      </c>
      <c r="K672">
        <v>1140</v>
      </c>
      <c r="L672">
        <v>114000</v>
      </c>
      <c r="M672" t="s">
        <v>184</v>
      </c>
      <c r="N672" s="98">
        <v>2550</v>
      </c>
      <c r="O672" s="98">
        <v>0</v>
      </c>
      <c r="P672" s="98">
        <v>0</v>
      </c>
      <c r="Q672" s="98">
        <v>-2550</v>
      </c>
    </row>
    <row r="673" spans="1:17" x14ac:dyDescent="0.35">
      <c r="A673" t="s">
        <v>126</v>
      </c>
      <c r="B673" t="s">
        <v>127</v>
      </c>
      <c r="C673">
        <v>12</v>
      </c>
      <c r="D673" t="s">
        <v>30</v>
      </c>
      <c r="E673" t="s">
        <v>5</v>
      </c>
      <c r="F673" t="s">
        <v>101</v>
      </c>
      <c r="G673">
        <v>254</v>
      </c>
      <c r="H673" t="s">
        <v>102</v>
      </c>
      <c r="I673" t="s">
        <v>160</v>
      </c>
      <c r="J673" t="s">
        <v>157</v>
      </c>
      <c r="K673">
        <v>1140</v>
      </c>
      <c r="L673">
        <v>114000</v>
      </c>
      <c r="M673" t="s">
        <v>184</v>
      </c>
      <c r="N673" s="98">
        <v>2950</v>
      </c>
      <c r="O673" s="98">
        <v>0</v>
      </c>
      <c r="P673" s="98">
        <v>0</v>
      </c>
      <c r="Q673" s="98">
        <v>-2950</v>
      </c>
    </row>
    <row r="674" spans="1:17" x14ac:dyDescent="0.35">
      <c r="A674" t="s">
        <v>98</v>
      </c>
      <c r="B674" t="s">
        <v>99</v>
      </c>
      <c r="C674">
        <v>1</v>
      </c>
      <c r="D674" t="s">
        <v>23</v>
      </c>
      <c r="E674" t="s">
        <v>100</v>
      </c>
      <c r="F674" t="s">
        <v>101</v>
      </c>
      <c r="G674">
        <v>254</v>
      </c>
      <c r="H674" t="s">
        <v>102</v>
      </c>
      <c r="I674" t="s">
        <v>160</v>
      </c>
      <c r="J674" t="s">
        <v>157</v>
      </c>
      <c r="K674">
        <v>1150</v>
      </c>
      <c r="L674">
        <v>115000</v>
      </c>
      <c r="M674" t="s">
        <v>185</v>
      </c>
      <c r="N674" s="98">
        <v>5268</v>
      </c>
      <c r="O674" s="98">
        <v>0</v>
      </c>
      <c r="P674" s="98">
        <v>5268</v>
      </c>
      <c r="Q674" s="98">
        <v>-5268</v>
      </c>
    </row>
    <row r="675" spans="1:17" x14ac:dyDescent="0.35">
      <c r="A675" t="s">
        <v>106</v>
      </c>
      <c r="B675" t="s">
        <v>107</v>
      </c>
      <c r="C675">
        <v>2</v>
      </c>
      <c r="D675" t="s">
        <v>23</v>
      </c>
      <c r="E675" t="s">
        <v>100</v>
      </c>
      <c r="F675" t="s">
        <v>101</v>
      </c>
      <c r="G675">
        <v>254</v>
      </c>
      <c r="H675" t="s">
        <v>102</v>
      </c>
      <c r="I675" t="s">
        <v>160</v>
      </c>
      <c r="J675" t="s">
        <v>157</v>
      </c>
      <c r="K675">
        <v>1150</v>
      </c>
      <c r="L675">
        <v>115000</v>
      </c>
      <c r="M675" t="s">
        <v>185</v>
      </c>
      <c r="N675" s="98">
        <v>5268</v>
      </c>
      <c r="O675" s="98">
        <v>0</v>
      </c>
      <c r="P675" s="98">
        <v>5268</v>
      </c>
      <c r="Q675" s="98">
        <v>-5268</v>
      </c>
    </row>
    <row r="676" spans="1:17" x14ac:dyDescent="0.35">
      <c r="A676" t="s">
        <v>108</v>
      </c>
      <c r="B676" t="s">
        <v>109</v>
      </c>
      <c r="C676">
        <v>3</v>
      </c>
      <c r="D676" t="s">
        <v>23</v>
      </c>
      <c r="E676" t="s">
        <v>100</v>
      </c>
      <c r="F676" t="s">
        <v>101</v>
      </c>
      <c r="G676">
        <v>254</v>
      </c>
      <c r="H676" t="s">
        <v>102</v>
      </c>
      <c r="I676" t="s">
        <v>160</v>
      </c>
      <c r="J676" t="s">
        <v>157</v>
      </c>
      <c r="K676">
        <v>1150</v>
      </c>
      <c r="L676">
        <v>115000</v>
      </c>
      <c r="M676" t="s">
        <v>185</v>
      </c>
      <c r="N676" s="98">
        <v>5268</v>
      </c>
      <c r="O676" s="98">
        <v>282</v>
      </c>
      <c r="P676" s="98">
        <v>4986</v>
      </c>
      <c r="Q676" s="98">
        <v>-4986</v>
      </c>
    </row>
    <row r="677" spans="1:17" x14ac:dyDescent="0.35">
      <c r="A677" t="s">
        <v>110</v>
      </c>
      <c r="B677" t="s">
        <v>111</v>
      </c>
      <c r="C677">
        <v>4</v>
      </c>
      <c r="D677" t="s">
        <v>23</v>
      </c>
      <c r="E677" t="s">
        <v>100</v>
      </c>
      <c r="F677" t="s">
        <v>101</v>
      </c>
      <c r="G677">
        <v>254</v>
      </c>
      <c r="H677" t="s">
        <v>102</v>
      </c>
      <c r="I677" t="s">
        <v>160</v>
      </c>
      <c r="J677" t="s">
        <v>157</v>
      </c>
      <c r="K677">
        <v>1150</v>
      </c>
      <c r="L677">
        <v>115000</v>
      </c>
      <c r="M677" t="s">
        <v>185</v>
      </c>
      <c r="N677" s="98">
        <v>5268</v>
      </c>
      <c r="O677" s="98">
        <v>1125</v>
      </c>
      <c r="P677" s="98">
        <v>4143</v>
      </c>
      <c r="Q677" s="98">
        <v>-4143</v>
      </c>
    </row>
    <row r="678" spans="1:17" x14ac:dyDescent="0.35">
      <c r="A678" t="s">
        <v>112</v>
      </c>
      <c r="B678" t="s">
        <v>113</v>
      </c>
      <c r="C678">
        <v>5</v>
      </c>
      <c r="D678" t="s">
        <v>27</v>
      </c>
      <c r="E678" t="s">
        <v>100</v>
      </c>
      <c r="F678" t="s">
        <v>101</v>
      </c>
      <c r="G678">
        <v>254</v>
      </c>
      <c r="H678" t="s">
        <v>102</v>
      </c>
      <c r="I678" t="s">
        <v>160</v>
      </c>
      <c r="J678" t="s">
        <v>157</v>
      </c>
      <c r="K678">
        <v>1150</v>
      </c>
      <c r="L678">
        <v>115000</v>
      </c>
      <c r="M678" t="s">
        <v>185</v>
      </c>
      <c r="N678" s="98">
        <v>5268</v>
      </c>
      <c r="O678" s="98">
        <v>6640.18</v>
      </c>
      <c r="P678" s="98">
        <v>-1372.18</v>
      </c>
      <c r="Q678" s="98">
        <v>1372.18</v>
      </c>
    </row>
    <row r="679" spans="1:17" x14ac:dyDescent="0.35">
      <c r="A679" t="s">
        <v>114</v>
      </c>
      <c r="B679" t="s">
        <v>115</v>
      </c>
      <c r="C679">
        <v>6</v>
      </c>
      <c r="D679" t="s">
        <v>27</v>
      </c>
      <c r="E679" t="s">
        <v>100</v>
      </c>
      <c r="F679" t="s">
        <v>101</v>
      </c>
      <c r="G679">
        <v>254</v>
      </c>
      <c r="H679" t="s">
        <v>102</v>
      </c>
      <c r="I679" t="s">
        <v>160</v>
      </c>
      <c r="J679" t="s">
        <v>157</v>
      </c>
      <c r="K679">
        <v>1150</v>
      </c>
      <c r="L679">
        <v>115000</v>
      </c>
      <c r="M679" t="s">
        <v>185</v>
      </c>
      <c r="N679" s="98">
        <v>5268</v>
      </c>
      <c r="O679" s="98">
        <v>0</v>
      </c>
      <c r="P679" s="98">
        <v>5268</v>
      </c>
      <c r="Q679" s="98">
        <v>-5268</v>
      </c>
    </row>
    <row r="680" spans="1:17" x14ac:dyDescent="0.35">
      <c r="A680" t="s">
        <v>116</v>
      </c>
      <c r="B680" t="s">
        <v>117</v>
      </c>
      <c r="C680">
        <v>7</v>
      </c>
      <c r="D680" t="s">
        <v>27</v>
      </c>
      <c r="E680" t="s">
        <v>100</v>
      </c>
      <c r="F680" t="s">
        <v>101</v>
      </c>
      <c r="G680">
        <v>254</v>
      </c>
      <c r="H680" t="s">
        <v>102</v>
      </c>
      <c r="I680" t="s">
        <v>160</v>
      </c>
      <c r="J680" t="s">
        <v>157</v>
      </c>
      <c r="K680">
        <v>1150</v>
      </c>
      <c r="L680">
        <v>115000</v>
      </c>
      <c r="M680" t="s">
        <v>185</v>
      </c>
      <c r="N680" s="98">
        <v>5268</v>
      </c>
      <c r="O680" s="98">
        <v>0</v>
      </c>
      <c r="P680" s="98">
        <v>5268</v>
      </c>
      <c r="Q680" s="98">
        <v>-5268</v>
      </c>
    </row>
    <row r="681" spans="1:17" x14ac:dyDescent="0.35">
      <c r="A681" t="s">
        <v>118</v>
      </c>
      <c r="B681" t="s">
        <v>119</v>
      </c>
      <c r="C681">
        <v>8</v>
      </c>
      <c r="D681" t="s">
        <v>27</v>
      </c>
      <c r="E681" t="s">
        <v>100</v>
      </c>
      <c r="F681" t="s">
        <v>101</v>
      </c>
      <c r="G681">
        <v>254</v>
      </c>
      <c r="H681" t="s">
        <v>102</v>
      </c>
      <c r="I681" t="s">
        <v>160</v>
      </c>
      <c r="J681" t="s">
        <v>157</v>
      </c>
      <c r="K681">
        <v>1150</v>
      </c>
      <c r="L681">
        <v>115000</v>
      </c>
      <c r="M681" t="s">
        <v>185</v>
      </c>
      <c r="N681" s="98">
        <v>5268</v>
      </c>
      <c r="O681" s="98">
        <v>0</v>
      </c>
      <c r="P681" s="98">
        <v>5268</v>
      </c>
      <c r="Q681" s="98">
        <v>-5268</v>
      </c>
    </row>
    <row r="682" spans="1:17" x14ac:dyDescent="0.35">
      <c r="A682" t="s">
        <v>120</v>
      </c>
      <c r="B682" t="s">
        <v>121</v>
      </c>
      <c r="C682">
        <v>9</v>
      </c>
      <c r="D682" t="s">
        <v>30</v>
      </c>
      <c r="E682" t="s">
        <v>5</v>
      </c>
      <c r="F682" t="s">
        <v>101</v>
      </c>
      <c r="G682">
        <v>254</v>
      </c>
      <c r="H682" t="s">
        <v>102</v>
      </c>
      <c r="I682" t="s">
        <v>160</v>
      </c>
      <c r="J682" t="s">
        <v>157</v>
      </c>
      <c r="K682">
        <v>1150</v>
      </c>
      <c r="L682">
        <v>115000</v>
      </c>
      <c r="M682" t="s">
        <v>185</v>
      </c>
      <c r="N682" s="98">
        <v>5268</v>
      </c>
      <c r="O682" s="98">
        <v>0</v>
      </c>
      <c r="P682" s="98">
        <v>0</v>
      </c>
      <c r="Q682" s="98">
        <v>-5268</v>
      </c>
    </row>
    <row r="683" spans="1:17" x14ac:dyDescent="0.35">
      <c r="A683" t="s">
        <v>122</v>
      </c>
      <c r="B683" t="s">
        <v>123</v>
      </c>
      <c r="C683">
        <v>10</v>
      </c>
      <c r="D683" t="s">
        <v>30</v>
      </c>
      <c r="E683" t="s">
        <v>5</v>
      </c>
      <c r="F683" t="s">
        <v>101</v>
      </c>
      <c r="G683">
        <v>254</v>
      </c>
      <c r="H683" t="s">
        <v>102</v>
      </c>
      <c r="I683" t="s">
        <v>160</v>
      </c>
      <c r="J683" t="s">
        <v>157</v>
      </c>
      <c r="K683">
        <v>1150</v>
      </c>
      <c r="L683">
        <v>115000</v>
      </c>
      <c r="M683" t="s">
        <v>185</v>
      </c>
      <c r="N683" s="98">
        <v>5268</v>
      </c>
      <c r="O683" s="98">
        <v>0</v>
      </c>
      <c r="P683" s="98">
        <v>0</v>
      </c>
      <c r="Q683" s="98">
        <v>-5268</v>
      </c>
    </row>
    <row r="684" spans="1:17" x14ac:dyDescent="0.35">
      <c r="A684" t="s">
        <v>124</v>
      </c>
      <c r="B684" t="s">
        <v>125</v>
      </c>
      <c r="C684">
        <v>11</v>
      </c>
      <c r="D684" t="s">
        <v>30</v>
      </c>
      <c r="E684" t="s">
        <v>5</v>
      </c>
      <c r="F684" t="s">
        <v>101</v>
      </c>
      <c r="G684">
        <v>254</v>
      </c>
      <c r="H684" t="s">
        <v>102</v>
      </c>
      <c r="I684" t="s">
        <v>160</v>
      </c>
      <c r="J684" t="s">
        <v>157</v>
      </c>
      <c r="K684">
        <v>1150</v>
      </c>
      <c r="L684">
        <v>115000</v>
      </c>
      <c r="M684" t="s">
        <v>185</v>
      </c>
      <c r="N684" s="98">
        <v>5268</v>
      </c>
      <c r="O684" s="98">
        <v>0</v>
      </c>
      <c r="P684" s="98">
        <v>0</v>
      </c>
      <c r="Q684" s="98">
        <v>-5268</v>
      </c>
    </row>
    <row r="685" spans="1:17" x14ac:dyDescent="0.35">
      <c r="A685" t="s">
        <v>126</v>
      </c>
      <c r="B685" t="s">
        <v>127</v>
      </c>
      <c r="C685">
        <v>12</v>
      </c>
      <c r="D685" t="s">
        <v>30</v>
      </c>
      <c r="E685" t="s">
        <v>5</v>
      </c>
      <c r="F685" t="s">
        <v>101</v>
      </c>
      <c r="G685">
        <v>254</v>
      </c>
      <c r="H685" t="s">
        <v>102</v>
      </c>
      <c r="I685" t="s">
        <v>160</v>
      </c>
      <c r="J685" t="s">
        <v>157</v>
      </c>
      <c r="K685">
        <v>1150</v>
      </c>
      <c r="L685">
        <v>115000</v>
      </c>
      <c r="M685" t="s">
        <v>185</v>
      </c>
      <c r="N685" s="98">
        <v>5052</v>
      </c>
      <c r="O685" s="98">
        <v>0</v>
      </c>
      <c r="P685" s="98">
        <v>0</v>
      </c>
      <c r="Q685" s="98">
        <v>-5052</v>
      </c>
    </row>
    <row r="686" spans="1:17" x14ac:dyDescent="0.35">
      <c r="A686" t="s">
        <v>98</v>
      </c>
      <c r="B686" t="s">
        <v>99</v>
      </c>
      <c r="C686">
        <v>1</v>
      </c>
      <c r="D686" t="s">
        <v>23</v>
      </c>
      <c r="E686" t="s">
        <v>100</v>
      </c>
      <c r="F686" t="s">
        <v>101</v>
      </c>
      <c r="G686">
        <v>254</v>
      </c>
      <c r="H686" t="s">
        <v>102</v>
      </c>
      <c r="I686" t="s">
        <v>160</v>
      </c>
      <c r="J686" t="s">
        <v>157</v>
      </c>
      <c r="K686">
        <v>1160</v>
      </c>
      <c r="L686">
        <v>116000</v>
      </c>
      <c r="M686" t="s">
        <v>186</v>
      </c>
      <c r="N686" s="98">
        <v>850</v>
      </c>
      <c r="O686" s="98">
        <v>0</v>
      </c>
      <c r="P686" s="98">
        <v>850</v>
      </c>
      <c r="Q686" s="98">
        <v>-850</v>
      </c>
    </row>
    <row r="687" spans="1:17" x14ac:dyDescent="0.35">
      <c r="A687" t="s">
        <v>106</v>
      </c>
      <c r="B687" t="s">
        <v>107</v>
      </c>
      <c r="C687">
        <v>2</v>
      </c>
      <c r="D687" t="s">
        <v>23</v>
      </c>
      <c r="E687" t="s">
        <v>100</v>
      </c>
      <c r="F687" t="s">
        <v>101</v>
      </c>
      <c r="G687">
        <v>254</v>
      </c>
      <c r="H687" t="s">
        <v>102</v>
      </c>
      <c r="I687" t="s">
        <v>160</v>
      </c>
      <c r="J687" t="s">
        <v>157</v>
      </c>
      <c r="K687">
        <v>1160</v>
      </c>
      <c r="L687">
        <v>116000</v>
      </c>
      <c r="M687" t="s">
        <v>186</v>
      </c>
      <c r="N687" s="98">
        <v>850</v>
      </c>
      <c r="O687" s="98">
        <v>0</v>
      </c>
      <c r="P687" s="98">
        <v>850</v>
      </c>
      <c r="Q687" s="98">
        <v>-850</v>
      </c>
    </row>
    <row r="688" spans="1:17" x14ac:dyDescent="0.35">
      <c r="A688" t="s">
        <v>108</v>
      </c>
      <c r="B688" t="s">
        <v>109</v>
      </c>
      <c r="C688">
        <v>3</v>
      </c>
      <c r="D688" t="s">
        <v>23</v>
      </c>
      <c r="E688" t="s">
        <v>100</v>
      </c>
      <c r="F688" t="s">
        <v>101</v>
      </c>
      <c r="G688">
        <v>254</v>
      </c>
      <c r="H688" t="s">
        <v>102</v>
      </c>
      <c r="I688" t="s">
        <v>160</v>
      </c>
      <c r="J688" t="s">
        <v>157</v>
      </c>
      <c r="K688">
        <v>1160</v>
      </c>
      <c r="L688">
        <v>116000</v>
      </c>
      <c r="M688" t="s">
        <v>186</v>
      </c>
      <c r="N688" s="98">
        <v>850</v>
      </c>
      <c r="O688" s="98">
        <v>0</v>
      </c>
      <c r="P688" s="98">
        <v>850</v>
      </c>
      <c r="Q688" s="98">
        <v>-850</v>
      </c>
    </row>
    <row r="689" spans="1:17" x14ac:dyDescent="0.35">
      <c r="A689" t="s">
        <v>110</v>
      </c>
      <c r="B689" t="s">
        <v>111</v>
      </c>
      <c r="C689">
        <v>4</v>
      </c>
      <c r="D689" t="s">
        <v>23</v>
      </c>
      <c r="E689" t="s">
        <v>100</v>
      </c>
      <c r="F689" t="s">
        <v>101</v>
      </c>
      <c r="G689">
        <v>254</v>
      </c>
      <c r="H689" t="s">
        <v>102</v>
      </c>
      <c r="I689" t="s">
        <v>160</v>
      </c>
      <c r="J689" t="s">
        <v>157</v>
      </c>
      <c r="K689">
        <v>1160</v>
      </c>
      <c r="L689">
        <v>116000</v>
      </c>
      <c r="M689" t="s">
        <v>186</v>
      </c>
      <c r="N689" s="98">
        <v>850</v>
      </c>
      <c r="O689" s="98">
        <v>0</v>
      </c>
      <c r="P689" s="98">
        <v>850</v>
      </c>
      <c r="Q689" s="98">
        <v>-850</v>
      </c>
    </row>
    <row r="690" spans="1:17" x14ac:dyDescent="0.35">
      <c r="A690" t="s">
        <v>112</v>
      </c>
      <c r="B690" t="s">
        <v>113</v>
      </c>
      <c r="C690">
        <v>5</v>
      </c>
      <c r="D690" t="s">
        <v>27</v>
      </c>
      <c r="E690" t="s">
        <v>100</v>
      </c>
      <c r="F690" t="s">
        <v>101</v>
      </c>
      <c r="G690">
        <v>254</v>
      </c>
      <c r="H690" t="s">
        <v>102</v>
      </c>
      <c r="I690" t="s">
        <v>160</v>
      </c>
      <c r="J690" t="s">
        <v>157</v>
      </c>
      <c r="K690">
        <v>1160</v>
      </c>
      <c r="L690">
        <v>116000</v>
      </c>
      <c r="M690" t="s">
        <v>186</v>
      </c>
      <c r="N690" s="98">
        <v>850</v>
      </c>
      <c r="O690" s="98">
        <v>0</v>
      </c>
      <c r="P690" s="98">
        <v>850</v>
      </c>
      <c r="Q690" s="98">
        <v>-850</v>
      </c>
    </row>
    <row r="691" spans="1:17" x14ac:dyDescent="0.35">
      <c r="A691" t="s">
        <v>114</v>
      </c>
      <c r="B691" t="s">
        <v>115</v>
      </c>
      <c r="C691">
        <v>6</v>
      </c>
      <c r="D691" t="s">
        <v>27</v>
      </c>
      <c r="E691" t="s">
        <v>100</v>
      </c>
      <c r="F691" t="s">
        <v>101</v>
      </c>
      <c r="G691">
        <v>254</v>
      </c>
      <c r="H691" t="s">
        <v>102</v>
      </c>
      <c r="I691" t="s">
        <v>160</v>
      </c>
      <c r="J691" t="s">
        <v>157</v>
      </c>
      <c r="K691">
        <v>1160</v>
      </c>
      <c r="L691">
        <v>116000</v>
      </c>
      <c r="M691" t="s">
        <v>186</v>
      </c>
      <c r="N691" s="98">
        <v>850</v>
      </c>
      <c r="O691" s="98">
        <v>538.20000000000005</v>
      </c>
      <c r="P691" s="98">
        <v>311.8</v>
      </c>
      <c r="Q691" s="98">
        <v>-311.8</v>
      </c>
    </row>
    <row r="692" spans="1:17" x14ac:dyDescent="0.35">
      <c r="A692" t="s">
        <v>116</v>
      </c>
      <c r="B692" t="s">
        <v>117</v>
      </c>
      <c r="C692">
        <v>7</v>
      </c>
      <c r="D692" t="s">
        <v>27</v>
      </c>
      <c r="E692" t="s">
        <v>100</v>
      </c>
      <c r="F692" t="s">
        <v>101</v>
      </c>
      <c r="G692">
        <v>254</v>
      </c>
      <c r="H692" t="s">
        <v>102</v>
      </c>
      <c r="I692" t="s">
        <v>160</v>
      </c>
      <c r="J692" t="s">
        <v>157</v>
      </c>
      <c r="K692">
        <v>1160</v>
      </c>
      <c r="L692">
        <v>116000</v>
      </c>
      <c r="M692" t="s">
        <v>186</v>
      </c>
      <c r="N692" s="98">
        <v>850</v>
      </c>
      <c r="O692" s="98">
        <v>1471.05</v>
      </c>
      <c r="P692" s="98">
        <v>-621.04999999999995</v>
      </c>
      <c r="Q692" s="98">
        <v>621.04999999999995</v>
      </c>
    </row>
    <row r="693" spans="1:17" x14ac:dyDescent="0.35">
      <c r="A693" t="s">
        <v>118</v>
      </c>
      <c r="B693" t="s">
        <v>119</v>
      </c>
      <c r="C693">
        <v>8</v>
      </c>
      <c r="D693" t="s">
        <v>27</v>
      </c>
      <c r="E693" t="s">
        <v>100</v>
      </c>
      <c r="F693" t="s">
        <v>101</v>
      </c>
      <c r="G693">
        <v>254</v>
      </c>
      <c r="H693" t="s">
        <v>102</v>
      </c>
      <c r="I693" t="s">
        <v>160</v>
      </c>
      <c r="J693" t="s">
        <v>157</v>
      </c>
      <c r="K693">
        <v>1160</v>
      </c>
      <c r="L693">
        <v>116000</v>
      </c>
      <c r="M693" t="s">
        <v>186</v>
      </c>
      <c r="N693" s="98">
        <v>850</v>
      </c>
      <c r="O693" s="98">
        <v>0</v>
      </c>
      <c r="P693" s="98">
        <v>850</v>
      </c>
      <c r="Q693" s="98">
        <v>-850</v>
      </c>
    </row>
    <row r="694" spans="1:17" x14ac:dyDescent="0.35">
      <c r="A694" t="s">
        <v>120</v>
      </c>
      <c r="B694" t="s">
        <v>121</v>
      </c>
      <c r="C694">
        <v>9</v>
      </c>
      <c r="D694" t="s">
        <v>30</v>
      </c>
      <c r="E694" t="s">
        <v>5</v>
      </c>
      <c r="F694" t="s">
        <v>101</v>
      </c>
      <c r="G694">
        <v>254</v>
      </c>
      <c r="H694" t="s">
        <v>102</v>
      </c>
      <c r="I694" t="s">
        <v>160</v>
      </c>
      <c r="J694" t="s">
        <v>157</v>
      </c>
      <c r="K694">
        <v>1160</v>
      </c>
      <c r="L694">
        <v>116000</v>
      </c>
      <c r="M694" t="s">
        <v>186</v>
      </c>
      <c r="N694" s="98">
        <v>850</v>
      </c>
      <c r="O694" s="98">
        <v>0</v>
      </c>
      <c r="P694" s="98">
        <v>0</v>
      </c>
      <c r="Q694" s="98">
        <v>-850</v>
      </c>
    </row>
    <row r="695" spans="1:17" x14ac:dyDescent="0.35">
      <c r="A695" t="s">
        <v>122</v>
      </c>
      <c r="B695" t="s">
        <v>123</v>
      </c>
      <c r="C695">
        <v>10</v>
      </c>
      <c r="D695" t="s">
        <v>30</v>
      </c>
      <c r="E695" t="s">
        <v>5</v>
      </c>
      <c r="F695" t="s">
        <v>101</v>
      </c>
      <c r="G695">
        <v>254</v>
      </c>
      <c r="H695" t="s">
        <v>102</v>
      </c>
      <c r="I695" t="s">
        <v>160</v>
      </c>
      <c r="J695" t="s">
        <v>157</v>
      </c>
      <c r="K695">
        <v>1160</v>
      </c>
      <c r="L695">
        <v>116000</v>
      </c>
      <c r="M695" t="s">
        <v>186</v>
      </c>
      <c r="N695" s="98">
        <v>850</v>
      </c>
      <c r="O695" s="98">
        <v>0</v>
      </c>
      <c r="P695" s="98">
        <v>0</v>
      </c>
      <c r="Q695" s="98">
        <v>-850</v>
      </c>
    </row>
    <row r="696" spans="1:17" x14ac:dyDescent="0.35">
      <c r="A696" t="s">
        <v>124</v>
      </c>
      <c r="B696" t="s">
        <v>125</v>
      </c>
      <c r="C696">
        <v>11</v>
      </c>
      <c r="D696" t="s">
        <v>30</v>
      </c>
      <c r="E696" t="s">
        <v>5</v>
      </c>
      <c r="F696" t="s">
        <v>101</v>
      </c>
      <c r="G696">
        <v>254</v>
      </c>
      <c r="H696" t="s">
        <v>102</v>
      </c>
      <c r="I696" t="s">
        <v>160</v>
      </c>
      <c r="J696" t="s">
        <v>157</v>
      </c>
      <c r="K696">
        <v>1160</v>
      </c>
      <c r="L696">
        <v>116000</v>
      </c>
      <c r="M696" t="s">
        <v>186</v>
      </c>
      <c r="N696" s="98">
        <v>850</v>
      </c>
      <c r="O696" s="98">
        <v>0</v>
      </c>
      <c r="P696" s="98">
        <v>0</v>
      </c>
      <c r="Q696" s="98">
        <v>-850</v>
      </c>
    </row>
    <row r="697" spans="1:17" x14ac:dyDescent="0.35">
      <c r="A697" t="s">
        <v>126</v>
      </c>
      <c r="B697" t="s">
        <v>127</v>
      </c>
      <c r="C697">
        <v>12</v>
      </c>
      <c r="D697" t="s">
        <v>30</v>
      </c>
      <c r="E697" t="s">
        <v>5</v>
      </c>
      <c r="F697" t="s">
        <v>101</v>
      </c>
      <c r="G697">
        <v>254</v>
      </c>
      <c r="H697" t="s">
        <v>102</v>
      </c>
      <c r="I697" t="s">
        <v>160</v>
      </c>
      <c r="J697" t="s">
        <v>157</v>
      </c>
      <c r="K697">
        <v>1160</v>
      </c>
      <c r="L697">
        <v>116000</v>
      </c>
      <c r="M697" t="s">
        <v>186</v>
      </c>
      <c r="N697" s="98">
        <v>650</v>
      </c>
      <c r="O697" s="98">
        <v>0</v>
      </c>
      <c r="P697" s="98">
        <v>0</v>
      </c>
      <c r="Q697" s="98">
        <v>-650</v>
      </c>
    </row>
    <row r="698" spans="1:17" x14ac:dyDescent="0.35">
      <c r="A698" t="s">
        <v>98</v>
      </c>
      <c r="B698" t="s">
        <v>99</v>
      </c>
      <c r="C698">
        <v>1</v>
      </c>
      <c r="D698" t="s">
        <v>23</v>
      </c>
      <c r="E698" t="s">
        <v>100</v>
      </c>
      <c r="F698" t="s">
        <v>101</v>
      </c>
      <c r="G698">
        <v>254</v>
      </c>
      <c r="H698" t="s">
        <v>102</v>
      </c>
      <c r="I698" t="s">
        <v>160</v>
      </c>
      <c r="J698" t="s">
        <v>157</v>
      </c>
      <c r="K698">
        <v>1170</v>
      </c>
      <c r="L698">
        <v>117000</v>
      </c>
      <c r="M698" t="s">
        <v>187</v>
      </c>
      <c r="N698" s="98">
        <v>4078</v>
      </c>
      <c r="O698" s="98">
        <v>1287.68</v>
      </c>
      <c r="P698" s="98">
        <v>2790.32</v>
      </c>
      <c r="Q698" s="98">
        <v>-2790.32</v>
      </c>
    </row>
    <row r="699" spans="1:17" x14ac:dyDescent="0.35">
      <c r="A699" t="s">
        <v>106</v>
      </c>
      <c r="B699" t="s">
        <v>107</v>
      </c>
      <c r="C699">
        <v>2</v>
      </c>
      <c r="D699" t="s">
        <v>23</v>
      </c>
      <c r="E699" t="s">
        <v>100</v>
      </c>
      <c r="F699" t="s">
        <v>101</v>
      </c>
      <c r="G699">
        <v>254</v>
      </c>
      <c r="H699" t="s">
        <v>102</v>
      </c>
      <c r="I699" t="s">
        <v>160</v>
      </c>
      <c r="J699" t="s">
        <v>157</v>
      </c>
      <c r="K699">
        <v>1170</v>
      </c>
      <c r="L699">
        <v>117000</v>
      </c>
      <c r="M699" t="s">
        <v>187</v>
      </c>
      <c r="N699" s="98">
        <v>4078</v>
      </c>
      <c r="O699" s="98">
        <v>1206.1400000000001</v>
      </c>
      <c r="P699" s="98">
        <v>2871.86</v>
      </c>
      <c r="Q699" s="98">
        <v>-2871.86</v>
      </c>
    </row>
    <row r="700" spans="1:17" x14ac:dyDescent="0.35">
      <c r="A700" t="s">
        <v>108</v>
      </c>
      <c r="B700" t="s">
        <v>109</v>
      </c>
      <c r="C700">
        <v>3</v>
      </c>
      <c r="D700" t="s">
        <v>23</v>
      </c>
      <c r="E700" t="s">
        <v>100</v>
      </c>
      <c r="F700" t="s">
        <v>101</v>
      </c>
      <c r="G700">
        <v>254</v>
      </c>
      <c r="H700" t="s">
        <v>102</v>
      </c>
      <c r="I700" t="s">
        <v>160</v>
      </c>
      <c r="J700" t="s">
        <v>157</v>
      </c>
      <c r="K700">
        <v>1170</v>
      </c>
      <c r="L700">
        <v>117000</v>
      </c>
      <c r="M700" t="s">
        <v>187</v>
      </c>
      <c r="N700" s="98">
        <v>4078</v>
      </c>
      <c r="O700" s="98">
        <v>1272.76</v>
      </c>
      <c r="P700" s="98">
        <v>2805.24</v>
      </c>
      <c r="Q700" s="98">
        <v>-2805.24</v>
      </c>
    </row>
    <row r="701" spans="1:17" x14ac:dyDescent="0.35">
      <c r="A701" t="s">
        <v>110</v>
      </c>
      <c r="B701" t="s">
        <v>111</v>
      </c>
      <c r="C701">
        <v>4</v>
      </c>
      <c r="D701" t="s">
        <v>23</v>
      </c>
      <c r="E701" t="s">
        <v>100</v>
      </c>
      <c r="F701" t="s">
        <v>101</v>
      </c>
      <c r="G701">
        <v>254</v>
      </c>
      <c r="H701" t="s">
        <v>102</v>
      </c>
      <c r="I701" t="s">
        <v>160</v>
      </c>
      <c r="J701" t="s">
        <v>157</v>
      </c>
      <c r="K701">
        <v>1170</v>
      </c>
      <c r="L701">
        <v>117000</v>
      </c>
      <c r="M701" t="s">
        <v>187</v>
      </c>
      <c r="N701" s="98">
        <v>4078</v>
      </c>
      <c r="O701" s="98">
        <v>1002.81</v>
      </c>
      <c r="P701" s="98">
        <v>3075.19</v>
      </c>
      <c r="Q701" s="98">
        <v>-3075.19</v>
      </c>
    </row>
    <row r="702" spans="1:17" x14ac:dyDescent="0.35">
      <c r="A702" t="s">
        <v>112</v>
      </c>
      <c r="B702" t="s">
        <v>113</v>
      </c>
      <c r="C702">
        <v>5</v>
      </c>
      <c r="D702" t="s">
        <v>27</v>
      </c>
      <c r="E702" t="s">
        <v>100</v>
      </c>
      <c r="F702" t="s">
        <v>101</v>
      </c>
      <c r="G702">
        <v>254</v>
      </c>
      <c r="H702" t="s">
        <v>102</v>
      </c>
      <c r="I702" t="s">
        <v>160</v>
      </c>
      <c r="J702" t="s">
        <v>157</v>
      </c>
      <c r="K702">
        <v>1170</v>
      </c>
      <c r="L702">
        <v>117000</v>
      </c>
      <c r="M702" t="s">
        <v>187</v>
      </c>
      <c r="N702" s="98">
        <v>4078</v>
      </c>
      <c r="O702" s="98">
        <v>1113.6199999999999</v>
      </c>
      <c r="P702" s="98">
        <v>2964.38</v>
      </c>
      <c r="Q702" s="98">
        <v>-2964.38</v>
      </c>
    </row>
    <row r="703" spans="1:17" x14ac:dyDescent="0.35">
      <c r="A703" t="s">
        <v>114</v>
      </c>
      <c r="B703" t="s">
        <v>115</v>
      </c>
      <c r="C703">
        <v>6</v>
      </c>
      <c r="D703" t="s">
        <v>27</v>
      </c>
      <c r="E703" t="s">
        <v>100</v>
      </c>
      <c r="F703" t="s">
        <v>101</v>
      </c>
      <c r="G703">
        <v>254</v>
      </c>
      <c r="H703" t="s">
        <v>102</v>
      </c>
      <c r="I703" t="s">
        <v>160</v>
      </c>
      <c r="J703" t="s">
        <v>157</v>
      </c>
      <c r="K703">
        <v>1170</v>
      </c>
      <c r="L703">
        <v>117000</v>
      </c>
      <c r="M703" t="s">
        <v>187</v>
      </c>
      <c r="N703" s="98">
        <v>4078</v>
      </c>
      <c r="O703" s="98">
        <v>999.62</v>
      </c>
      <c r="P703" s="98">
        <v>3078.38</v>
      </c>
      <c r="Q703" s="98">
        <v>-3078.38</v>
      </c>
    </row>
    <row r="704" spans="1:17" x14ac:dyDescent="0.35">
      <c r="A704" t="s">
        <v>116</v>
      </c>
      <c r="B704" t="s">
        <v>117</v>
      </c>
      <c r="C704">
        <v>7</v>
      </c>
      <c r="D704" t="s">
        <v>27</v>
      </c>
      <c r="E704" t="s">
        <v>100</v>
      </c>
      <c r="F704" t="s">
        <v>101</v>
      </c>
      <c r="G704">
        <v>254</v>
      </c>
      <c r="H704" t="s">
        <v>102</v>
      </c>
      <c r="I704" t="s">
        <v>160</v>
      </c>
      <c r="J704" t="s">
        <v>157</v>
      </c>
      <c r="K704">
        <v>1170</v>
      </c>
      <c r="L704">
        <v>117000</v>
      </c>
      <c r="M704" t="s">
        <v>187</v>
      </c>
      <c r="N704" s="98">
        <v>4078</v>
      </c>
      <c r="O704" s="98">
        <v>3184.4</v>
      </c>
      <c r="P704" s="98">
        <v>893.6</v>
      </c>
      <c r="Q704" s="98">
        <v>-893.6</v>
      </c>
    </row>
    <row r="705" spans="1:17" x14ac:dyDescent="0.35">
      <c r="A705" t="s">
        <v>118</v>
      </c>
      <c r="B705" t="s">
        <v>119</v>
      </c>
      <c r="C705">
        <v>8</v>
      </c>
      <c r="D705" t="s">
        <v>27</v>
      </c>
      <c r="E705" t="s">
        <v>100</v>
      </c>
      <c r="F705" t="s">
        <v>101</v>
      </c>
      <c r="G705">
        <v>254</v>
      </c>
      <c r="H705" t="s">
        <v>102</v>
      </c>
      <c r="I705" t="s">
        <v>160</v>
      </c>
      <c r="J705" t="s">
        <v>157</v>
      </c>
      <c r="K705">
        <v>1170</v>
      </c>
      <c r="L705">
        <v>117000</v>
      </c>
      <c r="M705" t="s">
        <v>187</v>
      </c>
      <c r="N705" s="98">
        <v>4078</v>
      </c>
      <c r="O705" s="98">
        <v>1211.48</v>
      </c>
      <c r="P705" s="98">
        <v>2866.52</v>
      </c>
      <c r="Q705" s="98">
        <v>-2866.52</v>
      </c>
    </row>
    <row r="706" spans="1:17" x14ac:dyDescent="0.35">
      <c r="A706" t="s">
        <v>120</v>
      </c>
      <c r="B706" t="s">
        <v>121</v>
      </c>
      <c r="C706">
        <v>9</v>
      </c>
      <c r="D706" t="s">
        <v>30</v>
      </c>
      <c r="E706" t="s">
        <v>5</v>
      </c>
      <c r="F706" t="s">
        <v>101</v>
      </c>
      <c r="G706">
        <v>254</v>
      </c>
      <c r="H706" t="s">
        <v>102</v>
      </c>
      <c r="I706" t="s">
        <v>160</v>
      </c>
      <c r="J706" t="s">
        <v>157</v>
      </c>
      <c r="K706">
        <v>1170</v>
      </c>
      <c r="L706">
        <v>117000</v>
      </c>
      <c r="M706" t="s">
        <v>187</v>
      </c>
      <c r="N706" s="98">
        <v>4078</v>
      </c>
      <c r="O706" s="98">
        <v>0</v>
      </c>
      <c r="P706" s="98">
        <v>0</v>
      </c>
      <c r="Q706" s="98">
        <v>-4078</v>
      </c>
    </row>
    <row r="707" spans="1:17" x14ac:dyDescent="0.35">
      <c r="A707" t="s">
        <v>122</v>
      </c>
      <c r="B707" t="s">
        <v>123</v>
      </c>
      <c r="C707">
        <v>10</v>
      </c>
      <c r="D707" t="s">
        <v>30</v>
      </c>
      <c r="E707" t="s">
        <v>5</v>
      </c>
      <c r="F707" t="s">
        <v>101</v>
      </c>
      <c r="G707">
        <v>254</v>
      </c>
      <c r="H707" t="s">
        <v>102</v>
      </c>
      <c r="I707" t="s">
        <v>160</v>
      </c>
      <c r="J707" t="s">
        <v>157</v>
      </c>
      <c r="K707">
        <v>1170</v>
      </c>
      <c r="L707">
        <v>117000</v>
      </c>
      <c r="M707" t="s">
        <v>187</v>
      </c>
      <c r="N707" s="98">
        <v>4078</v>
      </c>
      <c r="O707" s="98">
        <v>0</v>
      </c>
      <c r="P707" s="98">
        <v>0</v>
      </c>
      <c r="Q707" s="98">
        <v>-4078</v>
      </c>
    </row>
    <row r="708" spans="1:17" x14ac:dyDescent="0.35">
      <c r="A708" t="s">
        <v>124</v>
      </c>
      <c r="B708" t="s">
        <v>125</v>
      </c>
      <c r="C708">
        <v>11</v>
      </c>
      <c r="D708" t="s">
        <v>30</v>
      </c>
      <c r="E708" t="s">
        <v>5</v>
      </c>
      <c r="F708" t="s">
        <v>101</v>
      </c>
      <c r="G708">
        <v>254</v>
      </c>
      <c r="H708" t="s">
        <v>102</v>
      </c>
      <c r="I708" t="s">
        <v>160</v>
      </c>
      <c r="J708" t="s">
        <v>157</v>
      </c>
      <c r="K708">
        <v>1170</v>
      </c>
      <c r="L708">
        <v>117000</v>
      </c>
      <c r="M708" t="s">
        <v>187</v>
      </c>
      <c r="N708" s="98">
        <v>4078</v>
      </c>
      <c r="O708" s="98">
        <v>0</v>
      </c>
      <c r="P708" s="98">
        <v>0</v>
      </c>
      <c r="Q708" s="98">
        <v>-4078</v>
      </c>
    </row>
    <row r="709" spans="1:17" x14ac:dyDescent="0.35">
      <c r="A709" t="s">
        <v>126</v>
      </c>
      <c r="B709" t="s">
        <v>127</v>
      </c>
      <c r="C709">
        <v>12</v>
      </c>
      <c r="D709" t="s">
        <v>30</v>
      </c>
      <c r="E709" t="s">
        <v>5</v>
      </c>
      <c r="F709" t="s">
        <v>101</v>
      </c>
      <c r="G709">
        <v>254</v>
      </c>
      <c r="H709" t="s">
        <v>102</v>
      </c>
      <c r="I709" t="s">
        <v>160</v>
      </c>
      <c r="J709" t="s">
        <v>157</v>
      </c>
      <c r="K709">
        <v>1170</v>
      </c>
      <c r="L709">
        <v>117000</v>
      </c>
      <c r="M709" t="s">
        <v>187</v>
      </c>
      <c r="N709" s="98">
        <v>4142</v>
      </c>
      <c r="O709" s="98">
        <v>0</v>
      </c>
      <c r="P709" s="98">
        <v>0</v>
      </c>
      <c r="Q709" s="98">
        <v>-4142</v>
      </c>
    </row>
    <row r="710" spans="1:17" x14ac:dyDescent="0.35">
      <c r="A710" t="s">
        <v>98</v>
      </c>
      <c r="B710" t="s">
        <v>99</v>
      </c>
      <c r="C710">
        <v>1</v>
      </c>
      <c r="D710" t="s">
        <v>23</v>
      </c>
      <c r="E710" t="s">
        <v>100</v>
      </c>
      <c r="F710" t="s">
        <v>101</v>
      </c>
      <c r="G710">
        <v>254</v>
      </c>
      <c r="H710" t="s">
        <v>102</v>
      </c>
      <c r="I710" t="s">
        <v>160</v>
      </c>
      <c r="J710" t="s">
        <v>157</v>
      </c>
      <c r="K710">
        <v>1170</v>
      </c>
      <c r="L710">
        <v>117002</v>
      </c>
      <c r="M710" t="s">
        <v>188</v>
      </c>
      <c r="N710" s="98">
        <v>0</v>
      </c>
      <c r="O710" s="98">
        <v>0</v>
      </c>
      <c r="P710" s="98">
        <v>0</v>
      </c>
      <c r="Q710" s="98">
        <v>0</v>
      </c>
    </row>
    <row r="711" spans="1:17" x14ac:dyDescent="0.35">
      <c r="A711" t="s">
        <v>106</v>
      </c>
      <c r="B711" t="s">
        <v>107</v>
      </c>
      <c r="C711">
        <v>2</v>
      </c>
      <c r="D711" t="s">
        <v>23</v>
      </c>
      <c r="E711" t="s">
        <v>100</v>
      </c>
      <c r="F711" t="s">
        <v>101</v>
      </c>
      <c r="G711">
        <v>254</v>
      </c>
      <c r="H711" t="s">
        <v>102</v>
      </c>
      <c r="I711" t="s">
        <v>160</v>
      </c>
      <c r="J711" t="s">
        <v>157</v>
      </c>
      <c r="K711">
        <v>1170</v>
      </c>
      <c r="L711">
        <v>117002</v>
      </c>
      <c r="M711" t="s">
        <v>188</v>
      </c>
      <c r="N711" s="98">
        <v>0</v>
      </c>
      <c r="O711" s="98">
        <v>0</v>
      </c>
      <c r="P711" s="98">
        <v>0</v>
      </c>
      <c r="Q711" s="98">
        <v>0</v>
      </c>
    </row>
    <row r="712" spans="1:17" x14ac:dyDescent="0.35">
      <c r="A712" t="s">
        <v>108</v>
      </c>
      <c r="B712" t="s">
        <v>109</v>
      </c>
      <c r="C712">
        <v>3</v>
      </c>
      <c r="D712" t="s">
        <v>23</v>
      </c>
      <c r="E712" t="s">
        <v>100</v>
      </c>
      <c r="F712" t="s">
        <v>101</v>
      </c>
      <c r="G712">
        <v>254</v>
      </c>
      <c r="H712" t="s">
        <v>102</v>
      </c>
      <c r="I712" t="s">
        <v>160</v>
      </c>
      <c r="J712" t="s">
        <v>157</v>
      </c>
      <c r="K712">
        <v>1170</v>
      </c>
      <c r="L712">
        <v>117002</v>
      </c>
      <c r="M712" t="s">
        <v>188</v>
      </c>
      <c r="N712" s="98">
        <v>0</v>
      </c>
      <c r="O712" s="98">
        <v>400</v>
      </c>
      <c r="P712" s="98">
        <v>-400</v>
      </c>
      <c r="Q712" s="98">
        <v>400</v>
      </c>
    </row>
    <row r="713" spans="1:17" x14ac:dyDescent="0.35">
      <c r="A713" t="s">
        <v>110</v>
      </c>
      <c r="B713" t="s">
        <v>111</v>
      </c>
      <c r="C713">
        <v>4</v>
      </c>
      <c r="D713" t="s">
        <v>23</v>
      </c>
      <c r="E713" t="s">
        <v>100</v>
      </c>
      <c r="F713" t="s">
        <v>101</v>
      </c>
      <c r="G713">
        <v>254</v>
      </c>
      <c r="H713" t="s">
        <v>102</v>
      </c>
      <c r="I713" t="s">
        <v>160</v>
      </c>
      <c r="J713" t="s">
        <v>157</v>
      </c>
      <c r="K713">
        <v>1170</v>
      </c>
      <c r="L713">
        <v>117002</v>
      </c>
      <c r="M713" t="s">
        <v>188</v>
      </c>
      <c r="N713" s="98">
        <v>0</v>
      </c>
      <c r="O713" s="98">
        <v>0</v>
      </c>
      <c r="P713" s="98">
        <v>0</v>
      </c>
      <c r="Q713" s="98">
        <v>0</v>
      </c>
    </row>
    <row r="714" spans="1:17" x14ac:dyDescent="0.35">
      <c r="A714" t="s">
        <v>112</v>
      </c>
      <c r="B714" t="s">
        <v>113</v>
      </c>
      <c r="C714">
        <v>5</v>
      </c>
      <c r="D714" t="s">
        <v>27</v>
      </c>
      <c r="E714" t="s">
        <v>100</v>
      </c>
      <c r="F714" t="s">
        <v>101</v>
      </c>
      <c r="G714">
        <v>254</v>
      </c>
      <c r="H714" t="s">
        <v>102</v>
      </c>
      <c r="I714" t="s">
        <v>160</v>
      </c>
      <c r="J714" t="s">
        <v>157</v>
      </c>
      <c r="K714">
        <v>1170</v>
      </c>
      <c r="L714">
        <v>117002</v>
      </c>
      <c r="M714" t="s">
        <v>188</v>
      </c>
      <c r="N714" s="98">
        <v>0</v>
      </c>
      <c r="O714" s="98">
        <v>0</v>
      </c>
      <c r="P714" s="98">
        <v>0</v>
      </c>
      <c r="Q714" s="98">
        <v>0</v>
      </c>
    </row>
    <row r="715" spans="1:17" x14ac:dyDescent="0.35">
      <c r="A715" t="s">
        <v>114</v>
      </c>
      <c r="B715" t="s">
        <v>115</v>
      </c>
      <c r="C715">
        <v>6</v>
      </c>
      <c r="D715" t="s">
        <v>27</v>
      </c>
      <c r="E715" t="s">
        <v>100</v>
      </c>
      <c r="F715" t="s">
        <v>101</v>
      </c>
      <c r="G715">
        <v>254</v>
      </c>
      <c r="H715" t="s">
        <v>102</v>
      </c>
      <c r="I715" t="s">
        <v>160</v>
      </c>
      <c r="J715" t="s">
        <v>157</v>
      </c>
      <c r="K715">
        <v>1170</v>
      </c>
      <c r="L715">
        <v>117002</v>
      </c>
      <c r="M715" t="s">
        <v>188</v>
      </c>
      <c r="N715" s="98">
        <v>0</v>
      </c>
      <c r="O715" s="98">
        <v>0</v>
      </c>
      <c r="P715" s="98">
        <v>0</v>
      </c>
      <c r="Q715" s="98">
        <v>0</v>
      </c>
    </row>
    <row r="716" spans="1:17" x14ac:dyDescent="0.35">
      <c r="A716" t="s">
        <v>116</v>
      </c>
      <c r="B716" t="s">
        <v>117</v>
      </c>
      <c r="C716">
        <v>7</v>
      </c>
      <c r="D716" t="s">
        <v>27</v>
      </c>
      <c r="E716" t="s">
        <v>100</v>
      </c>
      <c r="F716" t="s">
        <v>101</v>
      </c>
      <c r="G716">
        <v>254</v>
      </c>
      <c r="H716" t="s">
        <v>102</v>
      </c>
      <c r="I716" t="s">
        <v>160</v>
      </c>
      <c r="J716" t="s">
        <v>157</v>
      </c>
      <c r="K716">
        <v>1170</v>
      </c>
      <c r="L716">
        <v>117002</v>
      </c>
      <c r="M716" t="s">
        <v>188</v>
      </c>
      <c r="N716" s="98">
        <v>0</v>
      </c>
      <c r="O716" s="98">
        <v>0</v>
      </c>
      <c r="P716" s="98">
        <v>0</v>
      </c>
      <c r="Q716" s="98">
        <v>0</v>
      </c>
    </row>
    <row r="717" spans="1:17" x14ac:dyDescent="0.35">
      <c r="A717" t="s">
        <v>118</v>
      </c>
      <c r="B717" t="s">
        <v>119</v>
      </c>
      <c r="C717">
        <v>8</v>
      </c>
      <c r="D717" t="s">
        <v>27</v>
      </c>
      <c r="E717" t="s">
        <v>100</v>
      </c>
      <c r="F717" t="s">
        <v>101</v>
      </c>
      <c r="G717">
        <v>254</v>
      </c>
      <c r="H717" t="s">
        <v>102</v>
      </c>
      <c r="I717" t="s">
        <v>160</v>
      </c>
      <c r="J717" t="s">
        <v>157</v>
      </c>
      <c r="K717">
        <v>1170</v>
      </c>
      <c r="L717">
        <v>117002</v>
      </c>
      <c r="M717" t="s">
        <v>188</v>
      </c>
      <c r="N717" s="98">
        <v>0</v>
      </c>
      <c r="O717" s="98">
        <v>0</v>
      </c>
      <c r="P717" s="98">
        <v>0</v>
      </c>
      <c r="Q717" s="98">
        <v>0</v>
      </c>
    </row>
    <row r="718" spans="1:17" x14ac:dyDescent="0.35">
      <c r="A718" t="s">
        <v>120</v>
      </c>
      <c r="B718" t="s">
        <v>121</v>
      </c>
      <c r="C718">
        <v>9</v>
      </c>
      <c r="D718" t="s">
        <v>30</v>
      </c>
      <c r="E718" t="s">
        <v>5</v>
      </c>
      <c r="F718" t="s">
        <v>101</v>
      </c>
      <c r="G718">
        <v>254</v>
      </c>
      <c r="H718" t="s">
        <v>102</v>
      </c>
      <c r="I718" t="s">
        <v>160</v>
      </c>
      <c r="J718" t="s">
        <v>157</v>
      </c>
      <c r="K718">
        <v>1170</v>
      </c>
      <c r="L718">
        <v>117002</v>
      </c>
      <c r="M718" t="s">
        <v>188</v>
      </c>
      <c r="N718" s="98">
        <v>0</v>
      </c>
      <c r="O718" s="98">
        <v>0</v>
      </c>
      <c r="P718" s="98">
        <v>0</v>
      </c>
      <c r="Q718" s="98">
        <v>0</v>
      </c>
    </row>
    <row r="719" spans="1:17" x14ac:dyDescent="0.35">
      <c r="A719" t="s">
        <v>122</v>
      </c>
      <c r="B719" t="s">
        <v>123</v>
      </c>
      <c r="C719">
        <v>10</v>
      </c>
      <c r="D719" t="s">
        <v>30</v>
      </c>
      <c r="E719" t="s">
        <v>5</v>
      </c>
      <c r="F719" t="s">
        <v>101</v>
      </c>
      <c r="G719">
        <v>254</v>
      </c>
      <c r="H719" t="s">
        <v>102</v>
      </c>
      <c r="I719" t="s">
        <v>160</v>
      </c>
      <c r="J719" t="s">
        <v>157</v>
      </c>
      <c r="K719">
        <v>1170</v>
      </c>
      <c r="L719">
        <v>117002</v>
      </c>
      <c r="M719" t="s">
        <v>188</v>
      </c>
      <c r="N719" s="98">
        <v>0</v>
      </c>
      <c r="O719" s="98">
        <v>0</v>
      </c>
      <c r="P719" s="98">
        <v>0</v>
      </c>
      <c r="Q719" s="98">
        <v>0</v>
      </c>
    </row>
    <row r="720" spans="1:17" x14ac:dyDescent="0.35">
      <c r="A720" t="s">
        <v>124</v>
      </c>
      <c r="B720" t="s">
        <v>125</v>
      </c>
      <c r="C720">
        <v>11</v>
      </c>
      <c r="D720" t="s">
        <v>30</v>
      </c>
      <c r="E720" t="s">
        <v>5</v>
      </c>
      <c r="F720" t="s">
        <v>101</v>
      </c>
      <c r="G720">
        <v>254</v>
      </c>
      <c r="H720" t="s">
        <v>102</v>
      </c>
      <c r="I720" t="s">
        <v>160</v>
      </c>
      <c r="J720" t="s">
        <v>157</v>
      </c>
      <c r="K720">
        <v>1170</v>
      </c>
      <c r="L720">
        <v>117002</v>
      </c>
      <c r="M720" t="s">
        <v>188</v>
      </c>
      <c r="N720" s="98">
        <v>0</v>
      </c>
      <c r="O720" s="98">
        <v>0</v>
      </c>
      <c r="P720" s="98">
        <v>0</v>
      </c>
      <c r="Q720" s="98">
        <v>0</v>
      </c>
    </row>
    <row r="721" spans="1:17" x14ac:dyDescent="0.35">
      <c r="A721" t="s">
        <v>126</v>
      </c>
      <c r="B721" t="s">
        <v>127</v>
      </c>
      <c r="C721">
        <v>12</v>
      </c>
      <c r="D721" t="s">
        <v>30</v>
      </c>
      <c r="E721" t="s">
        <v>5</v>
      </c>
      <c r="F721" t="s">
        <v>101</v>
      </c>
      <c r="G721">
        <v>254</v>
      </c>
      <c r="H721" t="s">
        <v>102</v>
      </c>
      <c r="I721" t="s">
        <v>160</v>
      </c>
      <c r="J721" t="s">
        <v>157</v>
      </c>
      <c r="K721">
        <v>1170</v>
      </c>
      <c r="L721">
        <v>117002</v>
      </c>
      <c r="M721" t="s">
        <v>188</v>
      </c>
      <c r="N721" s="98">
        <v>0</v>
      </c>
      <c r="O721" s="98">
        <v>0</v>
      </c>
      <c r="P721" s="98">
        <v>0</v>
      </c>
      <c r="Q721" s="98">
        <v>0</v>
      </c>
    </row>
    <row r="722" spans="1:17" x14ac:dyDescent="0.35">
      <c r="A722" t="s">
        <v>98</v>
      </c>
      <c r="B722" t="s">
        <v>99</v>
      </c>
      <c r="C722">
        <v>1</v>
      </c>
      <c r="D722" t="s">
        <v>23</v>
      </c>
      <c r="E722" t="s">
        <v>100</v>
      </c>
      <c r="F722" t="s">
        <v>101</v>
      </c>
      <c r="G722">
        <v>254</v>
      </c>
      <c r="H722" t="s">
        <v>102</v>
      </c>
      <c r="I722" t="s">
        <v>160</v>
      </c>
      <c r="J722" t="s">
        <v>157</v>
      </c>
      <c r="K722">
        <v>1170</v>
      </c>
      <c r="L722">
        <v>117004</v>
      </c>
      <c r="M722" t="s">
        <v>189</v>
      </c>
      <c r="N722" s="98">
        <v>0</v>
      </c>
      <c r="O722" s="98">
        <v>0</v>
      </c>
      <c r="P722" s="98">
        <v>0</v>
      </c>
      <c r="Q722" s="98">
        <v>0</v>
      </c>
    </row>
    <row r="723" spans="1:17" x14ac:dyDescent="0.35">
      <c r="A723" t="s">
        <v>106</v>
      </c>
      <c r="B723" t="s">
        <v>107</v>
      </c>
      <c r="C723">
        <v>2</v>
      </c>
      <c r="D723" t="s">
        <v>23</v>
      </c>
      <c r="E723" t="s">
        <v>100</v>
      </c>
      <c r="F723" t="s">
        <v>101</v>
      </c>
      <c r="G723">
        <v>254</v>
      </c>
      <c r="H723" t="s">
        <v>102</v>
      </c>
      <c r="I723" t="s">
        <v>160</v>
      </c>
      <c r="J723" t="s">
        <v>157</v>
      </c>
      <c r="K723">
        <v>1170</v>
      </c>
      <c r="L723">
        <v>117004</v>
      </c>
      <c r="M723" t="s">
        <v>189</v>
      </c>
      <c r="N723" s="98">
        <v>0</v>
      </c>
      <c r="O723" s="98">
        <v>0</v>
      </c>
      <c r="P723" s="98">
        <v>0</v>
      </c>
      <c r="Q723" s="98">
        <v>0</v>
      </c>
    </row>
    <row r="724" spans="1:17" x14ac:dyDescent="0.35">
      <c r="A724" t="s">
        <v>108</v>
      </c>
      <c r="B724" t="s">
        <v>109</v>
      </c>
      <c r="C724">
        <v>3</v>
      </c>
      <c r="D724" t="s">
        <v>23</v>
      </c>
      <c r="E724" t="s">
        <v>100</v>
      </c>
      <c r="F724" t="s">
        <v>101</v>
      </c>
      <c r="G724">
        <v>254</v>
      </c>
      <c r="H724" t="s">
        <v>102</v>
      </c>
      <c r="I724" t="s">
        <v>160</v>
      </c>
      <c r="J724" t="s">
        <v>157</v>
      </c>
      <c r="K724">
        <v>1170</v>
      </c>
      <c r="L724">
        <v>117004</v>
      </c>
      <c r="M724" t="s">
        <v>189</v>
      </c>
      <c r="N724" s="98">
        <v>0</v>
      </c>
      <c r="O724" s="98">
        <v>0</v>
      </c>
      <c r="P724" s="98">
        <v>0</v>
      </c>
      <c r="Q724" s="98">
        <v>0</v>
      </c>
    </row>
    <row r="725" spans="1:17" x14ac:dyDescent="0.35">
      <c r="A725" t="s">
        <v>110</v>
      </c>
      <c r="B725" t="s">
        <v>111</v>
      </c>
      <c r="C725">
        <v>4</v>
      </c>
      <c r="D725" t="s">
        <v>23</v>
      </c>
      <c r="E725" t="s">
        <v>100</v>
      </c>
      <c r="F725" t="s">
        <v>101</v>
      </c>
      <c r="G725">
        <v>254</v>
      </c>
      <c r="H725" t="s">
        <v>102</v>
      </c>
      <c r="I725" t="s">
        <v>160</v>
      </c>
      <c r="J725" t="s">
        <v>157</v>
      </c>
      <c r="K725">
        <v>1170</v>
      </c>
      <c r="L725">
        <v>117004</v>
      </c>
      <c r="M725" t="s">
        <v>189</v>
      </c>
      <c r="N725" s="98">
        <v>0</v>
      </c>
      <c r="O725" s="98">
        <v>0</v>
      </c>
      <c r="P725" s="98">
        <v>0</v>
      </c>
      <c r="Q725" s="98">
        <v>0</v>
      </c>
    </row>
    <row r="726" spans="1:17" x14ac:dyDescent="0.35">
      <c r="A726" t="s">
        <v>112</v>
      </c>
      <c r="B726" t="s">
        <v>113</v>
      </c>
      <c r="C726">
        <v>5</v>
      </c>
      <c r="D726" t="s">
        <v>27</v>
      </c>
      <c r="E726" t="s">
        <v>100</v>
      </c>
      <c r="F726" t="s">
        <v>101</v>
      </c>
      <c r="G726">
        <v>254</v>
      </c>
      <c r="H726" t="s">
        <v>102</v>
      </c>
      <c r="I726" t="s">
        <v>160</v>
      </c>
      <c r="J726" t="s">
        <v>157</v>
      </c>
      <c r="K726">
        <v>1170</v>
      </c>
      <c r="L726">
        <v>117004</v>
      </c>
      <c r="M726" t="s">
        <v>189</v>
      </c>
      <c r="N726" s="98">
        <v>0</v>
      </c>
      <c r="O726" s="98">
        <v>0</v>
      </c>
      <c r="P726" s="98">
        <v>0</v>
      </c>
      <c r="Q726" s="98">
        <v>0</v>
      </c>
    </row>
    <row r="727" spans="1:17" x14ac:dyDescent="0.35">
      <c r="A727" t="s">
        <v>114</v>
      </c>
      <c r="B727" t="s">
        <v>115</v>
      </c>
      <c r="C727">
        <v>6</v>
      </c>
      <c r="D727" t="s">
        <v>27</v>
      </c>
      <c r="E727" t="s">
        <v>100</v>
      </c>
      <c r="F727" t="s">
        <v>101</v>
      </c>
      <c r="G727">
        <v>254</v>
      </c>
      <c r="H727" t="s">
        <v>102</v>
      </c>
      <c r="I727" t="s">
        <v>160</v>
      </c>
      <c r="J727" t="s">
        <v>157</v>
      </c>
      <c r="K727">
        <v>1170</v>
      </c>
      <c r="L727">
        <v>117004</v>
      </c>
      <c r="M727" t="s">
        <v>189</v>
      </c>
      <c r="N727" s="98">
        <v>0</v>
      </c>
      <c r="O727" s="98">
        <v>0</v>
      </c>
      <c r="P727" s="98">
        <v>0</v>
      </c>
      <c r="Q727" s="98">
        <v>0</v>
      </c>
    </row>
    <row r="728" spans="1:17" x14ac:dyDescent="0.35">
      <c r="A728" t="s">
        <v>116</v>
      </c>
      <c r="B728" t="s">
        <v>117</v>
      </c>
      <c r="C728">
        <v>7</v>
      </c>
      <c r="D728" t="s">
        <v>27</v>
      </c>
      <c r="E728" t="s">
        <v>100</v>
      </c>
      <c r="F728" t="s">
        <v>101</v>
      </c>
      <c r="G728">
        <v>254</v>
      </c>
      <c r="H728" t="s">
        <v>102</v>
      </c>
      <c r="I728" t="s">
        <v>160</v>
      </c>
      <c r="J728" t="s">
        <v>157</v>
      </c>
      <c r="K728">
        <v>1170</v>
      </c>
      <c r="L728">
        <v>117004</v>
      </c>
      <c r="M728" t="s">
        <v>189</v>
      </c>
      <c r="N728" s="98">
        <v>0</v>
      </c>
      <c r="O728" s="98">
        <v>0</v>
      </c>
      <c r="P728" s="98">
        <v>0</v>
      </c>
      <c r="Q728" s="98">
        <v>0</v>
      </c>
    </row>
    <row r="729" spans="1:17" x14ac:dyDescent="0.35">
      <c r="A729" t="s">
        <v>118</v>
      </c>
      <c r="B729" t="s">
        <v>119</v>
      </c>
      <c r="C729">
        <v>8</v>
      </c>
      <c r="D729" t="s">
        <v>27</v>
      </c>
      <c r="E729" t="s">
        <v>100</v>
      </c>
      <c r="F729" t="s">
        <v>101</v>
      </c>
      <c r="G729">
        <v>254</v>
      </c>
      <c r="H729" t="s">
        <v>102</v>
      </c>
      <c r="I729" t="s">
        <v>160</v>
      </c>
      <c r="J729" t="s">
        <v>157</v>
      </c>
      <c r="K729">
        <v>1170</v>
      </c>
      <c r="L729">
        <v>117004</v>
      </c>
      <c r="M729" t="s">
        <v>189</v>
      </c>
      <c r="N729" s="98">
        <v>0</v>
      </c>
      <c r="O729" s="98">
        <v>0</v>
      </c>
      <c r="P729" s="98">
        <v>0</v>
      </c>
      <c r="Q729" s="98">
        <v>0</v>
      </c>
    </row>
    <row r="730" spans="1:17" x14ac:dyDescent="0.35">
      <c r="A730" t="s">
        <v>120</v>
      </c>
      <c r="B730" t="s">
        <v>121</v>
      </c>
      <c r="C730">
        <v>9</v>
      </c>
      <c r="D730" t="s">
        <v>30</v>
      </c>
      <c r="E730" t="s">
        <v>5</v>
      </c>
      <c r="F730" t="s">
        <v>101</v>
      </c>
      <c r="G730">
        <v>254</v>
      </c>
      <c r="H730" t="s">
        <v>102</v>
      </c>
      <c r="I730" t="s">
        <v>160</v>
      </c>
      <c r="J730" t="s">
        <v>157</v>
      </c>
      <c r="K730">
        <v>1170</v>
      </c>
      <c r="L730">
        <v>117004</v>
      </c>
      <c r="M730" t="s">
        <v>189</v>
      </c>
      <c r="N730" s="98">
        <v>0</v>
      </c>
      <c r="O730" s="98">
        <v>0</v>
      </c>
      <c r="P730" s="98">
        <v>0</v>
      </c>
      <c r="Q730" s="98">
        <v>0</v>
      </c>
    </row>
    <row r="731" spans="1:17" x14ac:dyDescent="0.35">
      <c r="A731" t="s">
        <v>122</v>
      </c>
      <c r="B731" t="s">
        <v>123</v>
      </c>
      <c r="C731">
        <v>10</v>
      </c>
      <c r="D731" t="s">
        <v>30</v>
      </c>
      <c r="E731" t="s">
        <v>5</v>
      </c>
      <c r="F731" t="s">
        <v>101</v>
      </c>
      <c r="G731">
        <v>254</v>
      </c>
      <c r="H731" t="s">
        <v>102</v>
      </c>
      <c r="I731" t="s">
        <v>160</v>
      </c>
      <c r="J731" t="s">
        <v>157</v>
      </c>
      <c r="K731">
        <v>1170</v>
      </c>
      <c r="L731">
        <v>117004</v>
      </c>
      <c r="M731" t="s">
        <v>189</v>
      </c>
      <c r="N731" s="98">
        <v>0</v>
      </c>
      <c r="O731" s="98">
        <v>0</v>
      </c>
      <c r="P731" s="98">
        <v>0</v>
      </c>
      <c r="Q731" s="98">
        <v>0</v>
      </c>
    </row>
    <row r="732" spans="1:17" x14ac:dyDescent="0.35">
      <c r="A732" t="s">
        <v>124</v>
      </c>
      <c r="B732" t="s">
        <v>125</v>
      </c>
      <c r="C732">
        <v>11</v>
      </c>
      <c r="D732" t="s">
        <v>30</v>
      </c>
      <c r="E732" t="s">
        <v>5</v>
      </c>
      <c r="F732" t="s">
        <v>101</v>
      </c>
      <c r="G732">
        <v>254</v>
      </c>
      <c r="H732" t="s">
        <v>102</v>
      </c>
      <c r="I732" t="s">
        <v>160</v>
      </c>
      <c r="J732" t="s">
        <v>157</v>
      </c>
      <c r="K732">
        <v>1170</v>
      </c>
      <c r="L732">
        <v>117004</v>
      </c>
      <c r="M732" t="s">
        <v>189</v>
      </c>
      <c r="N732" s="98">
        <v>0</v>
      </c>
      <c r="O732" s="98">
        <v>0</v>
      </c>
      <c r="P732" s="98">
        <v>0</v>
      </c>
      <c r="Q732" s="98">
        <v>0</v>
      </c>
    </row>
    <row r="733" spans="1:17" x14ac:dyDescent="0.35">
      <c r="A733" t="s">
        <v>126</v>
      </c>
      <c r="B733" t="s">
        <v>127</v>
      </c>
      <c r="C733">
        <v>12</v>
      </c>
      <c r="D733" t="s">
        <v>30</v>
      </c>
      <c r="E733" t="s">
        <v>5</v>
      </c>
      <c r="F733" t="s">
        <v>101</v>
      </c>
      <c r="G733">
        <v>254</v>
      </c>
      <c r="H733" t="s">
        <v>102</v>
      </c>
      <c r="I733" t="s">
        <v>160</v>
      </c>
      <c r="J733" t="s">
        <v>157</v>
      </c>
      <c r="K733">
        <v>1170</v>
      </c>
      <c r="L733">
        <v>117004</v>
      </c>
      <c r="M733" t="s">
        <v>189</v>
      </c>
      <c r="N733" s="98">
        <v>0</v>
      </c>
      <c r="O733" s="98">
        <v>0</v>
      </c>
      <c r="P733" s="98">
        <v>0</v>
      </c>
      <c r="Q733" s="98">
        <v>0</v>
      </c>
    </row>
    <row r="734" spans="1:17" x14ac:dyDescent="0.35">
      <c r="A734" t="s">
        <v>98</v>
      </c>
      <c r="B734" t="s">
        <v>99</v>
      </c>
      <c r="C734">
        <v>1</v>
      </c>
      <c r="D734" t="s">
        <v>23</v>
      </c>
      <c r="E734" t="s">
        <v>100</v>
      </c>
      <c r="F734" t="s">
        <v>101</v>
      </c>
      <c r="G734">
        <v>254</v>
      </c>
      <c r="H734" t="s">
        <v>102</v>
      </c>
      <c r="I734" t="s">
        <v>160</v>
      </c>
      <c r="J734" t="s">
        <v>157</v>
      </c>
      <c r="K734">
        <v>1170</v>
      </c>
      <c r="L734">
        <v>117030</v>
      </c>
      <c r="M734" t="s">
        <v>190</v>
      </c>
      <c r="N734" s="98">
        <v>858</v>
      </c>
      <c r="O734" s="98">
        <v>2250</v>
      </c>
      <c r="P734" s="98">
        <v>-1392</v>
      </c>
      <c r="Q734" s="98">
        <v>1392</v>
      </c>
    </row>
    <row r="735" spans="1:17" x14ac:dyDescent="0.35">
      <c r="A735" t="s">
        <v>106</v>
      </c>
      <c r="B735" t="s">
        <v>107</v>
      </c>
      <c r="C735">
        <v>2</v>
      </c>
      <c r="D735" t="s">
        <v>23</v>
      </c>
      <c r="E735" t="s">
        <v>100</v>
      </c>
      <c r="F735" t="s">
        <v>101</v>
      </c>
      <c r="G735">
        <v>254</v>
      </c>
      <c r="H735" t="s">
        <v>102</v>
      </c>
      <c r="I735" t="s">
        <v>160</v>
      </c>
      <c r="J735" t="s">
        <v>157</v>
      </c>
      <c r="K735">
        <v>1170</v>
      </c>
      <c r="L735">
        <v>117030</v>
      </c>
      <c r="M735" t="s">
        <v>190</v>
      </c>
      <c r="N735" s="98">
        <v>858</v>
      </c>
      <c r="O735" s="98">
        <v>1250</v>
      </c>
      <c r="P735" s="98">
        <v>-392</v>
      </c>
      <c r="Q735" s="98">
        <v>392</v>
      </c>
    </row>
    <row r="736" spans="1:17" x14ac:dyDescent="0.35">
      <c r="A736" t="s">
        <v>108</v>
      </c>
      <c r="B736" t="s">
        <v>109</v>
      </c>
      <c r="C736">
        <v>3</v>
      </c>
      <c r="D736" t="s">
        <v>23</v>
      </c>
      <c r="E736" t="s">
        <v>100</v>
      </c>
      <c r="F736" t="s">
        <v>101</v>
      </c>
      <c r="G736">
        <v>254</v>
      </c>
      <c r="H736" t="s">
        <v>102</v>
      </c>
      <c r="I736" t="s">
        <v>160</v>
      </c>
      <c r="J736" t="s">
        <v>157</v>
      </c>
      <c r="K736">
        <v>1170</v>
      </c>
      <c r="L736">
        <v>117030</v>
      </c>
      <c r="M736" t="s">
        <v>190</v>
      </c>
      <c r="N736" s="98">
        <v>858</v>
      </c>
      <c r="O736" s="98">
        <v>1739.5</v>
      </c>
      <c r="P736" s="98">
        <v>-881.5</v>
      </c>
      <c r="Q736" s="98">
        <v>881.5</v>
      </c>
    </row>
    <row r="737" spans="1:17" x14ac:dyDescent="0.35">
      <c r="A737" t="s">
        <v>110</v>
      </c>
      <c r="B737" t="s">
        <v>111</v>
      </c>
      <c r="C737">
        <v>4</v>
      </c>
      <c r="D737" t="s">
        <v>23</v>
      </c>
      <c r="E737" t="s">
        <v>100</v>
      </c>
      <c r="F737" t="s">
        <v>101</v>
      </c>
      <c r="G737">
        <v>254</v>
      </c>
      <c r="H737" t="s">
        <v>102</v>
      </c>
      <c r="I737" t="s">
        <v>160</v>
      </c>
      <c r="J737" t="s">
        <v>157</v>
      </c>
      <c r="K737">
        <v>1170</v>
      </c>
      <c r="L737">
        <v>117030</v>
      </c>
      <c r="M737" t="s">
        <v>190</v>
      </c>
      <c r="N737" s="98">
        <v>858</v>
      </c>
      <c r="O737" s="98">
        <v>1250</v>
      </c>
      <c r="P737" s="98">
        <v>-392</v>
      </c>
      <c r="Q737" s="98">
        <v>392</v>
      </c>
    </row>
    <row r="738" spans="1:17" x14ac:dyDescent="0.35">
      <c r="A738" t="s">
        <v>112</v>
      </c>
      <c r="B738" t="s">
        <v>113</v>
      </c>
      <c r="C738">
        <v>5</v>
      </c>
      <c r="D738" t="s">
        <v>27</v>
      </c>
      <c r="E738" t="s">
        <v>100</v>
      </c>
      <c r="F738" t="s">
        <v>101</v>
      </c>
      <c r="G738">
        <v>254</v>
      </c>
      <c r="H738" t="s">
        <v>102</v>
      </c>
      <c r="I738" t="s">
        <v>160</v>
      </c>
      <c r="J738" t="s">
        <v>157</v>
      </c>
      <c r="K738">
        <v>1170</v>
      </c>
      <c r="L738">
        <v>117030</v>
      </c>
      <c r="M738" t="s">
        <v>190</v>
      </c>
      <c r="N738" s="98">
        <v>858</v>
      </c>
      <c r="O738" s="98">
        <v>1250</v>
      </c>
      <c r="P738" s="98">
        <v>-392</v>
      </c>
      <c r="Q738" s="98">
        <v>392</v>
      </c>
    </row>
    <row r="739" spans="1:17" x14ac:dyDescent="0.35">
      <c r="A739" t="s">
        <v>114</v>
      </c>
      <c r="B739" t="s">
        <v>115</v>
      </c>
      <c r="C739">
        <v>6</v>
      </c>
      <c r="D739" t="s">
        <v>27</v>
      </c>
      <c r="E739" t="s">
        <v>100</v>
      </c>
      <c r="F739" t="s">
        <v>101</v>
      </c>
      <c r="G739">
        <v>254</v>
      </c>
      <c r="H739" t="s">
        <v>102</v>
      </c>
      <c r="I739" t="s">
        <v>160</v>
      </c>
      <c r="J739" t="s">
        <v>157</v>
      </c>
      <c r="K739">
        <v>1170</v>
      </c>
      <c r="L739">
        <v>117030</v>
      </c>
      <c r="M739" t="s">
        <v>190</v>
      </c>
      <c r="N739" s="98">
        <v>858</v>
      </c>
      <c r="O739" s="98">
        <v>26317.58</v>
      </c>
      <c r="P739" s="98">
        <v>-25459.58</v>
      </c>
      <c r="Q739" s="98">
        <v>25459.58</v>
      </c>
    </row>
    <row r="740" spans="1:17" x14ac:dyDescent="0.35">
      <c r="A740" t="s">
        <v>116</v>
      </c>
      <c r="B740" t="s">
        <v>117</v>
      </c>
      <c r="C740">
        <v>7</v>
      </c>
      <c r="D740" t="s">
        <v>27</v>
      </c>
      <c r="E740" t="s">
        <v>100</v>
      </c>
      <c r="F740" t="s">
        <v>101</v>
      </c>
      <c r="G740">
        <v>254</v>
      </c>
      <c r="H740" t="s">
        <v>102</v>
      </c>
      <c r="I740" t="s">
        <v>160</v>
      </c>
      <c r="J740" t="s">
        <v>157</v>
      </c>
      <c r="K740">
        <v>1170</v>
      </c>
      <c r="L740">
        <v>117030</v>
      </c>
      <c r="M740" t="s">
        <v>190</v>
      </c>
      <c r="N740" s="98">
        <v>858</v>
      </c>
      <c r="O740" s="98">
        <v>2175.64</v>
      </c>
      <c r="P740" s="98">
        <v>-1317.64</v>
      </c>
      <c r="Q740" s="98">
        <v>1317.64</v>
      </c>
    </row>
    <row r="741" spans="1:17" x14ac:dyDescent="0.35">
      <c r="A741" t="s">
        <v>118</v>
      </c>
      <c r="B741" t="s">
        <v>119</v>
      </c>
      <c r="C741">
        <v>8</v>
      </c>
      <c r="D741" t="s">
        <v>27</v>
      </c>
      <c r="E741" t="s">
        <v>100</v>
      </c>
      <c r="F741" t="s">
        <v>101</v>
      </c>
      <c r="G741">
        <v>254</v>
      </c>
      <c r="H741" t="s">
        <v>102</v>
      </c>
      <c r="I741" t="s">
        <v>160</v>
      </c>
      <c r="J741" t="s">
        <v>157</v>
      </c>
      <c r="K741">
        <v>1170</v>
      </c>
      <c r="L741">
        <v>117030</v>
      </c>
      <c r="M741" t="s">
        <v>190</v>
      </c>
      <c r="N741" s="98">
        <v>858</v>
      </c>
      <c r="O741" s="98">
        <v>3317</v>
      </c>
      <c r="P741" s="98">
        <v>-2459</v>
      </c>
      <c r="Q741" s="98">
        <v>2459</v>
      </c>
    </row>
    <row r="742" spans="1:17" x14ac:dyDescent="0.35">
      <c r="A742" t="s">
        <v>120</v>
      </c>
      <c r="B742" t="s">
        <v>121</v>
      </c>
      <c r="C742">
        <v>9</v>
      </c>
      <c r="D742" t="s">
        <v>30</v>
      </c>
      <c r="E742" t="s">
        <v>5</v>
      </c>
      <c r="F742" t="s">
        <v>101</v>
      </c>
      <c r="G742">
        <v>254</v>
      </c>
      <c r="H742" t="s">
        <v>102</v>
      </c>
      <c r="I742" t="s">
        <v>160</v>
      </c>
      <c r="J742" t="s">
        <v>157</v>
      </c>
      <c r="K742">
        <v>1170</v>
      </c>
      <c r="L742">
        <v>117030</v>
      </c>
      <c r="M742" t="s">
        <v>190</v>
      </c>
      <c r="N742" s="98">
        <v>858</v>
      </c>
      <c r="O742" s="98">
        <v>0</v>
      </c>
      <c r="P742" s="98">
        <v>0</v>
      </c>
      <c r="Q742" s="98">
        <v>-858</v>
      </c>
    </row>
    <row r="743" spans="1:17" x14ac:dyDescent="0.35">
      <c r="A743" t="s">
        <v>122</v>
      </c>
      <c r="B743" t="s">
        <v>123</v>
      </c>
      <c r="C743">
        <v>10</v>
      </c>
      <c r="D743" t="s">
        <v>30</v>
      </c>
      <c r="E743" t="s">
        <v>5</v>
      </c>
      <c r="F743" t="s">
        <v>101</v>
      </c>
      <c r="G743">
        <v>254</v>
      </c>
      <c r="H743" t="s">
        <v>102</v>
      </c>
      <c r="I743" t="s">
        <v>160</v>
      </c>
      <c r="J743" t="s">
        <v>157</v>
      </c>
      <c r="K743">
        <v>1170</v>
      </c>
      <c r="L743">
        <v>117030</v>
      </c>
      <c r="M743" t="s">
        <v>190</v>
      </c>
      <c r="N743" s="98">
        <v>858</v>
      </c>
      <c r="O743" s="98">
        <v>0</v>
      </c>
      <c r="P743" s="98">
        <v>0</v>
      </c>
      <c r="Q743" s="98">
        <v>-858</v>
      </c>
    </row>
    <row r="744" spans="1:17" x14ac:dyDescent="0.35">
      <c r="A744" t="s">
        <v>124</v>
      </c>
      <c r="B744" t="s">
        <v>125</v>
      </c>
      <c r="C744">
        <v>11</v>
      </c>
      <c r="D744" t="s">
        <v>30</v>
      </c>
      <c r="E744" t="s">
        <v>5</v>
      </c>
      <c r="F744" t="s">
        <v>101</v>
      </c>
      <c r="G744">
        <v>254</v>
      </c>
      <c r="H744" t="s">
        <v>102</v>
      </c>
      <c r="I744" t="s">
        <v>160</v>
      </c>
      <c r="J744" t="s">
        <v>157</v>
      </c>
      <c r="K744">
        <v>1170</v>
      </c>
      <c r="L744">
        <v>117030</v>
      </c>
      <c r="M744" t="s">
        <v>190</v>
      </c>
      <c r="N744" s="98">
        <v>858</v>
      </c>
      <c r="O744" s="98">
        <v>0</v>
      </c>
      <c r="P744" s="98">
        <v>0</v>
      </c>
      <c r="Q744" s="98">
        <v>-858</v>
      </c>
    </row>
    <row r="745" spans="1:17" x14ac:dyDescent="0.35">
      <c r="A745" t="s">
        <v>126</v>
      </c>
      <c r="B745" t="s">
        <v>127</v>
      </c>
      <c r="C745">
        <v>12</v>
      </c>
      <c r="D745" t="s">
        <v>30</v>
      </c>
      <c r="E745" t="s">
        <v>5</v>
      </c>
      <c r="F745" t="s">
        <v>101</v>
      </c>
      <c r="G745">
        <v>254</v>
      </c>
      <c r="H745" t="s">
        <v>102</v>
      </c>
      <c r="I745" t="s">
        <v>160</v>
      </c>
      <c r="J745" t="s">
        <v>157</v>
      </c>
      <c r="K745">
        <v>1170</v>
      </c>
      <c r="L745">
        <v>117030</v>
      </c>
      <c r="M745" t="s">
        <v>190</v>
      </c>
      <c r="N745" s="98">
        <v>562</v>
      </c>
      <c r="O745" s="98">
        <v>0</v>
      </c>
      <c r="P745" s="98">
        <v>0</v>
      </c>
      <c r="Q745" s="98">
        <v>-562</v>
      </c>
    </row>
    <row r="746" spans="1:17" x14ac:dyDescent="0.35">
      <c r="A746" t="s">
        <v>98</v>
      </c>
      <c r="B746" t="s">
        <v>99</v>
      </c>
      <c r="C746">
        <v>1</v>
      </c>
      <c r="D746" t="s">
        <v>23</v>
      </c>
      <c r="E746" t="s">
        <v>100</v>
      </c>
      <c r="F746" t="s">
        <v>101</v>
      </c>
      <c r="G746">
        <v>254</v>
      </c>
      <c r="H746" t="s">
        <v>102</v>
      </c>
      <c r="I746" t="s">
        <v>160</v>
      </c>
      <c r="J746" t="s">
        <v>157</v>
      </c>
      <c r="K746">
        <v>1170</v>
      </c>
      <c r="L746">
        <v>117040</v>
      </c>
      <c r="M746" t="s">
        <v>191</v>
      </c>
      <c r="N746" s="98">
        <v>0</v>
      </c>
      <c r="O746" s="98">
        <v>0</v>
      </c>
      <c r="P746" s="98">
        <v>0</v>
      </c>
      <c r="Q746" s="98">
        <v>0</v>
      </c>
    </row>
    <row r="747" spans="1:17" x14ac:dyDescent="0.35">
      <c r="A747" t="s">
        <v>106</v>
      </c>
      <c r="B747" t="s">
        <v>107</v>
      </c>
      <c r="C747">
        <v>2</v>
      </c>
      <c r="D747" t="s">
        <v>23</v>
      </c>
      <c r="E747" t="s">
        <v>100</v>
      </c>
      <c r="F747" t="s">
        <v>101</v>
      </c>
      <c r="G747">
        <v>254</v>
      </c>
      <c r="H747" t="s">
        <v>102</v>
      </c>
      <c r="I747" t="s">
        <v>160</v>
      </c>
      <c r="J747" t="s">
        <v>157</v>
      </c>
      <c r="K747">
        <v>1170</v>
      </c>
      <c r="L747">
        <v>117040</v>
      </c>
      <c r="M747" t="s">
        <v>191</v>
      </c>
      <c r="N747" s="98">
        <v>0</v>
      </c>
      <c r="O747" s="98">
        <v>0</v>
      </c>
      <c r="P747" s="98">
        <v>0</v>
      </c>
      <c r="Q747" s="98">
        <v>0</v>
      </c>
    </row>
    <row r="748" spans="1:17" x14ac:dyDescent="0.35">
      <c r="A748" t="s">
        <v>108</v>
      </c>
      <c r="B748" t="s">
        <v>109</v>
      </c>
      <c r="C748">
        <v>3</v>
      </c>
      <c r="D748" t="s">
        <v>23</v>
      </c>
      <c r="E748" t="s">
        <v>100</v>
      </c>
      <c r="F748" t="s">
        <v>101</v>
      </c>
      <c r="G748">
        <v>254</v>
      </c>
      <c r="H748" t="s">
        <v>102</v>
      </c>
      <c r="I748" t="s">
        <v>160</v>
      </c>
      <c r="J748" t="s">
        <v>157</v>
      </c>
      <c r="K748">
        <v>1170</v>
      </c>
      <c r="L748">
        <v>117040</v>
      </c>
      <c r="M748" t="s">
        <v>191</v>
      </c>
      <c r="N748" s="98">
        <v>0</v>
      </c>
      <c r="O748" s="98">
        <v>0</v>
      </c>
      <c r="P748" s="98">
        <v>0</v>
      </c>
      <c r="Q748" s="98">
        <v>0</v>
      </c>
    </row>
    <row r="749" spans="1:17" x14ac:dyDescent="0.35">
      <c r="A749" t="s">
        <v>110</v>
      </c>
      <c r="B749" t="s">
        <v>111</v>
      </c>
      <c r="C749">
        <v>4</v>
      </c>
      <c r="D749" t="s">
        <v>23</v>
      </c>
      <c r="E749" t="s">
        <v>100</v>
      </c>
      <c r="F749" t="s">
        <v>101</v>
      </c>
      <c r="G749">
        <v>254</v>
      </c>
      <c r="H749" t="s">
        <v>102</v>
      </c>
      <c r="I749" t="s">
        <v>160</v>
      </c>
      <c r="J749" t="s">
        <v>157</v>
      </c>
      <c r="K749">
        <v>1170</v>
      </c>
      <c r="L749">
        <v>117040</v>
      </c>
      <c r="M749" t="s">
        <v>191</v>
      </c>
      <c r="N749" s="98">
        <v>0</v>
      </c>
      <c r="O749" s="98">
        <v>0</v>
      </c>
      <c r="P749" s="98">
        <v>0</v>
      </c>
      <c r="Q749" s="98">
        <v>0</v>
      </c>
    </row>
    <row r="750" spans="1:17" x14ac:dyDescent="0.35">
      <c r="A750" t="s">
        <v>112</v>
      </c>
      <c r="B750" t="s">
        <v>113</v>
      </c>
      <c r="C750">
        <v>5</v>
      </c>
      <c r="D750" t="s">
        <v>27</v>
      </c>
      <c r="E750" t="s">
        <v>100</v>
      </c>
      <c r="F750" t="s">
        <v>101</v>
      </c>
      <c r="G750">
        <v>254</v>
      </c>
      <c r="H750" t="s">
        <v>102</v>
      </c>
      <c r="I750" t="s">
        <v>160</v>
      </c>
      <c r="J750" t="s">
        <v>157</v>
      </c>
      <c r="K750">
        <v>1170</v>
      </c>
      <c r="L750">
        <v>117040</v>
      </c>
      <c r="M750" t="s">
        <v>191</v>
      </c>
      <c r="N750" s="98">
        <v>0</v>
      </c>
      <c r="O750" s="98">
        <v>0</v>
      </c>
      <c r="P750" s="98">
        <v>0</v>
      </c>
      <c r="Q750" s="98">
        <v>0</v>
      </c>
    </row>
    <row r="751" spans="1:17" x14ac:dyDescent="0.35">
      <c r="A751" t="s">
        <v>114</v>
      </c>
      <c r="B751" t="s">
        <v>115</v>
      </c>
      <c r="C751">
        <v>6</v>
      </c>
      <c r="D751" t="s">
        <v>27</v>
      </c>
      <c r="E751" t="s">
        <v>100</v>
      </c>
      <c r="F751" t="s">
        <v>101</v>
      </c>
      <c r="G751">
        <v>254</v>
      </c>
      <c r="H751" t="s">
        <v>102</v>
      </c>
      <c r="I751" t="s">
        <v>160</v>
      </c>
      <c r="J751" t="s">
        <v>157</v>
      </c>
      <c r="K751">
        <v>1170</v>
      </c>
      <c r="L751">
        <v>117040</v>
      </c>
      <c r="M751" t="s">
        <v>191</v>
      </c>
      <c r="N751" s="98">
        <v>0</v>
      </c>
      <c r="O751" s="98">
        <v>0</v>
      </c>
      <c r="P751" s="98">
        <v>0</v>
      </c>
      <c r="Q751" s="98">
        <v>0</v>
      </c>
    </row>
    <row r="752" spans="1:17" x14ac:dyDescent="0.35">
      <c r="A752" t="s">
        <v>116</v>
      </c>
      <c r="B752" t="s">
        <v>117</v>
      </c>
      <c r="C752">
        <v>7</v>
      </c>
      <c r="D752" t="s">
        <v>27</v>
      </c>
      <c r="E752" t="s">
        <v>100</v>
      </c>
      <c r="F752" t="s">
        <v>101</v>
      </c>
      <c r="G752">
        <v>254</v>
      </c>
      <c r="H752" t="s">
        <v>102</v>
      </c>
      <c r="I752" t="s">
        <v>160</v>
      </c>
      <c r="J752" t="s">
        <v>157</v>
      </c>
      <c r="K752">
        <v>1170</v>
      </c>
      <c r="L752">
        <v>117040</v>
      </c>
      <c r="M752" t="s">
        <v>191</v>
      </c>
      <c r="N752" s="98">
        <v>0</v>
      </c>
      <c r="O752" s="98">
        <v>0</v>
      </c>
      <c r="P752" s="98">
        <v>0</v>
      </c>
      <c r="Q752" s="98">
        <v>0</v>
      </c>
    </row>
    <row r="753" spans="1:17" x14ac:dyDescent="0.35">
      <c r="A753" t="s">
        <v>118</v>
      </c>
      <c r="B753" t="s">
        <v>119</v>
      </c>
      <c r="C753">
        <v>8</v>
      </c>
      <c r="D753" t="s">
        <v>27</v>
      </c>
      <c r="E753" t="s">
        <v>100</v>
      </c>
      <c r="F753" t="s">
        <v>101</v>
      </c>
      <c r="G753">
        <v>254</v>
      </c>
      <c r="H753" t="s">
        <v>102</v>
      </c>
      <c r="I753" t="s">
        <v>160</v>
      </c>
      <c r="J753" t="s">
        <v>157</v>
      </c>
      <c r="K753">
        <v>1170</v>
      </c>
      <c r="L753">
        <v>117040</v>
      </c>
      <c r="M753" t="s">
        <v>191</v>
      </c>
      <c r="N753" s="98">
        <v>0</v>
      </c>
      <c r="O753" s="98">
        <v>0</v>
      </c>
      <c r="P753" s="98">
        <v>0</v>
      </c>
      <c r="Q753" s="98">
        <v>0</v>
      </c>
    </row>
    <row r="754" spans="1:17" x14ac:dyDescent="0.35">
      <c r="A754" t="s">
        <v>120</v>
      </c>
      <c r="B754" t="s">
        <v>121</v>
      </c>
      <c r="C754">
        <v>9</v>
      </c>
      <c r="D754" t="s">
        <v>30</v>
      </c>
      <c r="E754" t="s">
        <v>5</v>
      </c>
      <c r="F754" t="s">
        <v>101</v>
      </c>
      <c r="G754">
        <v>254</v>
      </c>
      <c r="H754" t="s">
        <v>102</v>
      </c>
      <c r="I754" t="s">
        <v>160</v>
      </c>
      <c r="J754" t="s">
        <v>157</v>
      </c>
      <c r="K754">
        <v>1170</v>
      </c>
      <c r="L754">
        <v>117040</v>
      </c>
      <c r="M754" t="s">
        <v>191</v>
      </c>
      <c r="N754" s="98">
        <v>0</v>
      </c>
      <c r="O754" s="98">
        <v>0</v>
      </c>
      <c r="P754" s="98">
        <v>0</v>
      </c>
      <c r="Q754" s="98">
        <v>0</v>
      </c>
    </row>
    <row r="755" spans="1:17" x14ac:dyDescent="0.35">
      <c r="A755" t="s">
        <v>122</v>
      </c>
      <c r="B755" t="s">
        <v>123</v>
      </c>
      <c r="C755">
        <v>10</v>
      </c>
      <c r="D755" t="s">
        <v>30</v>
      </c>
      <c r="E755" t="s">
        <v>5</v>
      </c>
      <c r="F755" t="s">
        <v>101</v>
      </c>
      <c r="G755">
        <v>254</v>
      </c>
      <c r="H755" t="s">
        <v>102</v>
      </c>
      <c r="I755" t="s">
        <v>160</v>
      </c>
      <c r="J755" t="s">
        <v>157</v>
      </c>
      <c r="K755">
        <v>1170</v>
      </c>
      <c r="L755">
        <v>117040</v>
      </c>
      <c r="M755" t="s">
        <v>191</v>
      </c>
      <c r="N755" s="98">
        <v>0</v>
      </c>
      <c r="O755" s="98">
        <v>0</v>
      </c>
      <c r="P755" s="98">
        <v>0</v>
      </c>
      <c r="Q755" s="98">
        <v>0</v>
      </c>
    </row>
    <row r="756" spans="1:17" x14ac:dyDescent="0.35">
      <c r="A756" t="s">
        <v>124</v>
      </c>
      <c r="B756" t="s">
        <v>125</v>
      </c>
      <c r="C756">
        <v>11</v>
      </c>
      <c r="D756" t="s">
        <v>30</v>
      </c>
      <c r="E756" t="s">
        <v>5</v>
      </c>
      <c r="F756" t="s">
        <v>101</v>
      </c>
      <c r="G756">
        <v>254</v>
      </c>
      <c r="H756" t="s">
        <v>102</v>
      </c>
      <c r="I756" t="s">
        <v>160</v>
      </c>
      <c r="J756" t="s">
        <v>157</v>
      </c>
      <c r="K756">
        <v>1170</v>
      </c>
      <c r="L756">
        <v>117040</v>
      </c>
      <c r="M756" t="s">
        <v>191</v>
      </c>
      <c r="N756" s="98">
        <v>0</v>
      </c>
      <c r="O756" s="98">
        <v>0</v>
      </c>
      <c r="P756" s="98">
        <v>0</v>
      </c>
      <c r="Q756" s="98">
        <v>0</v>
      </c>
    </row>
    <row r="757" spans="1:17" x14ac:dyDescent="0.35">
      <c r="A757" t="s">
        <v>126</v>
      </c>
      <c r="B757" t="s">
        <v>127</v>
      </c>
      <c r="C757">
        <v>12</v>
      </c>
      <c r="D757" t="s">
        <v>30</v>
      </c>
      <c r="E757" t="s">
        <v>5</v>
      </c>
      <c r="F757" t="s">
        <v>101</v>
      </c>
      <c r="G757">
        <v>254</v>
      </c>
      <c r="H757" t="s">
        <v>102</v>
      </c>
      <c r="I757" t="s">
        <v>160</v>
      </c>
      <c r="J757" t="s">
        <v>157</v>
      </c>
      <c r="K757">
        <v>1170</v>
      </c>
      <c r="L757">
        <v>117040</v>
      </c>
      <c r="M757" t="s">
        <v>191</v>
      </c>
      <c r="N757" s="98">
        <v>0</v>
      </c>
      <c r="O757" s="98">
        <v>0</v>
      </c>
      <c r="P757" s="98">
        <v>0</v>
      </c>
      <c r="Q757" s="98">
        <v>0</v>
      </c>
    </row>
    <row r="758" spans="1:17" x14ac:dyDescent="0.35">
      <c r="A758" t="s">
        <v>98</v>
      </c>
      <c r="B758" t="s">
        <v>99</v>
      </c>
      <c r="C758">
        <v>1</v>
      </c>
      <c r="D758" t="s">
        <v>23</v>
      </c>
      <c r="E758" t="s">
        <v>100</v>
      </c>
      <c r="F758" t="s">
        <v>101</v>
      </c>
      <c r="G758">
        <v>254</v>
      </c>
      <c r="H758" t="s">
        <v>102</v>
      </c>
      <c r="I758" t="s">
        <v>160</v>
      </c>
      <c r="J758" t="s">
        <v>157</v>
      </c>
      <c r="K758">
        <v>1195</v>
      </c>
      <c r="L758">
        <v>119520</v>
      </c>
      <c r="M758" t="s">
        <v>192</v>
      </c>
      <c r="N758" s="98">
        <v>850</v>
      </c>
      <c r="O758" s="98">
        <v>0</v>
      </c>
      <c r="P758" s="98">
        <v>850</v>
      </c>
      <c r="Q758" s="98">
        <v>-850</v>
      </c>
    </row>
    <row r="759" spans="1:17" x14ac:dyDescent="0.35">
      <c r="A759" t="s">
        <v>106</v>
      </c>
      <c r="B759" t="s">
        <v>107</v>
      </c>
      <c r="C759">
        <v>2</v>
      </c>
      <c r="D759" t="s">
        <v>23</v>
      </c>
      <c r="E759" t="s">
        <v>100</v>
      </c>
      <c r="F759" t="s">
        <v>101</v>
      </c>
      <c r="G759">
        <v>254</v>
      </c>
      <c r="H759" t="s">
        <v>102</v>
      </c>
      <c r="I759" t="s">
        <v>160</v>
      </c>
      <c r="J759" t="s">
        <v>157</v>
      </c>
      <c r="K759">
        <v>1195</v>
      </c>
      <c r="L759">
        <v>119520</v>
      </c>
      <c r="M759" t="s">
        <v>192</v>
      </c>
      <c r="N759" s="98">
        <v>850</v>
      </c>
      <c r="O759" s="98">
        <v>0</v>
      </c>
      <c r="P759" s="98">
        <v>850</v>
      </c>
      <c r="Q759" s="98">
        <v>-850</v>
      </c>
    </row>
    <row r="760" spans="1:17" x14ac:dyDescent="0.35">
      <c r="A760" t="s">
        <v>108</v>
      </c>
      <c r="B760" t="s">
        <v>109</v>
      </c>
      <c r="C760">
        <v>3</v>
      </c>
      <c r="D760" t="s">
        <v>23</v>
      </c>
      <c r="E760" t="s">
        <v>100</v>
      </c>
      <c r="F760" t="s">
        <v>101</v>
      </c>
      <c r="G760">
        <v>254</v>
      </c>
      <c r="H760" t="s">
        <v>102</v>
      </c>
      <c r="I760" t="s">
        <v>160</v>
      </c>
      <c r="J760" t="s">
        <v>157</v>
      </c>
      <c r="K760">
        <v>1195</v>
      </c>
      <c r="L760">
        <v>119520</v>
      </c>
      <c r="M760" t="s">
        <v>192</v>
      </c>
      <c r="N760" s="98">
        <v>850</v>
      </c>
      <c r="O760" s="98">
        <v>0</v>
      </c>
      <c r="P760" s="98">
        <v>850</v>
      </c>
      <c r="Q760" s="98">
        <v>-850</v>
      </c>
    </row>
    <row r="761" spans="1:17" x14ac:dyDescent="0.35">
      <c r="A761" t="s">
        <v>110</v>
      </c>
      <c r="B761" t="s">
        <v>111</v>
      </c>
      <c r="C761">
        <v>4</v>
      </c>
      <c r="D761" t="s">
        <v>23</v>
      </c>
      <c r="E761" t="s">
        <v>100</v>
      </c>
      <c r="F761" t="s">
        <v>101</v>
      </c>
      <c r="G761">
        <v>254</v>
      </c>
      <c r="H761" t="s">
        <v>102</v>
      </c>
      <c r="I761" t="s">
        <v>160</v>
      </c>
      <c r="J761" t="s">
        <v>157</v>
      </c>
      <c r="K761">
        <v>1195</v>
      </c>
      <c r="L761">
        <v>119520</v>
      </c>
      <c r="M761" t="s">
        <v>192</v>
      </c>
      <c r="N761" s="98">
        <v>850</v>
      </c>
      <c r="O761" s="98">
        <v>0</v>
      </c>
      <c r="P761" s="98">
        <v>850</v>
      </c>
      <c r="Q761" s="98">
        <v>-850</v>
      </c>
    </row>
    <row r="762" spans="1:17" x14ac:dyDescent="0.35">
      <c r="A762" t="s">
        <v>112</v>
      </c>
      <c r="B762" t="s">
        <v>113</v>
      </c>
      <c r="C762">
        <v>5</v>
      </c>
      <c r="D762" t="s">
        <v>27</v>
      </c>
      <c r="E762" t="s">
        <v>100</v>
      </c>
      <c r="F762" t="s">
        <v>101</v>
      </c>
      <c r="G762">
        <v>254</v>
      </c>
      <c r="H762" t="s">
        <v>102</v>
      </c>
      <c r="I762" t="s">
        <v>160</v>
      </c>
      <c r="J762" t="s">
        <v>157</v>
      </c>
      <c r="K762">
        <v>1195</v>
      </c>
      <c r="L762">
        <v>119520</v>
      </c>
      <c r="M762" t="s">
        <v>192</v>
      </c>
      <c r="N762" s="98">
        <v>850</v>
      </c>
      <c r="O762" s="98">
        <v>0</v>
      </c>
      <c r="P762" s="98">
        <v>850</v>
      </c>
      <c r="Q762" s="98">
        <v>-850</v>
      </c>
    </row>
    <row r="763" spans="1:17" x14ac:dyDescent="0.35">
      <c r="A763" t="s">
        <v>114</v>
      </c>
      <c r="B763" t="s">
        <v>115</v>
      </c>
      <c r="C763">
        <v>6</v>
      </c>
      <c r="D763" t="s">
        <v>27</v>
      </c>
      <c r="E763" t="s">
        <v>100</v>
      </c>
      <c r="F763" t="s">
        <v>101</v>
      </c>
      <c r="G763">
        <v>254</v>
      </c>
      <c r="H763" t="s">
        <v>102</v>
      </c>
      <c r="I763" t="s">
        <v>160</v>
      </c>
      <c r="J763" t="s">
        <v>157</v>
      </c>
      <c r="K763">
        <v>1195</v>
      </c>
      <c r="L763">
        <v>119520</v>
      </c>
      <c r="M763" t="s">
        <v>192</v>
      </c>
      <c r="N763" s="98">
        <v>850</v>
      </c>
      <c r="O763" s="98">
        <v>0</v>
      </c>
      <c r="P763" s="98">
        <v>850</v>
      </c>
      <c r="Q763" s="98">
        <v>-850</v>
      </c>
    </row>
    <row r="764" spans="1:17" x14ac:dyDescent="0.35">
      <c r="A764" t="s">
        <v>116</v>
      </c>
      <c r="B764" t="s">
        <v>117</v>
      </c>
      <c r="C764">
        <v>7</v>
      </c>
      <c r="D764" t="s">
        <v>27</v>
      </c>
      <c r="E764" t="s">
        <v>100</v>
      </c>
      <c r="F764" t="s">
        <v>101</v>
      </c>
      <c r="G764">
        <v>254</v>
      </c>
      <c r="H764" t="s">
        <v>102</v>
      </c>
      <c r="I764" t="s">
        <v>160</v>
      </c>
      <c r="J764" t="s">
        <v>157</v>
      </c>
      <c r="K764">
        <v>1195</v>
      </c>
      <c r="L764">
        <v>119520</v>
      </c>
      <c r="M764" t="s">
        <v>192</v>
      </c>
      <c r="N764" s="98">
        <v>850</v>
      </c>
      <c r="O764" s="98">
        <v>0</v>
      </c>
      <c r="P764" s="98">
        <v>850</v>
      </c>
      <c r="Q764" s="98">
        <v>-850</v>
      </c>
    </row>
    <row r="765" spans="1:17" x14ac:dyDescent="0.35">
      <c r="A765" t="s">
        <v>118</v>
      </c>
      <c r="B765" t="s">
        <v>119</v>
      </c>
      <c r="C765">
        <v>8</v>
      </c>
      <c r="D765" t="s">
        <v>27</v>
      </c>
      <c r="E765" t="s">
        <v>100</v>
      </c>
      <c r="F765" t="s">
        <v>101</v>
      </c>
      <c r="G765">
        <v>254</v>
      </c>
      <c r="H765" t="s">
        <v>102</v>
      </c>
      <c r="I765" t="s">
        <v>160</v>
      </c>
      <c r="J765" t="s">
        <v>157</v>
      </c>
      <c r="K765">
        <v>1195</v>
      </c>
      <c r="L765">
        <v>119520</v>
      </c>
      <c r="M765" t="s">
        <v>192</v>
      </c>
      <c r="N765" s="98">
        <v>850</v>
      </c>
      <c r="O765" s="98">
        <v>0</v>
      </c>
      <c r="P765" s="98">
        <v>850</v>
      </c>
      <c r="Q765" s="98">
        <v>-850</v>
      </c>
    </row>
    <row r="766" spans="1:17" x14ac:dyDescent="0.35">
      <c r="A766" t="s">
        <v>120</v>
      </c>
      <c r="B766" t="s">
        <v>121</v>
      </c>
      <c r="C766">
        <v>9</v>
      </c>
      <c r="D766" t="s">
        <v>30</v>
      </c>
      <c r="E766" t="s">
        <v>5</v>
      </c>
      <c r="F766" t="s">
        <v>101</v>
      </c>
      <c r="G766">
        <v>254</v>
      </c>
      <c r="H766" t="s">
        <v>102</v>
      </c>
      <c r="I766" t="s">
        <v>160</v>
      </c>
      <c r="J766" t="s">
        <v>157</v>
      </c>
      <c r="K766">
        <v>1195</v>
      </c>
      <c r="L766">
        <v>119520</v>
      </c>
      <c r="M766" t="s">
        <v>192</v>
      </c>
      <c r="N766" s="98">
        <v>850</v>
      </c>
      <c r="O766" s="98">
        <v>0</v>
      </c>
      <c r="P766" s="98">
        <v>0</v>
      </c>
      <c r="Q766" s="98">
        <v>-850</v>
      </c>
    </row>
    <row r="767" spans="1:17" x14ac:dyDescent="0.35">
      <c r="A767" t="s">
        <v>122</v>
      </c>
      <c r="B767" t="s">
        <v>123</v>
      </c>
      <c r="C767">
        <v>10</v>
      </c>
      <c r="D767" t="s">
        <v>30</v>
      </c>
      <c r="E767" t="s">
        <v>5</v>
      </c>
      <c r="F767" t="s">
        <v>101</v>
      </c>
      <c r="G767">
        <v>254</v>
      </c>
      <c r="H767" t="s">
        <v>102</v>
      </c>
      <c r="I767" t="s">
        <v>160</v>
      </c>
      <c r="J767" t="s">
        <v>157</v>
      </c>
      <c r="K767">
        <v>1195</v>
      </c>
      <c r="L767">
        <v>119520</v>
      </c>
      <c r="M767" t="s">
        <v>192</v>
      </c>
      <c r="N767" s="98">
        <v>850</v>
      </c>
      <c r="O767" s="98">
        <v>0</v>
      </c>
      <c r="P767" s="98">
        <v>0</v>
      </c>
      <c r="Q767" s="98">
        <v>-850</v>
      </c>
    </row>
    <row r="768" spans="1:17" x14ac:dyDescent="0.35">
      <c r="A768" t="s">
        <v>124</v>
      </c>
      <c r="B768" t="s">
        <v>125</v>
      </c>
      <c r="C768">
        <v>11</v>
      </c>
      <c r="D768" t="s">
        <v>30</v>
      </c>
      <c r="E768" t="s">
        <v>5</v>
      </c>
      <c r="F768" t="s">
        <v>101</v>
      </c>
      <c r="G768">
        <v>254</v>
      </c>
      <c r="H768" t="s">
        <v>102</v>
      </c>
      <c r="I768" t="s">
        <v>160</v>
      </c>
      <c r="J768" t="s">
        <v>157</v>
      </c>
      <c r="K768">
        <v>1195</v>
      </c>
      <c r="L768">
        <v>119520</v>
      </c>
      <c r="M768" t="s">
        <v>192</v>
      </c>
      <c r="N768" s="98">
        <v>850</v>
      </c>
      <c r="O768" s="98">
        <v>0</v>
      </c>
      <c r="P768" s="98">
        <v>0</v>
      </c>
      <c r="Q768" s="98">
        <v>-850</v>
      </c>
    </row>
    <row r="769" spans="1:17" x14ac:dyDescent="0.35">
      <c r="A769" t="s">
        <v>126</v>
      </c>
      <c r="B769" t="s">
        <v>127</v>
      </c>
      <c r="C769">
        <v>12</v>
      </c>
      <c r="D769" t="s">
        <v>30</v>
      </c>
      <c r="E769" t="s">
        <v>5</v>
      </c>
      <c r="F769" t="s">
        <v>101</v>
      </c>
      <c r="G769">
        <v>254</v>
      </c>
      <c r="H769" t="s">
        <v>102</v>
      </c>
      <c r="I769" t="s">
        <v>160</v>
      </c>
      <c r="J769" t="s">
        <v>157</v>
      </c>
      <c r="K769">
        <v>1195</v>
      </c>
      <c r="L769">
        <v>119520</v>
      </c>
      <c r="M769" t="s">
        <v>192</v>
      </c>
      <c r="N769" s="98">
        <v>650</v>
      </c>
      <c r="O769" s="98">
        <v>0</v>
      </c>
      <c r="P769" s="98">
        <v>0</v>
      </c>
      <c r="Q769" s="98">
        <v>-650</v>
      </c>
    </row>
    <row r="770" spans="1:17" x14ac:dyDescent="0.35">
      <c r="A770" t="s">
        <v>98</v>
      </c>
      <c r="B770" t="s">
        <v>99</v>
      </c>
      <c r="C770">
        <v>1</v>
      </c>
      <c r="D770" t="s">
        <v>23</v>
      </c>
      <c r="E770" t="s">
        <v>100</v>
      </c>
      <c r="F770" t="s">
        <v>101</v>
      </c>
      <c r="G770">
        <v>254</v>
      </c>
      <c r="H770" t="s">
        <v>102</v>
      </c>
      <c r="I770" t="s">
        <v>160</v>
      </c>
      <c r="J770" t="s">
        <v>157</v>
      </c>
      <c r="K770">
        <v>1195</v>
      </c>
      <c r="L770">
        <v>119550</v>
      </c>
      <c r="M770" t="s">
        <v>193</v>
      </c>
      <c r="N770" s="98">
        <v>0</v>
      </c>
      <c r="O770" s="98">
        <v>0</v>
      </c>
      <c r="P770" s="98">
        <v>0</v>
      </c>
      <c r="Q770" s="98">
        <v>0</v>
      </c>
    </row>
    <row r="771" spans="1:17" x14ac:dyDescent="0.35">
      <c r="A771" t="s">
        <v>106</v>
      </c>
      <c r="B771" t="s">
        <v>107</v>
      </c>
      <c r="C771">
        <v>2</v>
      </c>
      <c r="D771" t="s">
        <v>23</v>
      </c>
      <c r="E771" t="s">
        <v>100</v>
      </c>
      <c r="F771" t="s">
        <v>101</v>
      </c>
      <c r="G771">
        <v>254</v>
      </c>
      <c r="H771" t="s">
        <v>102</v>
      </c>
      <c r="I771" t="s">
        <v>160</v>
      </c>
      <c r="J771" t="s">
        <v>157</v>
      </c>
      <c r="K771">
        <v>1195</v>
      </c>
      <c r="L771">
        <v>119550</v>
      </c>
      <c r="M771" t="s">
        <v>193</v>
      </c>
      <c r="N771" s="98">
        <v>0</v>
      </c>
      <c r="O771" s="98">
        <v>0</v>
      </c>
      <c r="P771" s="98">
        <v>0</v>
      </c>
      <c r="Q771" s="98">
        <v>0</v>
      </c>
    </row>
    <row r="772" spans="1:17" x14ac:dyDescent="0.35">
      <c r="A772" t="s">
        <v>108</v>
      </c>
      <c r="B772" t="s">
        <v>109</v>
      </c>
      <c r="C772">
        <v>3</v>
      </c>
      <c r="D772" t="s">
        <v>23</v>
      </c>
      <c r="E772" t="s">
        <v>100</v>
      </c>
      <c r="F772" t="s">
        <v>101</v>
      </c>
      <c r="G772">
        <v>254</v>
      </c>
      <c r="H772" t="s">
        <v>102</v>
      </c>
      <c r="I772" t="s">
        <v>160</v>
      </c>
      <c r="J772" t="s">
        <v>157</v>
      </c>
      <c r="K772">
        <v>1195</v>
      </c>
      <c r="L772">
        <v>119550</v>
      </c>
      <c r="M772" t="s">
        <v>193</v>
      </c>
      <c r="N772" s="98">
        <v>0</v>
      </c>
      <c r="O772" s="98">
        <v>150</v>
      </c>
      <c r="P772" s="98">
        <v>-150</v>
      </c>
      <c r="Q772" s="98">
        <v>150</v>
      </c>
    </row>
    <row r="773" spans="1:17" x14ac:dyDescent="0.35">
      <c r="A773" t="s">
        <v>110</v>
      </c>
      <c r="B773" t="s">
        <v>111</v>
      </c>
      <c r="C773">
        <v>4</v>
      </c>
      <c r="D773" t="s">
        <v>23</v>
      </c>
      <c r="E773" t="s">
        <v>100</v>
      </c>
      <c r="F773" t="s">
        <v>101</v>
      </c>
      <c r="G773">
        <v>254</v>
      </c>
      <c r="H773" t="s">
        <v>102</v>
      </c>
      <c r="I773" t="s">
        <v>160</v>
      </c>
      <c r="J773" t="s">
        <v>157</v>
      </c>
      <c r="K773">
        <v>1195</v>
      </c>
      <c r="L773">
        <v>119550</v>
      </c>
      <c r="M773" t="s">
        <v>193</v>
      </c>
      <c r="N773" s="98">
        <v>0</v>
      </c>
      <c r="O773" s="98">
        <v>0</v>
      </c>
      <c r="P773" s="98">
        <v>0</v>
      </c>
      <c r="Q773" s="98">
        <v>0</v>
      </c>
    </row>
    <row r="774" spans="1:17" x14ac:dyDescent="0.35">
      <c r="A774" t="s">
        <v>112</v>
      </c>
      <c r="B774" t="s">
        <v>113</v>
      </c>
      <c r="C774">
        <v>5</v>
      </c>
      <c r="D774" t="s">
        <v>27</v>
      </c>
      <c r="E774" t="s">
        <v>100</v>
      </c>
      <c r="F774" t="s">
        <v>101</v>
      </c>
      <c r="G774">
        <v>254</v>
      </c>
      <c r="H774" t="s">
        <v>102</v>
      </c>
      <c r="I774" t="s">
        <v>160</v>
      </c>
      <c r="J774" t="s">
        <v>157</v>
      </c>
      <c r="K774">
        <v>1195</v>
      </c>
      <c r="L774">
        <v>119550</v>
      </c>
      <c r="M774" t="s">
        <v>193</v>
      </c>
      <c r="N774" s="98">
        <v>0</v>
      </c>
      <c r="O774" s="98">
        <v>0</v>
      </c>
      <c r="P774" s="98">
        <v>0</v>
      </c>
      <c r="Q774" s="98">
        <v>0</v>
      </c>
    </row>
    <row r="775" spans="1:17" x14ac:dyDescent="0.35">
      <c r="A775" t="s">
        <v>114</v>
      </c>
      <c r="B775" t="s">
        <v>115</v>
      </c>
      <c r="C775">
        <v>6</v>
      </c>
      <c r="D775" t="s">
        <v>27</v>
      </c>
      <c r="E775" t="s">
        <v>100</v>
      </c>
      <c r="F775" t="s">
        <v>101</v>
      </c>
      <c r="G775">
        <v>254</v>
      </c>
      <c r="H775" t="s">
        <v>102</v>
      </c>
      <c r="I775" t="s">
        <v>160</v>
      </c>
      <c r="J775" t="s">
        <v>157</v>
      </c>
      <c r="K775">
        <v>1195</v>
      </c>
      <c r="L775">
        <v>119550</v>
      </c>
      <c r="M775" t="s">
        <v>193</v>
      </c>
      <c r="N775" s="98">
        <v>0</v>
      </c>
      <c r="O775" s="98">
        <v>0</v>
      </c>
      <c r="P775" s="98">
        <v>0</v>
      </c>
      <c r="Q775" s="98">
        <v>0</v>
      </c>
    </row>
    <row r="776" spans="1:17" x14ac:dyDescent="0.35">
      <c r="A776" t="s">
        <v>116</v>
      </c>
      <c r="B776" t="s">
        <v>117</v>
      </c>
      <c r="C776">
        <v>7</v>
      </c>
      <c r="D776" t="s">
        <v>27</v>
      </c>
      <c r="E776" t="s">
        <v>100</v>
      </c>
      <c r="F776" t="s">
        <v>101</v>
      </c>
      <c r="G776">
        <v>254</v>
      </c>
      <c r="H776" t="s">
        <v>102</v>
      </c>
      <c r="I776" t="s">
        <v>160</v>
      </c>
      <c r="J776" t="s">
        <v>157</v>
      </c>
      <c r="K776">
        <v>1195</v>
      </c>
      <c r="L776">
        <v>119550</v>
      </c>
      <c r="M776" t="s">
        <v>193</v>
      </c>
      <c r="N776" s="98">
        <v>0</v>
      </c>
      <c r="O776" s="98">
        <v>0</v>
      </c>
      <c r="P776" s="98">
        <v>0</v>
      </c>
      <c r="Q776" s="98">
        <v>0</v>
      </c>
    </row>
    <row r="777" spans="1:17" x14ac:dyDescent="0.35">
      <c r="A777" t="s">
        <v>118</v>
      </c>
      <c r="B777" t="s">
        <v>119</v>
      </c>
      <c r="C777">
        <v>8</v>
      </c>
      <c r="D777" t="s">
        <v>27</v>
      </c>
      <c r="E777" t="s">
        <v>100</v>
      </c>
      <c r="F777" t="s">
        <v>101</v>
      </c>
      <c r="G777">
        <v>254</v>
      </c>
      <c r="H777" t="s">
        <v>102</v>
      </c>
      <c r="I777" t="s">
        <v>160</v>
      </c>
      <c r="J777" t="s">
        <v>157</v>
      </c>
      <c r="K777">
        <v>1195</v>
      </c>
      <c r="L777">
        <v>119550</v>
      </c>
      <c r="M777" t="s">
        <v>193</v>
      </c>
      <c r="N777" s="98">
        <v>0</v>
      </c>
      <c r="O777" s="98">
        <v>11.95</v>
      </c>
      <c r="P777" s="98">
        <v>-11.95</v>
      </c>
      <c r="Q777" s="98">
        <v>11.95</v>
      </c>
    </row>
    <row r="778" spans="1:17" x14ac:dyDescent="0.35">
      <c r="A778" t="s">
        <v>120</v>
      </c>
      <c r="B778" t="s">
        <v>121</v>
      </c>
      <c r="C778">
        <v>9</v>
      </c>
      <c r="D778" t="s">
        <v>30</v>
      </c>
      <c r="E778" t="s">
        <v>5</v>
      </c>
      <c r="F778" t="s">
        <v>101</v>
      </c>
      <c r="G778">
        <v>254</v>
      </c>
      <c r="H778" t="s">
        <v>102</v>
      </c>
      <c r="I778" t="s">
        <v>160</v>
      </c>
      <c r="J778" t="s">
        <v>157</v>
      </c>
      <c r="K778">
        <v>1195</v>
      </c>
      <c r="L778">
        <v>119550</v>
      </c>
      <c r="M778" t="s">
        <v>193</v>
      </c>
      <c r="N778" s="98">
        <v>0</v>
      </c>
      <c r="O778" s="98">
        <v>0</v>
      </c>
      <c r="P778" s="98">
        <v>0</v>
      </c>
      <c r="Q778" s="98">
        <v>0</v>
      </c>
    </row>
    <row r="779" spans="1:17" x14ac:dyDescent="0.35">
      <c r="A779" t="s">
        <v>122</v>
      </c>
      <c r="B779" t="s">
        <v>123</v>
      </c>
      <c r="C779">
        <v>10</v>
      </c>
      <c r="D779" t="s">
        <v>30</v>
      </c>
      <c r="E779" t="s">
        <v>5</v>
      </c>
      <c r="F779" t="s">
        <v>101</v>
      </c>
      <c r="G779">
        <v>254</v>
      </c>
      <c r="H779" t="s">
        <v>102</v>
      </c>
      <c r="I779" t="s">
        <v>160</v>
      </c>
      <c r="J779" t="s">
        <v>157</v>
      </c>
      <c r="K779">
        <v>1195</v>
      </c>
      <c r="L779">
        <v>119550</v>
      </c>
      <c r="M779" t="s">
        <v>193</v>
      </c>
      <c r="N779" s="98">
        <v>0</v>
      </c>
      <c r="O779" s="98">
        <v>0</v>
      </c>
      <c r="P779" s="98">
        <v>0</v>
      </c>
      <c r="Q779" s="98">
        <v>0</v>
      </c>
    </row>
    <row r="780" spans="1:17" x14ac:dyDescent="0.35">
      <c r="A780" t="s">
        <v>124</v>
      </c>
      <c r="B780" t="s">
        <v>125</v>
      </c>
      <c r="C780">
        <v>11</v>
      </c>
      <c r="D780" t="s">
        <v>30</v>
      </c>
      <c r="E780" t="s">
        <v>5</v>
      </c>
      <c r="F780" t="s">
        <v>101</v>
      </c>
      <c r="G780">
        <v>254</v>
      </c>
      <c r="H780" t="s">
        <v>102</v>
      </c>
      <c r="I780" t="s">
        <v>160</v>
      </c>
      <c r="J780" t="s">
        <v>157</v>
      </c>
      <c r="K780">
        <v>1195</v>
      </c>
      <c r="L780">
        <v>119550</v>
      </c>
      <c r="M780" t="s">
        <v>193</v>
      </c>
      <c r="N780" s="98">
        <v>0</v>
      </c>
      <c r="O780" s="98">
        <v>0</v>
      </c>
      <c r="P780" s="98">
        <v>0</v>
      </c>
      <c r="Q780" s="98">
        <v>0</v>
      </c>
    </row>
    <row r="781" spans="1:17" x14ac:dyDescent="0.35">
      <c r="A781" t="s">
        <v>126</v>
      </c>
      <c r="B781" t="s">
        <v>127</v>
      </c>
      <c r="C781">
        <v>12</v>
      </c>
      <c r="D781" t="s">
        <v>30</v>
      </c>
      <c r="E781" t="s">
        <v>5</v>
      </c>
      <c r="F781" t="s">
        <v>101</v>
      </c>
      <c r="G781">
        <v>254</v>
      </c>
      <c r="H781" t="s">
        <v>102</v>
      </c>
      <c r="I781" t="s">
        <v>160</v>
      </c>
      <c r="J781" t="s">
        <v>157</v>
      </c>
      <c r="K781">
        <v>1195</v>
      </c>
      <c r="L781">
        <v>119550</v>
      </c>
      <c r="M781" t="s">
        <v>193</v>
      </c>
      <c r="N781" s="98">
        <v>0</v>
      </c>
      <c r="O781" s="98">
        <v>0</v>
      </c>
      <c r="P781" s="98">
        <v>0</v>
      </c>
      <c r="Q781" s="98">
        <v>0</v>
      </c>
    </row>
    <row r="782" spans="1:17" x14ac:dyDescent="0.35">
      <c r="A782" t="s">
        <v>98</v>
      </c>
      <c r="B782" t="s">
        <v>99</v>
      </c>
      <c r="C782">
        <v>1</v>
      </c>
      <c r="D782" t="s">
        <v>23</v>
      </c>
      <c r="E782" t="s">
        <v>100</v>
      </c>
      <c r="F782" t="s">
        <v>101</v>
      </c>
      <c r="G782">
        <v>254</v>
      </c>
      <c r="H782" t="s">
        <v>102</v>
      </c>
      <c r="I782" t="s">
        <v>160</v>
      </c>
      <c r="J782" t="s">
        <v>157</v>
      </c>
      <c r="K782">
        <v>1195</v>
      </c>
      <c r="L782">
        <v>119590</v>
      </c>
      <c r="M782" t="s">
        <v>194</v>
      </c>
      <c r="N782" s="98">
        <v>0</v>
      </c>
      <c r="O782" s="98">
        <v>0</v>
      </c>
      <c r="P782" s="98">
        <v>0</v>
      </c>
      <c r="Q782" s="98">
        <v>0</v>
      </c>
    </row>
    <row r="783" spans="1:17" x14ac:dyDescent="0.35">
      <c r="A783" t="s">
        <v>106</v>
      </c>
      <c r="B783" t="s">
        <v>107</v>
      </c>
      <c r="C783">
        <v>2</v>
      </c>
      <c r="D783" t="s">
        <v>23</v>
      </c>
      <c r="E783" t="s">
        <v>100</v>
      </c>
      <c r="F783" t="s">
        <v>101</v>
      </c>
      <c r="G783">
        <v>254</v>
      </c>
      <c r="H783" t="s">
        <v>102</v>
      </c>
      <c r="I783" t="s">
        <v>160</v>
      </c>
      <c r="J783" t="s">
        <v>157</v>
      </c>
      <c r="K783">
        <v>1195</v>
      </c>
      <c r="L783">
        <v>119590</v>
      </c>
      <c r="M783" t="s">
        <v>194</v>
      </c>
      <c r="N783" s="98">
        <v>0</v>
      </c>
      <c r="O783" s="98">
        <v>0</v>
      </c>
      <c r="P783" s="98">
        <v>0</v>
      </c>
      <c r="Q783" s="98">
        <v>0</v>
      </c>
    </row>
    <row r="784" spans="1:17" x14ac:dyDescent="0.35">
      <c r="A784" t="s">
        <v>108</v>
      </c>
      <c r="B784" t="s">
        <v>109</v>
      </c>
      <c r="C784">
        <v>3</v>
      </c>
      <c r="D784" t="s">
        <v>23</v>
      </c>
      <c r="E784" t="s">
        <v>100</v>
      </c>
      <c r="F784" t="s">
        <v>101</v>
      </c>
      <c r="G784">
        <v>254</v>
      </c>
      <c r="H784" t="s">
        <v>102</v>
      </c>
      <c r="I784" t="s">
        <v>160</v>
      </c>
      <c r="J784" t="s">
        <v>157</v>
      </c>
      <c r="K784">
        <v>1195</v>
      </c>
      <c r="L784">
        <v>119590</v>
      </c>
      <c r="M784" t="s">
        <v>194</v>
      </c>
      <c r="N784" s="98">
        <v>0</v>
      </c>
      <c r="O784" s="98">
        <v>0</v>
      </c>
      <c r="P784" s="98">
        <v>0</v>
      </c>
      <c r="Q784" s="98">
        <v>0</v>
      </c>
    </row>
    <row r="785" spans="1:17" x14ac:dyDescent="0.35">
      <c r="A785" t="s">
        <v>110</v>
      </c>
      <c r="B785" t="s">
        <v>111</v>
      </c>
      <c r="C785">
        <v>4</v>
      </c>
      <c r="D785" t="s">
        <v>23</v>
      </c>
      <c r="E785" t="s">
        <v>100</v>
      </c>
      <c r="F785" t="s">
        <v>101</v>
      </c>
      <c r="G785">
        <v>254</v>
      </c>
      <c r="H785" t="s">
        <v>102</v>
      </c>
      <c r="I785" t="s">
        <v>160</v>
      </c>
      <c r="J785" t="s">
        <v>157</v>
      </c>
      <c r="K785">
        <v>1195</v>
      </c>
      <c r="L785">
        <v>119590</v>
      </c>
      <c r="M785" t="s">
        <v>194</v>
      </c>
      <c r="N785" s="98">
        <v>0</v>
      </c>
      <c r="O785" s="98">
        <v>0</v>
      </c>
      <c r="P785" s="98">
        <v>0</v>
      </c>
      <c r="Q785" s="98">
        <v>0</v>
      </c>
    </row>
    <row r="786" spans="1:17" x14ac:dyDescent="0.35">
      <c r="A786" t="s">
        <v>112</v>
      </c>
      <c r="B786" t="s">
        <v>113</v>
      </c>
      <c r="C786">
        <v>5</v>
      </c>
      <c r="D786" t="s">
        <v>27</v>
      </c>
      <c r="E786" t="s">
        <v>100</v>
      </c>
      <c r="F786" t="s">
        <v>101</v>
      </c>
      <c r="G786">
        <v>254</v>
      </c>
      <c r="H786" t="s">
        <v>102</v>
      </c>
      <c r="I786" t="s">
        <v>160</v>
      </c>
      <c r="J786" t="s">
        <v>157</v>
      </c>
      <c r="K786">
        <v>1195</v>
      </c>
      <c r="L786">
        <v>119590</v>
      </c>
      <c r="M786" t="s">
        <v>194</v>
      </c>
      <c r="N786" s="98">
        <v>0</v>
      </c>
      <c r="O786" s="98">
        <v>0</v>
      </c>
      <c r="P786" s="98">
        <v>0</v>
      </c>
      <c r="Q786" s="98">
        <v>0</v>
      </c>
    </row>
    <row r="787" spans="1:17" x14ac:dyDescent="0.35">
      <c r="A787" t="s">
        <v>114</v>
      </c>
      <c r="B787" t="s">
        <v>115</v>
      </c>
      <c r="C787">
        <v>6</v>
      </c>
      <c r="D787" t="s">
        <v>27</v>
      </c>
      <c r="E787" t="s">
        <v>100</v>
      </c>
      <c r="F787" t="s">
        <v>101</v>
      </c>
      <c r="G787">
        <v>254</v>
      </c>
      <c r="H787" t="s">
        <v>102</v>
      </c>
      <c r="I787" t="s">
        <v>160</v>
      </c>
      <c r="J787" t="s">
        <v>157</v>
      </c>
      <c r="K787">
        <v>1195</v>
      </c>
      <c r="L787">
        <v>119590</v>
      </c>
      <c r="M787" t="s">
        <v>194</v>
      </c>
      <c r="N787" s="98">
        <v>0</v>
      </c>
      <c r="O787" s="98">
        <v>0</v>
      </c>
      <c r="P787" s="98">
        <v>0</v>
      </c>
      <c r="Q787" s="98">
        <v>0</v>
      </c>
    </row>
    <row r="788" spans="1:17" x14ac:dyDescent="0.35">
      <c r="A788" t="s">
        <v>116</v>
      </c>
      <c r="B788" t="s">
        <v>117</v>
      </c>
      <c r="C788">
        <v>7</v>
      </c>
      <c r="D788" t="s">
        <v>27</v>
      </c>
      <c r="E788" t="s">
        <v>100</v>
      </c>
      <c r="F788" t="s">
        <v>101</v>
      </c>
      <c r="G788">
        <v>254</v>
      </c>
      <c r="H788" t="s">
        <v>102</v>
      </c>
      <c r="I788" t="s">
        <v>160</v>
      </c>
      <c r="J788" t="s">
        <v>157</v>
      </c>
      <c r="K788">
        <v>1195</v>
      </c>
      <c r="L788">
        <v>119590</v>
      </c>
      <c r="M788" t="s">
        <v>194</v>
      </c>
      <c r="N788" s="98">
        <v>0</v>
      </c>
      <c r="O788" s="98">
        <v>0</v>
      </c>
      <c r="P788" s="98">
        <v>0</v>
      </c>
      <c r="Q788" s="98">
        <v>0</v>
      </c>
    </row>
    <row r="789" spans="1:17" x14ac:dyDescent="0.35">
      <c r="A789" t="s">
        <v>118</v>
      </c>
      <c r="B789" t="s">
        <v>119</v>
      </c>
      <c r="C789">
        <v>8</v>
      </c>
      <c r="D789" t="s">
        <v>27</v>
      </c>
      <c r="E789" t="s">
        <v>100</v>
      </c>
      <c r="F789" t="s">
        <v>101</v>
      </c>
      <c r="G789">
        <v>254</v>
      </c>
      <c r="H789" t="s">
        <v>102</v>
      </c>
      <c r="I789" t="s">
        <v>160</v>
      </c>
      <c r="J789" t="s">
        <v>157</v>
      </c>
      <c r="K789">
        <v>1195</v>
      </c>
      <c r="L789">
        <v>119590</v>
      </c>
      <c r="M789" t="s">
        <v>194</v>
      </c>
      <c r="N789" s="98">
        <v>0</v>
      </c>
      <c r="O789" s="98">
        <v>0</v>
      </c>
      <c r="P789" s="98">
        <v>0</v>
      </c>
      <c r="Q789" s="98">
        <v>0</v>
      </c>
    </row>
    <row r="790" spans="1:17" x14ac:dyDescent="0.35">
      <c r="A790" t="s">
        <v>120</v>
      </c>
      <c r="B790" t="s">
        <v>121</v>
      </c>
      <c r="C790">
        <v>9</v>
      </c>
      <c r="D790" t="s">
        <v>30</v>
      </c>
      <c r="E790" t="s">
        <v>5</v>
      </c>
      <c r="F790" t="s">
        <v>101</v>
      </c>
      <c r="G790">
        <v>254</v>
      </c>
      <c r="H790" t="s">
        <v>102</v>
      </c>
      <c r="I790" t="s">
        <v>160</v>
      </c>
      <c r="J790" t="s">
        <v>157</v>
      </c>
      <c r="K790">
        <v>1195</v>
      </c>
      <c r="L790">
        <v>119590</v>
      </c>
      <c r="M790" t="s">
        <v>194</v>
      </c>
      <c r="N790" s="98">
        <v>0</v>
      </c>
      <c r="O790" s="98">
        <v>0</v>
      </c>
      <c r="P790" s="98">
        <v>0</v>
      </c>
      <c r="Q790" s="98">
        <v>0</v>
      </c>
    </row>
    <row r="791" spans="1:17" x14ac:dyDescent="0.35">
      <c r="A791" t="s">
        <v>122</v>
      </c>
      <c r="B791" t="s">
        <v>123</v>
      </c>
      <c r="C791">
        <v>10</v>
      </c>
      <c r="D791" t="s">
        <v>30</v>
      </c>
      <c r="E791" t="s">
        <v>5</v>
      </c>
      <c r="F791" t="s">
        <v>101</v>
      </c>
      <c r="G791">
        <v>254</v>
      </c>
      <c r="H791" t="s">
        <v>102</v>
      </c>
      <c r="I791" t="s">
        <v>160</v>
      </c>
      <c r="J791" t="s">
        <v>157</v>
      </c>
      <c r="K791">
        <v>1195</v>
      </c>
      <c r="L791">
        <v>119590</v>
      </c>
      <c r="M791" t="s">
        <v>194</v>
      </c>
      <c r="N791" s="98">
        <v>0</v>
      </c>
      <c r="O791" s="98">
        <v>0</v>
      </c>
      <c r="P791" s="98">
        <v>0</v>
      </c>
      <c r="Q791" s="98">
        <v>0</v>
      </c>
    </row>
    <row r="792" spans="1:17" x14ac:dyDescent="0.35">
      <c r="A792" t="s">
        <v>124</v>
      </c>
      <c r="B792" t="s">
        <v>125</v>
      </c>
      <c r="C792">
        <v>11</v>
      </c>
      <c r="D792" t="s">
        <v>30</v>
      </c>
      <c r="E792" t="s">
        <v>5</v>
      </c>
      <c r="F792" t="s">
        <v>101</v>
      </c>
      <c r="G792">
        <v>254</v>
      </c>
      <c r="H792" t="s">
        <v>102</v>
      </c>
      <c r="I792" t="s">
        <v>160</v>
      </c>
      <c r="J792" t="s">
        <v>157</v>
      </c>
      <c r="K792">
        <v>1195</v>
      </c>
      <c r="L792">
        <v>119590</v>
      </c>
      <c r="M792" t="s">
        <v>194</v>
      </c>
      <c r="N792" s="98">
        <v>0</v>
      </c>
      <c r="O792" s="98">
        <v>0</v>
      </c>
      <c r="P792" s="98">
        <v>0</v>
      </c>
      <c r="Q792" s="98">
        <v>0</v>
      </c>
    </row>
    <row r="793" spans="1:17" x14ac:dyDescent="0.35">
      <c r="A793" t="s">
        <v>126</v>
      </c>
      <c r="B793" t="s">
        <v>127</v>
      </c>
      <c r="C793">
        <v>12</v>
      </c>
      <c r="D793" t="s">
        <v>30</v>
      </c>
      <c r="E793" t="s">
        <v>5</v>
      </c>
      <c r="F793" t="s">
        <v>101</v>
      </c>
      <c r="G793">
        <v>254</v>
      </c>
      <c r="H793" t="s">
        <v>102</v>
      </c>
      <c r="I793" t="s">
        <v>160</v>
      </c>
      <c r="J793" t="s">
        <v>157</v>
      </c>
      <c r="K793">
        <v>1195</v>
      </c>
      <c r="L793">
        <v>119590</v>
      </c>
      <c r="M793" t="s">
        <v>194</v>
      </c>
      <c r="N793" s="98">
        <v>0</v>
      </c>
      <c r="O793" s="98">
        <v>0</v>
      </c>
      <c r="P793" s="98">
        <v>0</v>
      </c>
      <c r="Q793" s="98">
        <v>0</v>
      </c>
    </row>
    <row r="794" spans="1:17" x14ac:dyDescent="0.35">
      <c r="A794" t="s">
        <v>98</v>
      </c>
      <c r="B794" t="s">
        <v>99</v>
      </c>
      <c r="C794">
        <v>1</v>
      </c>
      <c r="D794" t="s">
        <v>23</v>
      </c>
      <c r="E794" t="s">
        <v>100</v>
      </c>
      <c r="F794" t="s">
        <v>101</v>
      </c>
      <c r="G794">
        <v>254</v>
      </c>
      <c r="H794" t="s">
        <v>102</v>
      </c>
      <c r="I794" t="s">
        <v>160</v>
      </c>
      <c r="J794" t="s">
        <v>157</v>
      </c>
      <c r="K794">
        <v>1200</v>
      </c>
      <c r="L794">
        <v>120000</v>
      </c>
      <c r="M794" t="s">
        <v>195</v>
      </c>
      <c r="N794" s="98">
        <v>4078</v>
      </c>
      <c r="O794" s="98">
        <v>0</v>
      </c>
      <c r="P794" s="98">
        <v>4078</v>
      </c>
      <c r="Q794" s="98">
        <v>-4078</v>
      </c>
    </row>
    <row r="795" spans="1:17" x14ac:dyDescent="0.35">
      <c r="A795" t="s">
        <v>106</v>
      </c>
      <c r="B795" t="s">
        <v>107</v>
      </c>
      <c r="C795">
        <v>2</v>
      </c>
      <c r="D795" t="s">
        <v>23</v>
      </c>
      <c r="E795" t="s">
        <v>100</v>
      </c>
      <c r="F795" t="s">
        <v>101</v>
      </c>
      <c r="G795">
        <v>254</v>
      </c>
      <c r="H795" t="s">
        <v>102</v>
      </c>
      <c r="I795" t="s">
        <v>160</v>
      </c>
      <c r="J795" t="s">
        <v>157</v>
      </c>
      <c r="K795">
        <v>1200</v>
      </c>
      <c r="L795">
        <v>120000</v>
      </c>
      <c r="M795" t="s">
        <v>195</v>
      </c>
      <c r="N795" s="98">
        <v>4078</v>
      </c>
      <c r="O795" s="98">
        <v>0</v>
      </c>
      <c r="P795" s="98">
        <v>4078</v>
      </c>
      <c r="Q795" s="98">
        <v>-4078</v>
      </c>
    </row>
    <row r="796" spans="1:17" x14ac:dyDescent="0.35">
      <c r="A796" t="s">
        <v>108</v>
      </c>
      <c r="B796" t="s">
        <v>109</v>
      </c>
      <c r="C796">
        <v>3</v>
      </c>
      <c r="D796" t="s">
        <v>23</v>
      </c>
      <c r="E796" t="s">
        <v>100</v>
      </c>
      <c r="F796" t="s">
        <v>101</v>
      </c>
      <c r="G796">
        <v>254</v>
      </c>
      <c r="H796" t="s">
        <v>102</v>
      </c>
      <c r="I796" t="s">
        <v>160</v>
      </c>
      <c r="J796" t="s">
        <v>157</v>
      </c>
      <c r="K796">
        <v>1200</v>
      </c>
      <c r="L796">
        <v>120000</v>
      </c>
      <c r="M796" t="s">
        <v>195</v>
      </c>
      <c r="N796" s="98">
        <v>4078</v>
      </c>
      <c r="O796" s="98">
        <v>0</v>
      </c>
      <c r="P796" s="98">
        <v>4078</v>
      </c>
      <c r="Q796" s="98">
        <v>-4078</v>
      </c>
    </row>
    <row r="797" spans="1:17" x14ac:dyDescent="0.35">
      <c r="A797" t="s">
        <v>110</v>
      </c>
      <c r="B797" t="s">
        <v>111</v>
      </c>
      <c r="C797">
        <v>4</v>
      </c>
      <c r="D797" t="s">
        <v>23</v>
      </c>
      <c r="E797" t="s">
        <v>100</v>
      </c>
      <c r="F797" t="s">
        <v>101</v>
      </c>
      <c r="G797">
        <v>254</v>
      </c>
      <c r="H797" t="s">
        <v>102</v>
      </c>
      <c r="I797" t="s">
        <v>160</v>
      </c>
      <c r="J797" t="s">
        <v>157</v>
      </c>
      <c r="K797">
        <v>1200</v>
      </c>
      <c r="L797">
        <v>120000</v>
      </c>
      <c r="M797" t="s">
        <v>195</v>
      </c>
      <c r="N797" s="98">
        <v>4078</v>
      </c>
      <c r="O797" s="98">
        <v>0</v>
      </c>
      <c r="P797" s="98">
        <v>4078</v>
      </c>
      <c r="Q797" s="98">
        <v>-4078</v>
      </c>
    </row>
    <row r="798" spans="1:17" x14ac:dyDescent="0.35">
      <c r="A798" t="s">
        <v>112</v>
      </c>
      <c r="B798" t="s">
        <v>113</v>
      </c>
      <c r="C798">
        <v>5</v>
      </c>
      <c r="D798" t="s">
        <v>27</v>
      </c>
      <c r="E798" t="s">
        <v>100</v>
      </c>
      <c r="F798" t="s">
        <v>101</v>
      </c>
      <c r="G798">
        <v>254</v>
      </c>
      <c r="H798" t="s">
        <v>102</v>
      </c>
      <c r="I798" t="s">
        <v>160</v>
      </c>
      <c r="J798" t="s">
        <v>157</v>
      </c>
      <c r="K798">
        <v>1200</v>
      </c>
      <c r="L798">
        <v>120000</v>
      </c>
      <c r="M798" t="s">
        <v>195</v>
      </c>
      <c r="N798" s="98">
        <v>4078</v>
      </c>
      <c r="O798" s="98">
        <v>0</v>
      </c>
      <c r="P798" s="98">
        <v>4078</v>
      </c>
      <c r="Q798" s="98">
        <v>-4078</v>
      </c>
    </row>
    <row r="799" spans="1:17" x14ac:dyDescent="0.35">
      <c r="A799" t="s">
        <v>114</v>
      </c>
      <c r="B799" t="s">
        <v>115</v>
      </c>
      <c r="C799">
        <v>6</v>
      </c>
      <c r="D799" t="s">
        <v>27</v>
      </c>
      <c r="E799" t="s">
        <v>100</v>
      </c>
      <c r="F799" t="s">
        <v>101</v>
      </c>
      <c r="G799">
        <v>254</v>
      </c>
      <c r="H799" t="s">
        <v>102</v>
      </c>
      <c r="I799" t="s">
        <v>160</v>
      </c>
      <c r="J799" t="s">
        <v>157</v>
      </c>
      <c r="K799">
        <v>1200</v>
      </c>
      <c r="L799">
        <v>120000</v>
      </c>
      <c r="M799" t="s">
        <v>195</v>
      </c>
      <c r="N799" s="98">
        <v>4078</v>
      </c>
      <c r="O799" s="98">
        <v>0</v>
      </c>
      <c r="P799" s="98">
        <v>4078</v>
      </c>
      <c r="Q799" s="98">
        <v>-4078</v>
      </c>
    </row>
    <row r="800" spans="1:17" x14ac:dyDescent="0.35">
      <c r="A800" t="s">
        <v>116</v>
      </c>
      <c r="B800" t="s">
        <v>117</v>
      </c>
      <c r="C800">
        <v>7</v>
      </c>
      <c r="D800" t="s">
        <v>27</v>
      </c>
      <c r="E800" t="s">
        <v>100</v>
      </c>
      <c r="F800" t="s">
        <v>101</v>
      </c>
      <c r="G800">
        <v>254</v>
      </c>
      <c r="H800" t="s">
        <v>102</v>
      </c>
      <c r="I800" t="s">
        <v>160</v>
      </c>
      <c r="J800" t="s">
        <v>157</v>
      </c>
      <c r="K800">
        <v>1200</v>
      </c>
      <c r="L800">
        <v>120000</v>
      </c>
      <c r="M800" t="s">
        <v>195</v>
      </c>
      <c r="N800" s="98">
        <v>4078</v>
      </c>
      <c r="O800" s="98">
        <v>0</v>
      </c>
      <c r="P800" s="98">
        <v>4078</v>
      </c>
      <c r="Q800" s="98">
        <v>-4078</v>
      </c>
    </row>
    <row r="801" spans="1:17" x14ac:dyDescent="0.35">
      <c r="A801" t="s">
        <v>118</v>
      </c>
      <c r="B801" t="s">
        <v>119</v>
      </c>
      <c r="C801">
        <v>8</v>
      </c>
      <c r="D801" t="s">
        <v>27</v>
      </c>
      <c r="E801" t="s">
        <v>100</v>
      </c>
      <c r="F801" t="s">
        <v>101</v>
      </c>
      <c r="G801">
        <v>254</v>
      </c>
      <c r="H801" t="s">
        <v>102</v>
      </c>
      <c r="I801" t="s">
        <v>160</v>
      </c>
      <c r="J801" t="s">
        <v>157</v>
      </c>
      <c r="K801">
        <v>1200</v>
      </c>
      <c r="L801">
        <v>120000</v>
      </c>
      <c r="M801" t="s">
        <v>195</v>
      </c>
      <c r="N801" s="98">
        <v>4078</v>
      </c>
      <c r="O801" s="98">
        <v>0</v>
      </c>
      <c r="P801" s="98">
        <v>4078</v>
      </c>
      <c r="Q801" s="98">
        <v>-4078</v>
      </c>
    </row>
    <row r="802" spans="1:17" x14ac:dyDescent="0.35">
      <c r="A802" t="s">
        <v>120</v>
      </c>
      <c r="B802" t="s">
        <v>121</v>
      </c>
      <c r="C802">
        <v>9</v>
      </c>
      <c r="D802" t="s">
        <v>30</v>
      </c>
      <c r="E802" t="s">
        <v>5</v>
      </c>
      <c r="F802" t="s">
        <v>101</v>
      </c>
      <c r="G802">
        <v>254</v>
      </c>
      <c r="H802" t="s">
        <v>102</v>
      </c>
      <c r="I802" t="s">
        <v>160</v>
      </c>
      <c r="J802" t="s">
        <v>157</v>
      </c>
      <c r="K802">
        <v>1200</v>
      </c>
      <c r="L802">
        <v>120000</v>
      </c>
      <c r="M802" t="s">
        <v>195</v>
      </c>
      <c r="N802" s="98">
        <v>4078</v>
      </c>
      <c r="O802" s="98">
        <v>0</v>
      </c>
      <c r="P802" s="98">
        <v>0</v>
      </c>
      <c r="Q802" s="98">
        <v>-4078</v>
      </c>
    </row>
    <row r="803" spans="1:17" x14ac:dyDescent="0.35">
      <c r="A803" t="s">
        <v>122</v>
      </c>
      <c r="B803" t="s">
        <v>123</v>
      </c>
      <c r="C803">
        <v>10</v>
      </c>
      <c r="D803" t="s">
        <v>30</v>
      </c>
      <c r="E803" t="s">
        <v>5</v>
      </c>
      <c r="F803" t="s">
        <v>101</v>
      </c>
      <c r="G803">
        <v>254</v>
      </c>
      <c r="H803" t="s">
        <v>102</v>
      </c>
      <c r="I803" t="s">
        <v>160</v>
      </c>
      <c r="J803" t="s">
        <v>157</v>
      </c>
      <c r="K803">
        <v>1200</v>
      </c>
      <c r="L803">
        <v>120000</v>
      </c>
      <c r="M803" t="s">
        <v>195</v>
      </c>
      <c r="N803" s="98">
        <v>4078</v>
      </c>
      <c r="O803" s="98">
        <v>0</v>
      </c>
      <c r="P803" s="98">
        <v>0</v>
      </c>
      <c r="Q803" s="98">
        <v>-4078</v>
      </c>
    </row>
    <row r="804" spans="1:17" x14ac:dyDescent="0.35">
      <c r="A804" t="s">
        <v>124</v>
      </c>
      <c r="B804" t="s">
        <v>125</v>
      </c>
      <c r="C804">
        <v>11</v>
      </c>
      <c r="D804" t="s">
        <v>30</v>
      </c>
      <c r="E804" t="s">
        <v>5</v>
      </c>
      <c r="F804" t="s">
        <v>101</v>
      </c>
      <c r="G804">
        <v>254</v>
      </c>
      <c r="H804" t="s">
        <v>102</v>
      </c>
      <c r="I804" t="s">
        <v>160</v>
      </c>
      <c r="J804" t="s">
        <v>157</v>
      </c>
      <c r="K804">
        <v>1200</v>
      </c>
      <c r="L804">
        <v>120000</v>
      </c>
      <c r="M804" t="s">
        <v>195</v>
      </c>
      <c r="N804" s="98">
        <v>4078</v>
      </c>
      <c r="O804" s="98">
        <v>0</v>
      </c>
      <c r="P804" s="98">
        <v>0</v>
      </c>
      <c r="Q804" s="98">
        <v>-4078</v>
      </c>
    </row>
    <row r="805" spans="1:17" x14ac:dyDescent="0.35">
      <c r="A805" t="s">
        <v>126</v>
      </c>
      <c r="B805" t="s">
        <v>127</v>
      </c>
      <c r="C805">
        <v>12</v>
      </c>
      <c r="D805" t="s">
        <v>30</v>
      </c>
      <c r="E805" t="s">
        <v>5</v>
      </c>
      <c r="F805" t="s">
        <v>101</v>
      </c>
      <c r="G805">
        <v>254</v>
      </c>
      <c r="H805" t="s">
        <v>102</v>
      </c>
      <c r="I805" t="s">
        <v>160</v>
      </c>
      <c r="J805" t="s">
        <v>157</v>
      </c>
      <c r="K805">
        <v>1200</v>
      </c>
      <c r="L805">
        <v>120000</v>
      </c>
      <c r="M805" t="s">
        <v>195</v>
      </c>
      <c r="N805" s="98">
        <v>4142</v>
      </c>
      <c r="O805" s="98">
        <v>0</v>
      </c>
      <c r="P805" s="98">
        <v>0</v>
      </c>
      <c r="Q805" s="98">
        <v>-4142</v>
      </c>
    </row>
    <row r="806" spans="1:17" x14ac:dyDescent="0.35">
      <c r="A806" t="s">
        <v>98</v>
      </c>
      <c r="B806" t="s">
        <v>99</v>
      </c>
      <c r="C806">
        <v>1</v>
      </c>
      <c r="D806" t="s">
        <v>23</v>
      </c>
      <c r="E806" t="s">
        <v>100</v>
      </c>
      <c r="F806" t="s">
        <v>101</v>
      </c>
      <c r="G806">
        <v>254</v>
      </c>
      <c r="H806" t="s">
        <v>102</v>
      </c>
      <c r="I806" t="s">
        <v>160</v>
      </c>
      <c r="J806" t="s">
        <v>157</v>
      </c>
      <c r="K806">
        <v>1200</v>
      </c>
      <c r="L806">
        <v>120010</v>
      </c>
      <c r="M806" t="s">
        <v>196</v>
      </c>
      <c r="N806" s="98">
        <v>1164</v>
      </c>
      <c r="O806" s="98">
        <v>0</v>
      </c>
      <c r="P806" s="98">
        <v>1164</v>
      </c>
      <c r="Q806" s="98">
        <v>-1164</v>
      </c>
    </row>
    <row r="807" spans="1:17" x14ac:dyDescent="0.35">
      <c r="A807" t="s">
        <v>106</v>
      </c>
      <c r="B807" t="s">
        <v>107</v>
      </c>
      <c r="C807">
        <v>2</v>
      </c>
      <c r="D807" t="s">
        <v>23</v>
      </c>
      <c r="E807" t="s">
        <v>100</v>
      </c>
      <c r="F807" t="s">
        <v>101</v>
      </c>
      <c r="G807">
        <v>254</v>
      </c>
      <c r="H807" t="s">
        <v>102</v>
      </c>
      <c r="I807" t="s">
        <v>160</v>
      </c>
      <c r="J807" t="s">
        <v>157</v>
      </c>
      <c r="K807">
        <v>1200</v>
      </c>
      <c r="L807">
        <v>120010</v>
      </c>
      <c r="M807" t="s">
        <v>196</v>
      </c>
      <c r="N807" s="98">
        <v>1164</v>
      </c>
      <c r="O807" s="98">
        <v>4026</v>
      </c>
      <c r="P807" s="98">
        <v>-2862</v>
      </c>
      <c r="Q807" s="98">
        <v>2862</v>
      </c>
    </row>
    <row r="808" spans="1:17" x14ac:dyDescent="0.35">
      <c r="A808" t="s">
        <v>108</v>
      </c>
      <c r="B808" t="s">
        <v>109</v>
      </c>
      <c r="C808">
        <v>3</v>
      </c>
      <c r="D808" t="s">
        <v>23</v>
      </c>
      <c r="E808" t="s">
        <v>100</v>
      </c>
      <c r="F808" t="s">
        <v>101</v>
      </c>
      <c r="G808">
        <v>254</v>
      </c>
      <c r="H808" t="s">
        <v>102</v>
      </c>
      <c r="I808" t="s">
        <v>160</v>
      </c>
      <c r="J808" t="s">
        <v>157</v>
      </c>
      <c r="K808">
        <v>1200</v>
      </c>
      <c r="L808">
        <v>120010</v>
      </c>
      <c r="M808" t="s">
        <v>196</v>
      </c>
      <c r="N808" s="98">
        <v>1164</v>
      </c>
      <c r="O808" s="98">
        <v>0</v>
      </c>
      <c r="P808" s="98">
        <v>1164</v>
      </c>
      <c r="Q808" s="98">
        <v>-1164</v>
      </c>
    </row>
    <row r="809" spans="1:17" x14ac:dyDescent="0.35">
      <c r="A809" t="s">
        <v>110</v>
      </c>
      <c r="B809" t="s">
        <v>111</v>
      </c>
      <c r="C809">
        <v>4</v>
      </c>
      <c r="D809" t="s">
        <v>23</v>
      </c>
      <c r="E809" t="s">
        <v>100</v>
      </c>
      <c r="F809" t="s">
        <v>101</v>
      </c>
      <c r="G809">
        <v>254</v>
      </c>
      <c r="H809" t="s">
        <v>102</v>
      </c>
      <c r="I809" t="s">
        <v>160</v>
      </c>
      <c r="J809" t="s">
        <v>157</v>
      </c>
      <c r="K809">
        <v>1200</v>
      </c>
      <c r="L809">
        <v>120010</v>
      </c>
      <c r="M809" t="s">
        <v>196</v>
      </c>
      <c r="N809" s="98">
        <v>1164</v>
      </c>
      <c r="O809" s="98">
        <v>0</v>
      </c>
      <c r="P809" s="98">
        <v>1164</v>
      </c>
      <c r="Q809" s="98">
        <v>-1164</v>
      </c>
    </row>
    <row r="810" spans="1:17" x14ac:dyDescent="0.35">
      <c r="A810" t="s">
        <v>112</v>
      </c>
      <c r="B810" t="s">
        <v>113</v>
      </c>
      <c r="C810">
        <v>5</v>
      </c>
      <c r="D810" t="s">
        <v>27</v>
      </c>
      <c r="E810" t="s">
        <v>100</v>
      </c>
      <c r="F810" t="s">
        <v>101</v>
      </c>
      <c r="G810">
        <v>254</v>
      </c>
      <c r="H810" t="s">
        <v>102</v>
      </c>
      <c r="I810" t="s">
        <v>160</v>
      </c>
      <c r="J810" t="s">
        <v>157</v>
      </c>
      <c r="K810">
        <v>1200</v>
      </c>
      <c r="L810">
        <v>120010</v>
      </c>
      <c r="M810" t="s">
        <v>196</v>
      </c>
      <c r="N810" s="98">
        <v>1164</v>
      </c>
      <c r="O810" s="98">
        <v>0</v>
      </c>
      <c r="P810" s="98">
        <v>1164</v>
      </c>
      <c r="Q810" s="98">
        <v>-1164</v>
      </c>
    </row>
    <row r="811" spans="1:17" x14ac:dyDescent="0.35">
      <c r="A811" t="s">
        <v>114</v>
      </c>
      <c r="B811" t="s">
        <v>115</v>
      </c>
      <c r="C811">
        <v>6</v>
      </c>
      <c r="D811" t="s">
        <v>27</v>
      </c>
      <c r="E811" t="s">
        <v>100</v>
      </c>
      <c r="F811" t="s">
        <v>101</v>
      </c>
      <c r="G811">
        <v>254</v>
      </c>
      <c r="H811" t="s">
        <v>102</v>
      </c>
      <c r="I811" t="s">
        <v>160</v>
      </c>
      <c r="J811" t="s">
        <v>157</v>
      </c>
      <c r="K811">
        <v>1200</v>
      </c>
      <c r="L811">
        <v>120010</v>
      </c>
      <c r="M811" t="s">
        <v>196</v>
      </c>
      <c r="N811" s="98">
        <v>1164</v>
      </c>
      <c r="O811" s="98">
        <v>0</v>
      </c>
      <c r="P811" s="98">
        <v>1164</v>
      </c>
      <c r="Q811" s="98">
        <v>-1164</v>
      </c>
    </row>
    <row r="812" spans="1:17" x14ac:dyDescent="0.35">
      <c r="A812" t="s">
        <v>116</v>
      </c>
      <c r="B812" t="s">
        <v>117</v>
      </c>
      <c r="C812">
        <v>7</v>
      </c>
      <c r="D812" t="s">
        <v>27</v>
      </c>
      <c r="E812" t="s">
        <v>100</v>
      </c>
      <c r="F812" t="s">
        <v>101</v>
      </c>
      <c r="G812">
        <v>254</v>
      </c>
      <c r="H812" t="s">
        <v>102</v>
      </c>
      <c r="I812" t="s">
        <v>160</v>
      </c>
      <c r="J812" t="s">
        <v>157</v>
      </c>
      <c r="K812">
        <v>1200</v>
      </c>
      <c r="L812">
        <v>120010</v>
      </c>
      <c r="M812" t="s">
        <v>196</v>
      </c>
      <c r="N812" s="98">
        <v>1164</v>
      </c>
      <c r="O812" s="98">
        <v>0</v>
      </c>
      <c r="P812" s="98">
        <v>1164</v>
      </c>
      <c r="Q812" s="98">
        <v>-1164</v>
      </c>
    </row>
    <row r="813" spans="1:17" x14ac:dyDescent="0.35">
      <c r="A813" t="s">
        <v>118</v>
      </c>
      <c r="B813" t="s">
        <v>119</v>
      </c>
      <c r="C813">
        <v>8</v>
      </c>
      <c r="D813" t="s">
        <v>27</v>
      </c>
      <c r="E813" t="s">
        <v>100</v>
      </c>
      <c r="F813" t="s">
        <v>101</v>
      </c>
      <c r="G813">
        <v>254</v>
      </c>
      <c r="H813" t="s">
        <v>102</v>
      </c>
      <c r="I813" t="s">
        <v>160</v>
      </c>
      <c r="J813" t="s">
        <v>157</v>
      </c>
      <c r="K813">
        <v>1200</v>
      </c>
      <c r="L813">
        <v>120010</v>
      </c>
      <c r="M813" t="s">
        <v>196</v>
      </c>
      <c r="N813" s="98">
        <v>1164</v>
      </c>
      <c r="O813" s="98">
        <v>11046.27</v>
      </c>
      <c r="P813" s="98">
        <v>-9882.27</v>
      </c>
      <c r="Q813" s="98">
        <v>9882.27</v>
      </c>
    </row>
    <row r="814" spans="1:17" x14ac:dyDescent="0.35">
      <c r="A814" t="s">
        <v>120</v>
      </c>
      <c r="B814" t="s">
        <v>121</v>
      </c>
      <c r="C814">
        <v>9</v>
      </c>
      <c r="D814" t="s">
        <v>30</v>
      </c>
      <c r="E814" t="s">
        <v>5</v>
      </c>
      <c r="F814" t="s">
        <v>101</v>
      </c>
      <c r="G814">
        <v>254</v>
      </c>
      <c r="H814" t="s">
        <v>102</v>
      </c>
      <c r="I814" t="s">
        <v>160</v>
      </c>
      <c r="J814" t="s">
        <v>157</v>
      </c>
      <c r="K814">
        <v>1200</v>
      </c>
      <c r="L814">
        <v>120010</v>
      </c>
      <c r="M814" t="s">
        <v>196</v>
      </c>
      <c r="N814" s="98">
        <v>1164</v>
      </c>
      <c r="O814" s="98">
        <v>0</v>
      </c>
      <c r="P814" s="98">
        <v>0</v>
      </c>
      <c r="Q814" s="98">
        <v>-1164</v>
      </c>
    </row>
    <row r="815" spans="1:17" x14ac:dyDescent="0.35">
      <c r="A815" t="s">
        <v>122</v>
      </c>
      <c r="B815" t="s">
        <v>123</v>
      </c>
      <c r="C815">
        <v>10</v>
      </c>
      <c r="D815" t="s">
        <v>30</v>
      </c>
      <c r="E815" t="s">
        <v>5</v>
      </c>
      <c r="F815" t="s">
        <v>101</v>
      </c>
      <c r="G815">
        <v>254</v>
      </c>
      <c r="H815" t="s">
        <v>102</v>
      </c>
      <c r="I815" t="s">
        <v>160</v>
      </c>
      <c r="J815" t="s">
        <v>157</v>
      </c>
      <c r="K815">
        <v>1200</v>
      </c>
      <c r="L815">
        <v>120010</v>
      </c>
      <c r="M815" t="s">
        <v>196</v>
      </c>
      <c r="N815" s="98">
        <v>1164</v>
      </c>
      <c r="O815" s="98">
        <v>0</v>
      </c>
      <c r="P815" s="98">
        <v>0</v>
      </c>
      <c r="Q815" s="98">
        <v>-1164</v>
      </c>
    </row>
    <row r="816" spans="1:17" x14ac:dyDescent="0.35">
      <c r="A816" t="s">
        <v>124</v>
      </c>
      <c r="B816" t="s">
        <v>125</v>
      </c>
      <c r="C816">
        <v>11</v>
      </c>
      <c r="D816" t="s">
        <v>30</v>
      </c>
      <c r="E816" t="s">
        <v>5</v>
      </c>
      <c r="F816" t="s">
        <v>101</v>
      </c>
      <c r="G816">
        <v>254</v>
      </c>
      <c r="H816" t="s">
        <v>102</v>
      </c>
      <c r="I816" t="s">
        <v>160</v>
      </c>
      <c r="J816" t="s">
        <v>157</v>
      </c>
      <c r="K816">
        <v>1200</v>
      </c>
      <c r="L816">
        <v>120010</v>
      </c>
      <c r="M816" t="s">
        <v>196</v>
      </c>
      <c r="N816" s="98">
        <v>1164</v>
      </c>
      <c r="O816" s="98">
        <v>0</v>
      </c>
      <c r="P816" s="98">
        <v>0</v>
      </c>
      <c r="Q816" s="98">
        <v>-1164</v>
      </c>
    </row>
    <row r="817" spans="1:17" x14ac:dyDescent="0.35">
      <c r="A817" t="s">
        <v>126</v>
      </c>
      <c r="B817" t="s">
        <v>127</v>
      </c>
      <c r="C817">
        <v>12</v>
      </c>
      <c r="D817" t="s">
        <v>30</v>
      </c>
      <c r="E817" t="s">
        <v>5</v>
      </c>
      <c r="F817" t="s">
        <v>101</v>
      </c>
      <c r="G817">
        <v>254</v>
      </c>
      <c r="H817" t="s">
        <v>102</v>
      </c>
      <c r="I817" t="s">
        <v>160</v>
      </c>
      <c r="J817" t="s">
        <v>157</v>
      </c>
      <c r="K817">
        <v>1200</v>
      </c>
      <c r="L817">
        <v>120010</v>
      </c>
      <c r="M817" t="s">
        <v>196</v>
      </c>
      <c r="N817" s="98">
        <v>1196</v>
      </c>
      <c r="O817" s="98">
        <v>0</v>
      </c>
      <c r="P817" s="98">
        <v>0</v>
      </c>
      <c r="Q817" s="98">
        <v>-1196</v>
      </c>
    </row>
    <row r="818" spans="1:17" x14ac:dyDescent="0.35">
      <c r="A818" t="s">
        <v>98</v>
      </c>
      <c r="B818" t="s">
        <v>99</v>
      </c>
      <c r="C818">
        <v>1</v>
      </c>
      <c r="D818" t="s">
        <v>23</v>
      </c>
      <c r="E818" t="s">
        <v>100</v>
      </c>
      <c r="F818" t="s">
        <v>101</v>
      </c>
      <c r="G818">
        <v>254</v>
      </c>
      <c r="H818" t="s">
        <v>102</v>
      </c>
      <c r="I818" t="s">
        <v>160</v>
      </c>
      <c r="J818" t="s">
        <v>157</v>
      </c>
      <c r="K818">
        <v>1200</v>
      </c>
      <c r="L818">
        <v>120015</v>
      </c>
      <c r="M818" t="s">
        <v>197</v>
      </c>
      <c r="N818" s="98">
        <v>1868</v>
      </c>
      <c r="O818" s="98">
        <v>0</v>
      </c>
      <c r="P818" s="98">
        <v>1868</v>
      </c>
      <c r="Q818" s="98">
        <v>-1868</v>
      </c>
    </row>
    <row r="819" spans="1:17" x14ac:dyDescent="0.35">
      <c r="A819" t="s">
        <v>106</v>
      </c>
      <c r="B819" t="s">
        <v>107</v>
      </c>
      <c r="C819">
        <v>2</v>
      </c>
      <c r="D819" t="s">
        <v>23</v>
      </c>
      <c r="E819" t="s">
        <v>100</v>
      </c>
      <c r="F819" t="s">
        <v>101</v>
      </c>
      <c r="G819">
        <v>254</v>
      </c>
      <c r="H819" t="s">
        <v>102</v>
      </c>
      <c r="I819" t="s">
        <v>160</v>
      </c>
      <c r="J819" t="s">
        <v>157</v>
      </c>
      <c r="K819">
        <v>1200</v>
      </c>
      <c r="L819">
        <v>120015</v>
      </c>
      <c r="M819" t="s">
        <v>197</v>
      </c>
      <c r="N819" s="98">
        <v>1868</v>
      </c>
      <c r="O819" s="98">
        <v>0</v>
      </c>
      <c r="P819" s="98">
        <v>1868</v>
      </c>
      <c r="Q819" s="98">
        <v>-1868</v>
      </c>
    </row>
    <row r="820" spans="1:17" x14ac:dyDescent="0.35">
      <c r="A820" t="s">
        <v>108</v>
      </c>
      <c r="B820" t="s">
        <v>109</v>
      </c>
      <c r="C820">
        <v>3</v>
      </c>
      <c r="D820" t="s">
        <v>23</v>
      </c>
      <c r="E820" t="s">
        <v>100</v>
      </c>
      <c r="F820" t="s">
        <v>101</v>
      </c>
      <c r="G820">
        <v>254</v>
      </c>
      <c r="H820" t="s">
        <v>102</v>
      </c>
      <c r="I820" t="s">
        <v>160</v>
      </c>
      <c r="J820" t="s">
        <v>157</v>
      </c>
      <c r="K820">
        <v>1200</v>
      </c>
      <c r="L820">
        <v>120015</v>
      </c>
      <c r="M820" t="s">
        <v>197</v>
      </c>
      <c r="N820" s="98">
        <v>1868</v>
      </c>
      <c r="O820" s="98">
        <v>0</v>
      </c>
      <c r="P820" s="98">
        <v>1868</v>
      </c>
      <c r="Q820" s="98">
        <v>-1868</v>
      </c>
    </row>
    <row r="821" spans="1:17" x14ac:dyDescent="0.35">
      <c r="A821" t="s">
        <v>110</v>
      </c>
      <c r="B821" t="s">
        <v>111</v>
      </c>
      <c r="C821">
        <v>4</v>
      </c>
      <c r="D821" t="s">
        <v>23</v>
      </c>
      <c r="E821" t="s">
        <v>100</v>
      </c>
      <c r="F821" t="s">
        <v>101</v>
      </c>
      <c r="G821">
        <v>254</v>
      </c>
      <c r="H821" t="s">
        <v>102</v>
      </c>
      <c r="I821" t="s">
        <v>160</v>
      </c>
      <c r="J821" t="s">
        <v>157</v>
      </c>
      <c r="K821">
        <v>1200</v>
      </c>
      <c r="L821">
        <v>120015</v>
      </c>
      <c r="M821" t="s">
        <v>197</v>
      </c>
      <c r="N821" s="98">
        <v>1868</v>
      </c>
      <c r="O821" s="98">
        <v>5026.2</v>
      </c>
      <c r="P821" s="98">
        <v>-3158.2</v>
      </c>
      <c r="Q821" s="98">
        <v>3158.2</v>
      </c>
    </row>
    <row r="822" spans="1:17" x14ac:dyDescent="0.35">
      <c r="A822" t="s">
        <v>112</v>
      </c>
      <c r="B822" t="s">
        <v>113</v>
      </c>
      <c r="C822">
        <v>5</v>
      </c>
      <c r="D822" t="s">
        <v>27</v>
      </c>
      <c r="E822" t="s">
        <v>100</v>
      </c>
      <c r="F822" t="s">
        <v>101</v>
      </c>
      <c r="G822">
        <v>254</v>
      </c>
      <c r="H822" t="s">
        <v>102</v>
      </c>
      <c r="I822" t="s">
        <v>160</v>
      </c>
      <c r="J822" t="s">
        <v>157</v>
      </c>
      <c r="K822">
        <v>1200</v>
      </c>
      <c r="L822">
        <v>120015</v>
      </c>
      <c r="M822" t="s">
        <v>197</v>
      </c>
      <c r="N822" s="98">
        <v>1868</v>
      </c>
      <c r="O822" s="98">
        <v>0</v>
      </c>
      <c r="P822" s="98">
        <v>1868</v>
      </c>
      <c r="Q822" s="98">
        <v>-1868</v>
      </c>
    </row>
    <row r="823" spans="1:17" x14ac:dyDescent="0.35">
      <c r="A823" t="s">
        <v>114</v>
      </c>
      <c r="B823" t="s">
        <v>115</v>
      </c>
      <c r="C823">
        <v>6</v>
      </c>
      <c r="D823" t="s">
        <v>27</v>
      </c>
      <c r="E823" t="s">
        <v>100</v>
      </c>
      <c r="F823" t="s">
        <v>101</v>
      </c>
      <c r="G823">
        <v>254</v>
      </c>
      <c r="H823" t="s">
        <v>102</v>
      </c>
      <c r="I823" t="s">
        <v>160</v>
      </c>
      <c r="J823" t="s">
        <v>157</v>
      </c>
      <c r="K823">
        <v>1200</v>
      </c>
      <c r="L823">
        <v>120015</v>
      </c>
      <c r="M823" t="s">
        <v>197</v>
      </c>
      <c r="N823" s="98">
        <v>1868</v>
      </c>
      <c r="O823" s="98">
        <v>5760</v>
      </c>
      <c r="P823" s="98">
        <v>-3892</v>
      </c>
      <c r="Q823" s="98">
        <v>3892</v>
      </c>
    </row>
    <row r="824" spans="1:17" x14ac:dyDescent="0.35">
      <c r="A824" t="s">
        <v>116</v>
      </c>
      <c r="B824" t="s">
        <v>117</v>
      </c>
      <c r="C824">
        <v>7</v>
      </c>
      <c r="D824" t="s">
        <v>27</v>
      </c>
      <c r="E824" t="s">
        <v>100</v>
      </c>
      <c r="F824" t="s">
        <v>101</v>
      </c>
      <c r="G824">
        <v>254</v>
      </c>
      <c r="H824" t="s">
        <v>102</v>
      </c>
      <c r="I824" t="s">
        <v>160</v>
      </c>
      <c r="J824" t="s">
        <v>157</v>
      </c>
      <c r="K824">
        <v>1200</v>
      </c>
      <c r="L824">
        <v>120015</v>
      </c>
      <c r="M824" t="s">
        <v>197</v>
      </c>
      <c r="N824" s="98">
        <v>1868</v>
      </c>
      <c r="O824" s="98">
        <v>0</v>
      </c>
      <c r="P824" s="98">
        <v>1868</v>
      </c>
      <c r="Q824" s="98">
        <v>-1868</v>
      </c>
    </row>
    <row r="825" spans="1:17" x14ac:dyDescent="0.35">
      <c r="A825" t="s">
        <v>118</v>
      </c>
      <c r="B825" t="s">
        <v>119</v>
      </c>
      <c r="C825">
        <v>8</v>
      </c>
      <c r="D825" t="s">
        <v>27</v>
      </c>
      <c r="E825" t="s">
        <v>100</v>
      </c>
      <c r="F825" t="s">
        <v>101</v>
      </c>
      <c r="G825">
        <v>254</v>
      </c>
      <c r="H825" t="s">
        <v>102</v>
      </c>
      <c r="I825" t="s">
        <v>160</v>
      </c>
      <c r="J825" t="s">
        <v>157</v>
      </c>
      <c r="K825">
        <v>1200</v>
      </c>
      <c r="L825">
        <v>120015</v>
      </c>
      <c r="M825" t="s">
        <v>197</v>
      </c>
      <c r="N825" s="98">
        <v>1868</v>
      </c>
      <c r="O825" s="98">
        <v>0</v>
      </c>
      <c r="P825" s="98">
        <v>1868</v>
      </c>
      <c r="Q825" s="98">
        <v>-1868</v>
      </c>
    </row>
    <row r="826" spans="1:17" x14ac:dyDescent="0.35">
      <c r="A826" t="s">
        <v>120</v>
      </c>
      <c r="B826" t="s">
        <v>121</v>
      </c>
      <c r="C826">
        <v>9</v>
      </c>
      <c r="D826" t="s">
        <v>30</v>
      </c>
      <c r="E826" t="s">
        <v>5</v>
      </c>
      <c r="F826" t="s">
        <v>101</v>
      </c>
      <c r="G826">
        <v>254</v>
      </c>
      <c r="H826" t="s">
        <v>102</v>
      </c>
      <c r="I826" t="s">
        <v>160</v>
      </c>
      <c r="J826" t="s">
        <v>157</v>
      </c>
      <c r="K826">
        <v>1200</v>
      </c>
      <c r="L826">
        <v>120015</v>
      </c>
      <c r="M826" t="s">
        <v>197</v>
      </c>
      <c r="N826" s="98">
        <v>1868</v>
      </c>
      <c r="O826" s="98">
        <v>0</v>
      </c>
      <c r="P826" s="98">
        <v>0</v>
      </c>
      <c r="Q826" s="98">
        <v>-1868</v>
      </c>
    </row>
    <row r="827" spans="1:17" x14ac:dyDescent="0.35">
      <c r="A827" t="s">
        <v>122</v>
      </c>
      <c r="B827" t="s">
        <v>123</v>
      </c>
      <c r="C827">
        <v>10</v>
      </c>
      <c r="D827" t="s">
        <v>30</v>
      </c>
      <c r="E827" t="s">
        <v>5</v>
      </c>
      <c r="F827" t="s">
        <v>101</v>
      </c>
      <c r="G827">
        <v>254</v>
      </c>
      <c r="H827" t="s">
        <v>102</v>
      </c>
      <c r="I827" t="s">
        <v>160</v>
      </c>
      <c r="J827" t="s">
        <v>157</v>
      </c>
      <c r="K827">
        <v>1200</v>
      </c>
      <c r="L827">
        <v>120015</v>
      </c>
      <c r="M827" t="s">
        <v>197</v>
      </c>
      <c r="N827" s="98">
        <v>1868</v>
      </c>
      <c r="O827" s="98">
        <v>0</v>
      </c>
      <c r="P827" s="98">
        <v>0</v>
      </c>
      <c r="Q827" s="98">
        <v>-1868</v>
      </c>
    </row>
    <row r="828" spans="1:17" x14ac:dyDescent="0.35">
      <c r="A828" t="s">
        <v>124</v>
      </c>
      <c r="B828" t="s">
        <v>125</v>
      </c>
      <c r="C828">
        <v>11</v>
      </c>
      <c r="D828" t="s">
        <v>30</v>
      </c>
      <c r="E828" t="s">
        <v>5</v>
      </c>
      <c r="F828" t="s">
        <v>101</v>
      </c>
      <c r="G828">
        <v>254</v>
      </c>
      <c r="H828" t="s">
        <v>102</v>
      </c>
      <c r="I828" t="s">
        <v>160</v>
      </c>
      <c r="J828" t="s">
        <v>157</v>
      </c>
      <c r="K828">
        <v>1200</v>
      </c>
      <c r="L828">
        <v>120015</v>
      </c>
      <c r="M828" t="s">
        <v>197</v>
      </c>
      <c r="N828" s="98">
        <v>1868</v>
      </c>
      <c r="O828" s="98">
        <v>0</v>
      </c>
      <c r="P828" s="98">
        <v>0</v>
      </c>
      <c r="Q828" s="98">
        <v>-1868</v>
      </c>
    </row>
    <row r="829" spans="1:17" x14ac:dyDescent="0.35">
      <c r="A829" t="s">
        <v>126</v>
      </c>
      <c r="B829" t="s">
        <v>127</v>
      </c>
      <c r="C829">
        <v>12</v>
      </c>
      <c r="D829" t="s">
        <v>30</v>
      </c>
      <c r="E829" t="s">
        <v>5</v>
      </c>
      <c r="F829" t="s">
        <v>101</v>
      </c>
      <c r="G829">
        <v>254</v>
      </c>
      <c r="H829" t="s">
        <v>102</v>
      </c>
      <c r="I829" t="s">
        <v>160</v>
      </c>
      <c r="J829" t="s">
        <v>157</v>
      </c>
      <c r="K829">
        <v>1200</v>
      </c>
      <c r="L829">
        <v>120015</v>
      </c>
      <c r="M829" t="s">
        <v>197</v>
      </c>
      <c r="N829" s="98">
        <v>1452</v>
      </c>
      <c r="O829" s="98">
        <v>0</v>
      </c>
      <c r="P829" s="98">
        <v>0</v>
      </c>
      <c r="Q829" s="98">
        <v>-1452</v>
      </c>
    </row>
    <row r="830" spans="1:17" x14ac:dyDescent="0.35">
      <c r="A830" t="s">
        <v>98</v>
      </c>
      <c r="B830" t="s">
        <v>99</v>
      </c>
      <c r="C830">
        <v>1</v>
      </c>
      <c r="D830" t="s">
        <v>23</v>
      </c>
      <c r="E830" t="s">
        <v>100</v>
      </c>
      <c r="F830" t="s">
        <v>101</v>
      </c>
      <c r="G830">
        <v>254</v>
      </c>
      <c r="H830" t="s">
        <v>102</v>
      </c>
      <c r="I830" t="s">
        <v>160</v>
      </c>
      <c r="J830" t="s">
        <v>157</v>
      </c>
      <c r="K830">
        <v>1200</v>
      </c>
      <c r="L830">
        <v>120030</v>
      </c>
      <c r="M830" t="s">
        <v>198</v>
      </c>
      <c r="N830" s="98">
        <v>0</v>
      </c>
      <c r="O830" s="98">
        <v>0</v>
      </c>
      <c r="P830" s="98">
        <v>0</v>
      </c>
      <c r="Q830" s="98">
        <v>0</v>
      </c>
    </row>
    <row r="831" spans="1:17" x14ac:dyDescent="0.35">
      <c r="A831" t="s">
        <v>106</v>
      </c>
      <c r="B831" t="s">
        <v>107</v>
      </c>
      <c r="C831">
        <v>2</v>
      </c>
      <c r="D831" t="s">
        <v>23</v>
      </c>
      <c r="E831" t="s">
        <v>100</v>
      </c>
      <c r="F831" t="s">
        <v>101</v>
      </c>
      <c r="G831">
        <v>254</v>
      </c>
      <c r="H831" t="s">
        <v>102</v>
      </c>
      <c r="I831" t="s">
        <v>160</v>
      </c>
      <c r="J831" t="s">
        <v>157</v>
      </c>
      <c r="K831">
        <v>1200</v>
      </c>
      <c r="L831">
        <v>120030</v>
      </c>
      <c r="M831" t="s">
        <v>198</v>
      </c>
      <c r="N831" s="98">
        <v>0</v>
      </c>
      <c r="O831" s="98">
        <v>0</v>
      </c>
      <c r="P831" s="98">
        <v>0</v>
      </c>
      <c r="Q831" s="98">
        <v>0</v>
      </c>
    </row>
    <row r="832" spans="1:17" x14ac:dyDescent="0.35">
      <c r="A832" t="s">
        <v>108</v>
      </c>
      <c r="B832" t="s">
        <v>109</v>
      </c>
      <c r="C832">
        <v>3</v>
      </c>
      <c r="D832" t="s">
        <v>23</v>
      </c>
      <c r="E832" t="s">
        <v>100</v>
      </c>
      <c r="F832" t="s">
        <v>101</v>
      </c>
      <c r="G832">
        <v>254</v>
      </c>
      <c r="H832" t="s">
        <v>102</v>
      </c>
      <c r="I832" t="s">
        <v>160</v>
      </c>
      <c r="J832" t="s">
        <v>157</v>
      </c>
      <c r="K832">
        <v>1200</v>
      </c>
      <c r="L832">
        <v>120030</v>
      </c>
      <c r="M832" t="s">
        <v>198</v>
      </c>
      <c r="N832" s="98">
        <v>0</v>
      </c>
      <c r="O832" s="98">
        <v>0</v>
      </c>
      <c r="P832" s="98">
        <v>0</v>
      </c>
      <c r="Q832" s="98">
        <v>0</v>
      </c>
    </row>
    <row r="833" spans="1:17" x14ac:dyDescent="0.35">
      <c r="A833" t="s">
        <v>110</v>
      </c>
      <c r="B833" t="s">
        <v>111</v>
      </c>
      <c r="C833">
        <v>4</v>
      </c>
      <c r="D833" t="s">
        <v>23</v>
      </c>
      <c r="E833" t="s">
        <v>100</v>
      </c>
      <c r="F833" t="s">
        <v>101</v>
      </c>
      <c r="G833">
        <v>254</v>
      </c>
      <c r="H833" t="s">
        <v>102</v>
      </c>
      <c r="I833" t="s">
        <v>160</v>
      </c>
      <c r="J833" t="s">
        <v>157</v>
      </c>
      <c r="K833">
        <v>1200</v>
      </c>
      <c r="L833">
        <v>120030</v>
      </c>
      <c r="M833" t="s">
        <v>198</v>
      </c>
      <c r="N833" s="98">
        <v>0</v>
      </c>
      <c r="O833" s="98">
        <v>0</v>
      </c>
      <c r="P833" s="98">
        <v>0</v>
      </c>
      <c r="Q833" s="98">
        <v>0</v>
      </c>
    </row>
    <row r="834" spans="1:17" x14ac:dyDescent="0.35">
      <c r="A834" t="s">
        <v>112</v>
      </c>
      <c r="B834" t="s">
        <v>113</v>
      </c>
      <c r="C834">
        <v>5</v>
      </c>
      <c r="D834" t="s">
        <v>27</v>
      </c>
      <c r="E834" t="s">
        <v>100</v>
      </c>
      <c r="F834" t="s">
        <v>101</v>
      </c>
      <c r="G834">
        <v>254</v>
      </c>
      <c r="H834" t="s">
        <v>102</v>
      </c>
      <c r="I834" t="s">
        <v>160</v>
      </c>
      <c r="J834" t="s">
        <v>157</v>
      </c>
      <c r="K834">
        <v>1200</v>
      </c>
      <c r="L834">
        <v>120030</v>
      </c>
      <c r="M834" t="s">
        <v>198</v>
      </c>
      <c r="N834" s="98">
        <v>0</v>
      </c>
      <c r="O834" s="98">
        <v>0</v>
      </c>
      <c r="P834" s="98">
        <v>0</v>
      </c>
      <c r="Q834" s="98">
        <v>0</v>
      </c>
    </row>
    <row r="835" spans="1:17" x14ac:dyDescent="0.35">
      <c r="A835" t="s">
        <v>114</v>
      </c>
      <c r="B835" t="s">
        <v>115</v>
      </c>
      <c r="C835">
        <v>6</v>
      </c>
      <c r="D835" t="s">
        <v>27</v>
      </c>
      <c r="E835" t="s">
        <v>100</v>
      </c>
      <c r="F835" t="s">
        <v>101</v>
      </c>
      <c r="G835">
        <v>254</v>
      </c>
      <c r="H835" t="s">
        <v>102</v>
      </c>
      <c r="I835" t="s">
        <v>160</v>
      </c>
      <c r="J835" t="s">
        <v>157</v>
      </c>
      <c r="K835">
        <v>1200</v>
      </c>
      <c r="L835">
        <v>120030</v>
      </c>
      <c r="M835" t="s">
        <v>198</v>
      </c>
      <c r="N835" s="98">
        <v>0</v>
      </c>
      <c r="O835" s="98">
        <v>0</v>
      </c>
      <c r="P835" s="98">
        <v>0</v>
      </c>
      <c r="Q835" s="98">
        <v>0</v>
      </c>
    </row>
    <row r="836" spans="1:17" x14ac:dyDescent="0.35">
      <c r="A836" t="s">
        <v>116</v>
      </c>
      <c r="B836" t="s">
        <v>117</v>
      </c>
      <c r="C836">
        <v>7</v>
      </c>
      <c r="D836" t="s">
        <v>27</v>
      </c>
      <c r="E836" t="s">
        <v>100</v>
      </c>
      <c r="F836" t="s">
        <v>101</v>
      </c>
      <c r="G836">
        <v>254</v>
      </c>
      <c r="H836" t="s">
        <v>102</v>
      </c>
      <c r="I836" t="s">
        <v>160</v>
      </c>
      <c r="J836" t="s">
        <v>157</v>
      </c>
      <c r="K836">
        <v>1200</v>
      </c>
      <c r="L836">
        <v>120030</v>
      </c>
      <c r="M836" t="s">
        <v>198</v>
      </c>
      <c r="N836" s="98">
        <v>0</v>
      </c>
      <c r="O836" s="98">
        <v>0</v>
      </c>
      <c r="P836" s="98">
        <v>0</v>
      </c>
      <c r="Q836" s="98">
        <v>0</v>
      </c>
    </row>
    <row r="837" spans="1:17" x14ac:dyDescent="0.35">
      <c r="A837" t="s">
        <v>118</v>
      </c>
      <c r="B837" t="s">
        <v>119</v>
      </c>
      <c r="C837">
        <v>8</v>
      </c>
      <c r="D837" t="s">
        <v>27</v>
      </c>
      <c r="E837" t="s">
        <v>100</v>
      </c>
      <c r="F837" t="s">
        <v>101</v>
      </c>
      <c r="G837">
        <v>254</v>
      </c>
      <c r="H837" t="s">
        <v>102</v>
      </c>
      <c r="I837" t="s">
        <v>160</v>
      </c>
      <c r="J837" t="s">
        <v>157</v>
      </c>
      <c r="K837">
        <v>1200</v>
      </c>
      <c r="L837">
        <v>120030</v>
      </c>
      <c r="M837" t="s">
        <v>198</v>
      </c>
      <c r="N837" s="98">
        <v>0</v>
      </c>
      <c r="O837" s="98">
        <v>0</v>
      </c>
      <c r="P837" s="98">
        <v>0</v>
      </c>
      <c r="Q837" s="98">
        <v>0</v>
      </c>
    </row>
    <row r="838" spans="1:17" x14ac:dyDescent="0.35">
      <c r="A838" t="s">
        <v>120</v>
      </c>
      <c r="B838" t="s">
        <v>121</v>
      </c>
      <c r="C838">
        <v>9</v>
      </c>
      <c r="D838" t="s">
        <v>30</v>
      </c>
      <c r="E838" t="s">
        <v>5</v>
      </c>
      <c r="F838" t="s">
        <v>101</v>
      </c>
      <c r="G838">
        <v>254</v>
      </c>
      <c r="H838" t="s">
        <v>102</v>
      </c>
      <c r="I838" t="s">
        <v>160</v>
      </c>
      <c r="J838" t="s">
        <v>157</v>
      </c>
      <c r="K838">
        <v>1200</v>
      </c>
      <c r="L838">
        <v>120030</v>
      </c>
      <c r="M838" t="s">
        <v>198</v>
      </c>
      <c r="N838" s="98">
        <v>0</v>
      </c>
      <c r="O838" s="98">
        <v>0</v>
      </c>
      <c r="P838" s="98">
        <v>0</v>
      </c>
      <c r="Q838" s="98">
        <v>0</v>
      </c>
    </row>
    <row r="839" spans="1:17" x14ac:dyDescent="0.35">
      <c r="A839" t="s">
        <v>122</v>
      </c>
      <c r="B839" t="s">
        <v>123</v>
      </c>
      <c r="C839">
        <v>10</v>
      </c>
      <c r="D839" t="s">
        <v>30</v>
      </c>
      <c r="E839" t="s">
        <v>5</v>
      </c>
      <c r="F839" t="s">
        <v>101</v>
      </c>
      <c r="G839">
        <v>254</v>
      </c>
      <c r="H839" t="s">
        <v>102</v>
      </c>
      <c r="I839" t="s">
        <v>160</v>
      </c>
      <c r="J839" t="s">
        <v>157</v>
      </c>
      <c r="K839">
        <v>1200</v>
      </c>
      <c r="L839">
        <v>120030</v>
      </c>
      <c r="M839" t="s">
        <v>198</v>
      </c>
      <c r="N839" s="98">
        <v>0</v>
      </c>
      <c r="O839" s="98">
        <v>0</v>
      </c>
      <c r="P839" s="98">
        <v>0</v>
      </c>
      <c r="Q839" s="98">
        <v>0</v>
      </c>
    </row>
    <row r="840" spans="1:17" x14ac:dyDescent="0.35">
      <c r="A840" t="s">
        <v>124</v>
      </c>
      <c r="B840" t="s">
        <v>125</v>
      </c>
      <c r="C840">
        <v>11</v>
      </c>
      <c r="D840" t="s">
        <v>30</v>
      </c>
      <c r="E840" t="s">
        <v>5</v>
      </c>
      <c r="F840" t="s">
        <v>101</v>
      </c>
      <c r="G840">
        <v>254</v>
      </c>
      <c r="H840" t="s">
        <v>102</v>
      </c>
      <c r="I840" t="s">
        <v>160</v>
      </c>
      <c r="J840" t="s">
        <v>157</v>
      </c>
      <c r="K840">
        <v>1200</v>
      </c>
      <c r="L840">
        <v>120030</v>
      </c>
      <c r="M840" t="s">
        <v>198</v>
      </c>
      <c r="N840" s="98">
        <v>0</v>
      </c>
      <c r="O840" s="98">
        <v>0</v>
      </c>
      <c r="P840" s="98">
        <v>0</v>
      </c>
      <c r="Q840" s="98">
        <v>0</v>
      </c>
    </row>
    <row r="841" spans="1:17" x14ac:dyDescent="0.35">
      <c r="A841" t="s">
        <v>126</v>
      </c>
      <c r="B841" t="s">
        <v>127</v>
      </c>
      <c r="C841">
        <v>12</v>
      </c>
      <c r="D841" t="s">
        <v>30</v>
      </c>
      <c r="E841" t="s">
        <v>5</v>
      </c>
      <c r="F841" t="s">
        <v>101</v>
      </c>
      <c r="G841">
        <v>254</v>
      </c>
      <c r="H841" t="s">
        <v>102</v>
      </c>
      <c r="I841" t="s">
        <v>160</v>
      </c>
      <c r="J841" t="s">
        <v>157</v>
      </c>
      <c r="K841">
        <v>1200</v>
      </c>
      <c r="L841">
        <v>120030</v>
      </c>
      <c r="M841" t="s">
        <v>198</v>
      </c>
      <c r="N841" s="98">
        <v>0</v>
      </c>
      <c r="O841" s="98">
        <v>0</v>
      </c>
      <c r="P841" s="98">
        <v>0</v>
      </c>
      <c r="Q841" s="98">
        <v>0</v>
      </c>
    </row>
    <row r="842" spans="1:17" x14ac:dyDescent="0.35">
      <c r="A842" t="s">
        <v>98</v>
      </c>
      <c r="B842" t="s">
        <v>99</v>
      </c>
      <c r="C842">
        <v>1</v>
      </c>
      <c r="D842" t="s">
        <v>23</v>
      </c>
      <c r="E842" t="s">
        <v>100</v>
      </c>
      <c r="F842" t="s">
        <v>101</v>
      </c>
      <c r="G842">
        <v>254</v>
      </c>
      <c r="H842" t="s">
        <v>102</v>
      </c>
      <c r="I842" t="s">
        <v>160</v>
      </c>
      <c r="J842" t="s">
        <v>157</v>
      </c>
      <c r="K842">
        <v>1200</v>
      </c>
      <c r="L842">
        <v>120045</v>
      </c>
      <c r="M842" t="s">
        <v>199</v>
      </c>
      <c r="N842" s="98">
        <v>0</v>
      </c>
      <c r="O842" s="98">
        <v>0</v>
      </c>
      <c r="P842" s="98">
        <v>0</v>
      </c>
      <c r="Q842" s="98">
        <v>0</v>
      </c>
    </row>
    <row r="843" spans="1:17" x14ac:dyDescent="0.35">
      <c r="A843" t="s">
        <v>106</v>
      </c>
      <c r="B843" t="s">
        <v>107</v>
      </c>
      <c r="C843">
        <v>2</v>
      </c>
      <c r="D843" t="s">
        <v>23</v>
      </c>
      <c r="E843" t="s">
        <v>100</v>
      </c>
      <c r="F843" t="s">
        <v>101</v>
      </c>
      <c r="G843">
        <v>254</v>
      </c>
      <c r="H843" t="s">
        <v>102</v>
      </c>
      <c r="I843" t="s">
        <v>160</v>
      </c>
      <c r="J843" t="s">
        <v>157</v>
      </c>
      <c r="K843">
        <v>1200</v>
      </c>
      <c r="L843">
        <v>120045</v>
      </c>
      <c r="M843" t="s">
        <v>199</v>
      </c>
      <c r="N843" s="98">
        <v>0</v>
      </c>
      <c r="O843" s="98">
        <v>0</v>
      </c>
      <c r="P843" s="98">
        <v>0</v>
      </c>
      <c r="Q843" s="98">
        <v>0</v>
      </c>
    </row>
    <row r="844" spans="1:17" x14ac:dyDescent="0.35">
      <c r="A844" t="s">
        <v>108</v>
      </c>
      <c r="B844" t="s">
        <v>109</v>
      </c>
      <c r="C844">
        <v>3</v>
      </c>
      <c r="D844" t="s">
        <v>23</v>
      </c>
      <c r="E844" t="s">
        <v>100</v>
      </c>
      <c r="F844" t="s">
        <v>101</v>
      </c>
      <c r="G844">
        <v>254</v>
      </c>
      <c r="H844" t="s">
        <v>102</v>
      </c>
      <c r="I844" t="s">
        <v>160</v>
      </c>
      <c r="J844" t="s">
        <v>157</v>
      </c>
      <c r="K844">
        <v>1200</v>
      </c>
      <c r="L844">
        <v>120045</v>
      </c>
      <c r="M844" t="s">
        <v>199</v>
      </c>
      <c r="N844" s="98">
        <v>0</v>
      </c>
      <c r="O844" s="98">
        <v>0</v>
      </c>
      <c r="P844" s="98">
        <v>0</v>
      </c>
      <c r="Q844" s="98">
        <v>0</v>
      </c>
    </row>
    <row r="845" spans="1:17" x14ac:dyDescent="0.35">
      <c r="A845" t="s">
        <v>110</v>
      </c>
      <c r="B845" t="s">
        <v>111</v>
      </c>
      <c r="C845">
        <v>4</v>
      </c>
      <c r="D845" t="s">
        <v>23</v>
      </c>
      <c r="E845" t="s">
        <v>100</v>
      </c>
      <c r="F845" t="s">
        <v>101</v>
      </c>
      <c r="G845">
        <v>254</v>
      </c>
      <c r="H845" t="s">
        <v>102</v>
      </c>
      <c r="I845" t="s">
        <v>160</v>
      </c>
      <c r="J845" t="s">
        <v>157</v>
      </c>
      <c r="K845">
        <v>1200</v>
      </c>
      <c r="L845">
        <v>120045</v>
      </c>
      <c r="M845" t="s">
        <v>199</v>
      </c>
      <c r="N845" s="98">
        <v>0</v>
      </c>
      <c r="O845" s="98">
        <v>0</v>
      </c>
      <c r="P845" s="98">
        <v>0</v>
      </c>
      <c r="Q845" s="98">
        <v>0</v>
      </c>
    </row>
    <row r="846" spans="1:17" x14ac:dyDescent="0.35">
      <c r="A846" t="s">
        <v>112</v>
      </c>
      <c r="B846" t="s">
        <v>113</v>
      </c>
      <c r="C846">
        <v>5</v>
      </c>
      <c r="D846" t="s">
        <v>27</v>
      </c>
      <c r="E846" t="s">
        <v>100</v>
      </c>
      <c r="F846" t="s">
        <v>101</v>
      </c>
      <c r="G846">
        <v>254</v>
      </c>
      <c r="H846" t="s">
        <v>102</v>
      </c>
      <c r="I846" t="s">
        <v>160</v>
      </c>
      <c r="J846" t="s">
        <v>157</v>
      </c>
      <c r="K846">
        <v>1200</v>
      </c>
      <c r="L846">
        <v>120045</v>
      </c>
      <c r="M846" t="s">
        <v>199</v>
      </c>
      <c r="N846" s="98">
        <v>0</v>
      </c>
      <c r="O846" s="98">
        <v>0</v>
      </c>
      <c r="P846" s="98">
        <v>0</v>
      </c>
      <c r="Q846" s="98">
        <v>0</v>
      </c>
    </row>
    <row r="847" spans="1:17" x14ac:dyDescent="0.35">
      <c r="A847" t="s">
        <v>114</v>
      </c>
      <c r="B847" t="s">
        <v>115</v>
      </c>
      <c r="C847">
        <v>6</v>
      </c>
      <c r="D847" t="s">
        <v>27</v>
      </c>
      <c r="E847" t="s">
        <v>100</v>
      </c>
      <c r="F847" t="s">
        <v>101</v>
      </c>
      <c r="G847">
        <v>254</v>
      </c>
      <c r="H847" t="s">
        <v>102</v>
      </c>
      <c r="I847" t="s">
        <v>160</v>
      </c>
      <c r="J847" t="s">
        <v>157</v>
      </c>
      <c r="K847">
        <v>1200</v>
      </c>
      <c r="L847">
        <v>120045</v>
      </c>
      <c r="M847" t="s">
        <v>199</v>
      </c>
      <c r="N847" s="98">
        <v>0</v>
      </c>
      <c r="O847" s="98">
        <v>3314.4</v>
      </c>
      <c r="P847" s="98">
        <v>-3314.4</v>
      </c>
      <c r="Q847" s="98">
        <v>3314.4</v>
      </c>
    </row>
    <row r="848" spans="1:17" x14ac:dyDescent="0.35">
      <c r="A848" t="s">
        <v>116</v>
      </c>
      <c r="B848" t="s">
        <v>117</v>
      </c>
      <c r="C848">
        <v>7</v>
      </c>
      <c r="D848" t="s">
        <v>27</v>
      </c>
      <c r="E848" t="s">
        <v>100</v>
      </c>
      <c r="F848" t="s">
        <v>101</v>
      </c>
      <c r="G848">
        <v>254</v>
      </c>
      <c r="H848" t="s">
        <v>102</v>
      </c>
      <c r="I848" t="s">
        <v>160</v>
      </c>
      <c r="J848" t="s">
        <v>157</v>
      </c>
      <c r="K848">
        <v>1200</v>
      </c>
      <c r="L848">
        <v>120045</v>
      </c>
      <c r="M848" t="s">
        <v>199</v>
      </c>
      <c r="N848" s="98">
        <v>0</v>
      </c>
      <c r="O848" s="98">
        <v>0</v>
      </c>
      <c r="P848" s="98">
        <v>0</v>
      </c>
      <c r="Q848" s="98">
        <v>0</v>
      </c>
    </row>
    <row r="849" spans="1:17" x14ac:dyDescent="0.35">
      <c r="A849" t="s">
        <v>118</v>
      </c>
      <c r="B849" t="s">
        <v>119</v>
      </c>
      <c r="C849">
        <v>8</v>
      </c>
      <c r="D849" t="s">
        <v>27</v>
      </c>
      <c r="E849" t="s">
        <v>100</v>
      </c>
      <c r="F849" t="s">
        <v>101</v>
      </c>
      <c r="G849">
        <v>254</v>
      </c>
      <c r="H849" t="s">
        <v>102</v>
      </c>
      <c r="I849" t="s">
        <v>160</v>
      </c>
      <c r="J849" t="s">
        <v>157</v>
      </c>
      <c r="K849">
        <v>1200</v>
      </c>
      <c r="L849">
        <v>120045</v>
      </c>
      <c r="M849" t="s">
        <v>199</v>
      </c>
      <c r="N849" s="98">
        <v>0</v>
      </c>
      <c r="O849" s="98">
        <v>0</v>
      </c>
      <c r="P849" s="98">
        <v>0</v>
      </c>
      <c r="Q849" s="98">
        <v>0</v>
      </c>
    </row>
    <row r="850" spans="1:17" x14ac:dyDescent="0.35">
      <c r="A850" t="s">
        <v>120</v>
      </c>
      <c r="B850" t="s">
        <v>121</v>
      </c>
      <c r="C850">
        <v>9</v>
      </c>
      <c r="D850" t="s">
        <v>30</v>
      </c>
      <c r="E850" t="s">
        <v>5</v>
      </c>
      <c r="F850" t="s">
        <v>101</v>
      </c>
      <c r="G850">
        <v>254</v>
      </c>
      <c r="H850" t="s">
        <v>102</v>
      </c>
      <c r="I850" t="s">
        <v>160</v>
      </c>
      <c r="J850" t="s">
        <v>157</v>
      </c>
      <c r="K850">
        <v>1200</v>
      </c>
      <c r="L850">
        <v>120045</v>
      </c>
      <c r="M850" t="s">
        <v>199</v>
      </c>
      <c r="N850" s="98">
        <v>0</v>
      </c>
      <c r="O850" s="98">
        <v>0</v>
      </c>
      <c r="P850" s="98">
        <v>0</v>
      </c>
      <c r="Q850" s="98">
        <v>0</v>
      </c>
    </row>
    <row r="851" spans="1:17" x14ac:dyDescent="0.35">
      <c r="A851" t="s">
        <v>122</v>
      </c>
      <c r="B851" t="s">
        <v>123</v>
      </c>
      <c r="C851">
        <v>10</v>
      </c>
      <c r="D851" t="s">
        <v>30</v>
      </c>
      <c r="E851" t="s">
        <v>5</v>
      </c>
      <c r="F851" t="s">
        <v>101</v>
      </c>
      <c r="G851">
        <v>254</v>
      </c>
      <c r="H851" t="s">
        <v>102</v>
      </c>
      <c r="I851" t="s">
        <v>160</v>
      </c>
      <c r="J851" t="s">
        <v>157</v>
      </c>
      <c r="K851">
        <v>1200</v>
      </c>
      <c r="L851">
        <v>120045</v>
      </c>
      <c r="M851" t="s">
        <v>199</v>
      </c>
      <c r="N851" s="98">
        <v>0</v>
      </c>
      <c r="O851" s="98">
        <v>0</v>
      </c>
      <c r="P851" s="98">
        <v>0</v>
      </c>
      <c r="Q851" s="98">
        <v>0</v>
      </c>
    </row>
    <row r="852" spans="1:17" x14ac:dyDescent="0.35">
      <c r="A852" t="s">
        <v>124</v>
      </c>
      <c r="B852" t="s">
        <v>125</v>
      </c>
      <c r="C852">
        <v>11</v>
      </c>
      <c r="D852" t="s">
        <v>30</v>
      </c>
      <c r="E852" t="s">
        <v>5</v>
      </c>
      <c r="F852" t="s">
        <v>101</v>
      </c>
      <c r="G852">
        <v>254</v>
      </c>
      <c r="H852" t="s">
        <v>102</v>
      </c>
      <c r="I852" t="s">
        <v>160</v>
      </c>
      <c r="J852" t="s">
        <v>157</v>
      </c>
      <c r="K852">
        <v>1200</v>
      </c>
      <c r="L852">
        <v>120045</v>
      </c>
      <c r="M852" t="s">
        <v>199</v>
      </c>
      <c r="N852" s="98">
        <v>0</v>
      </c>
      <c r="O852" s="98">
        <v>0</v>
      </c>
      <c r="P852" s="98">
        <v>0</v>
      </c>
      <c r="Q852" s="98">
        <v>0</v>
      </c>
    </row>
    <row r="853" spans="1:17" x14ac:dyDescent="0.35">
      <c r="A853" t="s">
        <v>126</v>
      </c>
      <c r="B853" t="s">
        <v>127</v>
      </c>
      <c r="C853">
        <v>12</v>
      </c>
      <c r="D853" t="s">
        <v>30</v>
      </c>
      <c r="E853" t="s">
        <v>5</v>
      </c>
      <c r="F853" t="s">
        <v>101</v>
      </c>
      <c r="G853">
        <v>254</v>
      </c>
      <c r="H853" t="s">
        <v>102</v>
      </c>
      <c r="I853" t="s">
        <v>160</v>
      </c>
      <c r="J853" t="s">
        <v>157</v>
      </c>
      <c r="K853">
        <v>1200</v>
      </c>
      <c r="L853">
        <v>120045</v>
      </c>
      <c r="M853" t="s">
        <v>199</v>
      </c>
      <c r="N853" s="98">
        <v>0</v>
      </c>
      <c r="O853" s="98">
        <v>0</v>
      </c>
      <c r="P853" s="98">
        <v>0</v>
      </c>
      <c r="Q853" s="98">
        <v>0</v>
      </c>
    </row>
    <row r="854" spans="1:17" x14ac:dyDescent="0.35">
      <c r="A854" t="s">
        <v>98</v>
      </c>
      <c r="B854" t="s">
        <v>99</v>
      </c>
      <c r="C854">
        <v>1</v>
      </c>
      <c r="D854" t="s">
        <v>23</v>
      </c>
      <c r="E854" t="s">
        <v>100</v>
      </c>
      <c r="F854" t="s">
        <v>101</v>
      </c>
      <c r="G854">
        <v>254</v>
      </c>
      <c r="H854" t="s">
        <v>102</v>
      </c>
      <c r="I854" t="s">
        <v>160</v>
      </c>
      <c r="J854" t="s">
        <v>157</v>
      </c>
      <c r="K854">
        <v>1200</v>
      </c>
      <c r="L854">
        <v>120090</v>
      </c>
      <c r="M854" t="s">
        <v>200</v>
      </c>
      <c r="N854" s="98">
        <v>0</v>
      </c>
      <c r="O854" s="98">
        <v>0</v>
      </c>
      <c r="P854" s="98">
        <v>0</v>
      </c>
      <c r="Q854" s="98">
        <v>0</v>
      </c>
    </row>
    <row r="855" spans="1:17" x14ac:dyDescent="0.35">
      <c r="A855" t="s">
        <v>106</v>
      </c>
      <c r="B855" t="s">
        <v>107</v>
      </c>
      <c r="C855">
        <v>2</v>
      </c>
      <c r="D855" t="s">
        <v>23</v>
      </c>
      <c r="E855" t="s">
        <v>100</v>
      </c>
      <c r="F855" t="s">
        <v>101</v>
      </c>
      <c r="G855">
        <v>254</v>
      </c>
      <c r="H855" t="s">
        <v>102</v>
      </c>
      <c r="I855" t="s">
        <v>160</v>
      </c>
      <c r="J855" t="s">
        <v>157</v>
      </c>
      <c r="K855">
        <v>1200</v>
      </c>
      <c r="L855">
        <v>120090</v>
      </c>
      <c r="M855" t="s">
        <v>200</v>
      </c>
      <c r="N855" s="98">
        <v>0</v>
      </c>
      <c r="O855" s="98">
        <v>0</v>
      </c>
      <c r="P855" s="98">
        <v>0</v>
      </c>
      <c r="Q855" s="98">
        <v>0</v>
      </c>
    </row>
    <row r="856" spans="1:17" x14ac:dyDescent="0.35">
      <c r="A856" t="s">
        <v>108</v>
      </c>
      <c r="B856" t="s">
        <v>109</v>
      </c>
      <c r="C856">
        <v>3</v>
      </c>
      <c r="D856" t="s">
        <v>23</v>
      </c>
      <c r="E856" t="s">
        <v>100</v>
      </c>
      <c r="F856" t="s">
        <v>101</v>
      </c>
      <c r="G856">
        <v>254</v>
      </c>
      <c r="H856" t="s">
        <v>102</v>
      </c>
      <c r="I856" t="s">
        <v>160</v>
      </c>
      <c r="J856" t="s">
        <v>157</v>
      </c>
      <c r="K856">
        <v>1200</v>
      </c>
      <c r="L856">
        <v>120090</v>
      </c>
      <c r="M856" t="s">
        <v>200</v>
      </c>
      <c r="N856" s="98">
        <v>0</v>
      </c>
      <c r="O856" s="98">
        <v>0</v>
      </c>
      <c r="P856" s="98">
        <v>0</v>
      </c>
      <c r="Q856" s="98">
        <v>0</v>
      </c>
    </row>
    <row r="857" spans="1:17" x14ac:dyDescent="0.35">
      <c r="A857" t="s">
        <v>110</v>
      </c>
      <c r="B857" t="s">
        <v>111</v>
      </c>
      <c r="C857">
        <v>4</v>
      </c>
      <c r="D857" t="s">
        <v>23</v>
      </c>
      <c r="E857" t="s">
        <v>100</v>
      </c>
      <c r="F857" t="s">
        <v>101</v>
      </c>
      <c r="G857">
        <v>254</v>
      </c>
      <c r="H857" t="s">
        <v>102</v>
      </c>
      <c r="I857" t="s">
        <v>160</v>
      </c>
      <c r="J857" t="s">
        <v>157</v>
      </c>
      <c r="K857">
        <v>1200</v>
      </c>
      <c r="L857">
        <v>120090</v>
      </c>
      <c r="M857" t="s">
        <v>200</v>
      </c>
      <c r="N857" s="98">
        <v>0</v>
      </c>
      <c r="O857" s="98">
        <v>0</v>
      </c>
      <c r="P857" s="98">
        <v>0</v>
      </c>
      <c r="Q857" s="98">
        <v>0</v>
      </c>
    </row>
    <row r="858" spans="1:17" x14ac:dyDescent="0.35">
      <c r="A858" t="s">
        <v>112</v>
      </c>
      <c r="B858" t="s">
        <v>113</v>
      </c>
      <c r="C858">
        <v>5</v>
      </c>
      <c r="D858" t="s">
        <v>27</v>
      </c>
      <c r="E858" t="s">
        <v>100</v>
      </c>
      <c r="F858" t="s">
        <v>101</v>
      </c>
      <c r="G858">
        <v>254</v>
      </c>
      <c r="H858" t="s">
        <v>102</v>
      </c>
      <c r="I858" t="s">
        <v>160</v>
      </c>
      <c r="J858" t="s">
        <v>157</v>
      </c>
      <c r="K858">
        <v>1200</v>
      </c>
      <c r="L858">
        <v>120090</v>
      </c>
      <c r="M858" t="s">
        <v>200</v>
      </c>
      <c r="N858" s="98">
        <v>0</v>
      </c>
      <c r="O858" s="98">
        <v>0</v>
      </c>
      <c r="P858" s="98">
        <v>0</v>
      </c>
      <c r="Q858" s="98">
        <v>0</v>
      </c>
    </row>
    <row r="859" spans="1:17" x14ac:dyDescent="0.35">
      <c r="A859" t="s">
        <v>114</v>
      </c>
      <c r="B859" t="s">
        <v>115</v>
      </c>
      <c r="C859">
        <v>6</v>
      </c>
      <c r="D859" t="s">
        <v>27</v>
      </c>
      <c r="E859" t="s">
        <v>100</v>
      </c>
      <c r="F859" t="s">
        <v>101</v>
      </c>
      <c r="G859">
        <v>254</v>
      </c>
      <c r="H859" t="s">
        <v>102</v>
      </c>
      <c r="I859" t="s">
        <v>160</v>
      </c>
      <c r="J859" t="s">
        <v>157</v>
      </c>
      <c r="K859">
        <v>1200</v>
      </c>
      <c r="L859">
        <v>120090</v>
      </c>
      <c r="M859" t="s">
        <v>200</v>
      </c>
      <c r="N859" s="98">
        <v>0</v>
      </c>
      <c r="O859" s="98">
        <v>0</v>
      </c>
      <c r="P859" s="98">
        <v>0</v>
      </c>
      <c r="Q859" s="98">
        <v>0</v>
      </c>
    </row>
    <row r="860" spans="1:17" x14ac:dyDescent="0.35">
      <c r="A860" t="s">
        <v>116</v>
      </c>
      <c r="B860" t="s">
        <v>117</v>
      </c>
      <c r="C860">
        <v>7</v>
      </c>
      <c r="D860" t="s">
        <v>27</v>
      </c>
      <c r="E860" t="s">
        <v>100</v>
      </c>
      <c r="F860" t="s">
        <v>101</v>
      </c>
      <c r="G860">
        <v>254</v>
      </c>
      <c r="H860" t="s">
        <v>102</v>
      </c>
      <c r="I860" t="s">
        <v>160</v>
      </c>
      <c r="J860" t="s">
        <v>157</v>
      </c>
      <c r="K860">
        <v>1200</v>
      </c>
      <c r="L860">
        <v>120090</v>
      </c>
      <c r="M860" t="s">
        <v>200</v>
      </c>
      <c r="N860" s="98">
        <v>0</v>
      </c>
      <c r="O860" s="98">
        <v>0</v>
      </c>
      <c r="P860" s="98">
        <v>0</v>
      </c>
      <c r="Q860" s="98">
        <v>0</v>
      </c>
    </row>
    <row r="861" spans="1:17" x14ac:dyDescent="0.35">
      <c r="A861" t="s">
        <v>118</v>
      </c>
      <c r="B861" t="s">
        <v>119</v>
      </c>
      <c r="C861">
        <v>8</v>
      </c>
      <c r="D861" t="s">
        <v>27</v>
      </c>
      <c r="E861" t="s">
        <v>100</v>
      </c>
      <c r="F861" t="s">
        <v>101</v>
      </c>
      <c r="G861">
        <v>254</v>
      </c>
      <c r="H861" t="s">
        <v>102</v>
      </c>
      <c r="I861" t="s">
        <v>160</v>
      </c>
      <c r="J861" t="s">
        <v>157</v>
      </c>
      <c r="K861">
        <v>1200</v>
      </c>
      <c r="L861">
        <v>120090</v>
      </c>
      <c r="M861" t="s">
        <v>200</v>
      </c>
      <c r="N861" s="98">
        <v>0</v>
      </c>
      <c r="O861" s="98">
        <v>0</v>
      </c>
      <c r="P861" s="98">
        <v>0</v>
      </c>
      <c r="Q861" s="98">
        <v>0</v>
      </c>
    </row>
    <row r="862" spans="1:17" x14ac:dyDescent="0.35">
      <c r="A862" t="s">
        <v>120</v>
      </c>
      <c r="B862" t="s">
        <v>121</v>
      </c>
      <c r="C862">
        <v>9</v>
      </c>
      <c r="D862" t="s">
        <v>30</v>
      </c>
      <c r="E862" t="s">
        <v>5</v>
      </c>
      <c r="F862" t="s">
        <v>101</v>
      </c>
      <c r="G862">
        <v>254</v>
      </c>
      <c r="H862" t="s">
        <v>102</v>
      </c>
      <c r="I862" t="s">
        <v>160</v>
      </c>
      <c r="J862" t="s">
        <v>157</v>
      </c>
      <c r="K862">
        <v>1200</v>
      </c>
      <c r="L862">
        <v>120090</v>
      </c>
      <c r="M862" t="s">
        <v>200</v>
      </c>
      <c r="N862" s="98">
        <v>0</v>
      </c>
      <c r="O862" s="98">
        <v>0</v>
      </c>
      <c r="P862" s="98">
        <v>0</v>
      </c>
      <c r="Q862" s="98">
        <v>0</v>
      </c>
    </row>
    <row r="863" spans="1:17" x14ac:dyDescent="0.35">
      <c r="A863" t="s">
        <v>122</v>
      </c>
      <c r="B863" t="s">
        <v>123</v>
      </c>
      <c r="C863">
        <v>10</v>
      </c>
      <c r="D863" t="s">
        <v>30</v>
      </c>
      <c r="E863" t="s">
        <v>5</v>
      </c>
      <c r="F863" t="s">
        <v>101</v>
      </c>
      <c r="G863">
        <v>254</v>
      </c>
      <c r="H863" t="s">
        <v>102</v>
      </c>
      <c r="I863" t="s">
        <v>160</v>
      </c>
      <c r="J863" t="s">
        <v>157</v>
      </c>
      <c r="K863">
        <v>1200</v>
      </c>
      <c r="L863">
        <v>120090</v>
      </c>
      <c r="M863" t="s">
        <v>200</v>
      </c>
      <c r="N863" s="98">
        <v>0</v>
      </c>
      <c r="O863" s="98">
        <v>0</v>
      </c>
      <c r="P863" s="98">
        <v>0</v>
      </c>
      <c r="Q863" s="98">
        <v>0</v>
      </c>
    </row>
    <row r="864" spans="1:17" x14ac:dyDescent="0.35">
      <c r="A864" t="s">
        <v>124</v>
      </c>
      <c r="B864" t="s">
        <v>125</v>
      </c>
      <c r="C864">
        <v>11</v>
      </c>
      <c r="D864" t="s">
        <v>30</v>
      </c>
      <c r="E864" t="s">
        <v>5</v>
      </c>
      <c r="F864" t="s">
        <v>101</v>
      </c>
      <c r="G864">
        <v>254</v>
      </c>
      <c r="H864" t="s">
        <v>102</v>
      </c>
      <c r="I864" t="s">
        <v>160</v>
      </c>
      <c r="J864" t="s">
        <v>157</v>
      </c>
      <c r="K864">
        <v>1200</v>
      </c>
      <c r="L864">
        <v>120090</v>
      </c>
      <c r="M864" t="s">
        <v>200</v>
      </c>
      <c r="N864" s="98">
        <v>0</v>
      </c>
      <c r="O864" s="98">
        <v>0</v>
      </c>
      <c r="P864" s="98">
        <v>0</v>
      </c>
      <c r="Q864" s="98">
        <v>0</v>
      </c>
    </row>
    <row r="865" spans="1:17" x14ac:dyDescent="0.35">
      <c r="A865" t="s">
        <v>126</v>
      </c>
      <c r="B865" t="s">
        <v>127</v>
      </c>
      <c r="C865">
        <v>12</v>
      </c>
      <c r="D865" t="s">
        <v>30</v>
      </c>
      <c r="E865" t="s">
        <v>5</v>
      </c>
      <c r="F865" t="s">
        <v>101</v>
      </c>
      <c r="G865">
        <v>254</v>
      </c>
      <c r="H865" t="s">
        <v>102</v>
      </c>
      <c r="I865" t="s">
        <v>160</v>
      </c>
      <c r="J865" t="s">
        <v>157</v>
      </c>
      <c r="K865">
        <v>1200</v>
      </c>
      <c r="L865">
        <v>120090</v>
      </c>
      <c r="M865" t="s">
        <v>200</v>
      </c>
      <c r="N865" s="98">
        <v>0</v>
      </c>
      <c r="O865" s="98">
        <v>0</v>
      </c>
      <c r="P865" s="98">
        <v>0</v>
      </c>
      <c r="Q865" s="98">
        <v>0</v>
      </c>
    </row>
    <row r="866" spans="1:17" x14ac:dyDescent="0.35">
      <c r="A866" t="s">
        <v>98</v>
      </c>
      <c r="B866" t="s">
        <v>99</v>
      </c>
      <c r="C866">
        <v>1</v>
      </c>
      <c r="D866" t="s">
        <v>23</v>
      </c>
      <c r="E866" t="s">
        <v>100</v>
      </c>
      <c r="F866" t="s">
        <v>101</v>
      </c>
      <c r="G866">
        <v>254</v>
      </c>
      <c r="H866" t="s">
        <v>102</v>
      </c>
      <c r="I866" t="s">
        <v>160</v>
      </c>
      <c r="J866" t="s">
        <v>157</v>
      </c>
      <c r="K866">
        <v>1210</v>
      </c>
      <c r="L866">
        <v>121010</v>
      </c>
      <c r="M866" t="s">
        <v>201</v>
      </c>
      <c r="N866" s="98">
        <v>0</v>
      </c>
      <c r="O866" s="98">
        <v>221.4</v>
      </c>
      <c r="P866" s="98">
        <v>-221.4</v>
      </c>
      <c r="Q866" s="98">
        <v>221.4</v>
      </c>
    </row>
    <row r="867" spans="1:17" x14ac:dyDescent="0.35">
      <c r="A867" t="s">
        <v>106</v>
      </c>
      <c r="B867" t="s">
        <v>107</v>
      </c>
      <c r="C867">
        <v>2</v>
      </c>
      <c r="D867" t="s">
        <v>23</v>
      </c>
      <c r="E867" t="s">
        <v>100</v>
      </c>
      <c r="F867" t="s">
        <v>101</v>
      </c>
      <c r="G867">
        <v>254</v>
      </c>
      <c r="H867" t="s">
        <v>102</v>
      </c>
      <c r="I867" t="s">
        <v>160</v>
      </c>
      <c r="J867" t="s">
        <v>157</v>
      </c>
      <c r="K867">
        <v>1210</v>
      </c>
      <c r="L867">
        <v>121010</v>
      </c>
      <c r="M867" t="s">
        <v>201</v>
      </c>
      <c r="N867" s="98">
        <v>0</v>
      </c>
      <c r="O867" s="98">
        <v>3564.51</v>
      </c>
      <c r="P867" s="98">
        <v>-3564.51</v>
      </c>
      <c r="Q867" s="98">
        <v>3564.51</v>
      </c>
    </row>
    <row r="868" spans="1:17" x14ac:dyDescent="0.35">
      <c r="A868" t="s">
        <v>108</v>
      </c>
      <c r="B868" t="s">
        <v>109</v>
      </c>
      <c r="C868">
        <v>3</v>
      </c>
      <c r="D868" t="s">
        <v>23</v>
      </c>
      <c r="E868" t="s">
        <v>100</v>
      </c>
      <c r="F868" t="s">
        <v>101</v>
      </c>
      <c r="G868">
        <v>254</v>
      </c>
      <c r="H868" t="s">
        <v>102</v>
      </c>
      <c r="I868" t="s">
        <v>160</v>
      </c>
      <c r="J868" t="s">
        <v>157</v>
      </c>
      <c r="K868">
        <v>1210</v>
      </c>
      <c r="L868">
        <v>121010</v>
      </c>
      <c r="M868" t="s">
        <v>201</v>
      </c>
      <c r="N868" s="98">
        <v>0</v>
      </c>
      <c r="O868" s="98">
        <v>3595.97</v>
      </c>
      <c r="P868" s="98">
        <v>-3595.97</v>
      </c>
      <c r="Q868" s="98">
        <v>3595.97</v>
      </c>
    </row>
    <row r="869" spans="1:17" x14ac:dyDescent="0.35">
      <c r="A869" t="s">
        <v>110</v>
      </c>
      <c r="B869" t="s">
        <v>111</v>
      </c>
      <c r="C869">
        <v>4</v>
      </c>
      <c r="D869" t="s">
        <v>23</v>
      </c>
      <c r="E869" t="s">
        <v>100</v>
      </c>
      <c r="F869" t="s">
        <v>101</v>
      </c>
      <c r="G869">
        <v>254</v>
      </c>
      <c r="H869" t="s">
        <v>102</v>
      </c>
      <c r="I869" t="s">
        <v>160</v>
      </c>
      <c r="J869" t="s">
        <v>157</v>
      </c>
      <c r="K869">
        <v>1210</v>
      </c>
      <c r="L869">
        <v>121010</v>
      </c>
      <c r="M869" t="s">
        <v>201</v>
      </c>
      <c r="N869" s="98">
        <v>0</v>
      </c>
      <c r="O869" s="98">
        <v>3938.21</v>
      </c>
      <c r="P869" s="98">
        <v>-3938.21</v>
      </c>
      <c r="Q869" s="98">
        <v>3938.21</v>
      </c>
    </row>
    <row r="870" spans="1:17" x14ac:dyDescent="0.35">
      <c r="A870" t="s">
        <v>112</v>
      </c>
      <c r="B870" t="s">
        <v>113</v>
      </c>
      <c r="C870">
        <v>5</v>
      </c>
      <c r="D870" t="s">
        <v>27</v>
      </c>
      <c r="E870" t="s">
        <v>100</v>
      </c>
      <c r="F870" t="s">
        <v>101</v>
      </c>
      <c r="G870">
        <v>254</v>
      </c>
      <c r="H870" t="s">
        <v>102</v>
      </c>
      <c r="I870" t="s">
        <v>160</v>
      </c>
      <c r="J870" t="s">
        <v>157</v>
      </c>
      <c r="K870">
        <v>1210</v>
      </c>
      <c r="L870">
        <v>121010</v>
      </c>
      <c r="M870" t="s">
        <v>201</v>
      </c>
      <c r="N870" s="98">
        <v>0</v>
      </c>
      <c r="O870" s="98">
        <v>4730.22</v>
      </c>
      <c r="P870" s="98">
        <v>-4730.22</v>
      </c>
      <c r="Q870" s="98">
        <v>4730.22</v>
      </c>
    </row>
    <row r="871" spans="1:17" x14ac:dyDescent="0.35">
      <c r="A871" t="s">
        <v>114</v>
      </c>
      <c r="B871" t="s">
        <v>115</v>
      </c>
      <c r="C871">
        <v>6</v>
      </c>
      <c r="D871" t="s">
        <v>27</v>
      </c>
      <c r="E871" t="s">
        <v>100</v>
      </c>
      <c r="F871" t="s">
        <v>101</v>
      </c>
      <c r="G871">
        <v>254</v>
      </c>
      <c r="H871" t="s">
        <v>102</v>
      </c>
      <c r="I871" t="s">
        <v>160</v>
      </c>
      <c r="J871" t="s">
        <v>157</v>
      </c>
      <c r="K871">
        <v>1210</v>
      </c>
      <c r="L871">
        <v>121010</v>
      </c>
      <c r="M871" t="s">
        <v>201</v>
      </c>
      <c r="N871" s="98">
        <v>0</v>
      </c>
      <c r="O871" s="98">
        <v>1416.2</v>
      </c>
      <c r="P871" s="98">
        <v>-1416.2</v>
      </c>
      <c r="Q871" s="98">
        <v>1416.2</v>
      </c>
    </row>
    <row r="872" spans="1:17" x14ac:dyDescent="0.35">
      <c r="A872" t="s">
        <v>116</v>
      </c>
      <c r="B872" t="s">
        <v>117</v>
      </c>
      <c r="C872">
        <v>7</v>
      </c>
      <c r="D872" t="s">
        <v>27</v>
      </c>
      <c r="E872" t="s">
        <v>100</v>
      </c>
      <c r="F872" t="s">
        <v>101</v>
      </c>
      <c r="G872">
        <v>254</v>
      </c>
      <c r="H872" t="s">
        <v>102</v>
      </c>
      <c r="I872" t="s">
        <v>160</v>
      </c>
      <c r="J872" t="s">
        <v>157</v>
      </c>
      <c r="K872">
        <v>1210</v>
      </c>
      <c r="L872">
        <v>121010</v>
      </c>
      <c r="M872" t="s">
        <v>201</v>
      </c>
      <c r="N872" s="98">
        <v>0</v>
      </c>
      <c r="O872" s="98">
        <v>3719.8</v>
      </c>
      <c r="P872" s="98">
        <v>-3719.8</v>
      </c>
      <c r="Q872" s="98">
        <v>3719.8</v>
      </c>
    </row>
    <row r="873" spans="1:17" x14ac:dyDescent="0.35">
      <c r="A873" t="s">
        <v>118</v>
      </c>
      <c r="B873" t="s">
        <v>119</v>
      </c>
      <c r="C873">
        <v>8</v>
      </c>
      <c r="D873" t="s">
        <v>27</v>
      </c>
      <c r="E873" t="s">
        <v>100</v>
      </c>
      <c r="F873" t="s">
        <v>101</v>
      </c>
      <c r="G873">
        <v>254</v>
      </c>
      <c r="H873" t="s">
        <v>102</v>
      </c>
      <c r="I873" t="s">
        <v>160</v>
      </c>
      <c r="J873" t="s">
        <v>157</v>
      </c>
      <c r="K873">
        <v>1210</v>
      </c>
      <c r="L873">
        <v>121010</v>
      </c>
      <c r="M873" t="s">
        <v>201</v>
      </c>
      <c r="N873" s="98">
        <v>0</v>
      </c>
      <c r="O873" s="98">
        <v>468.81</v>
      </c>
      <c r="P873" s="98">
        <v>-468.81</v>
      </c>
      <c r="Q873" s="98">
        <v>468.81</v>
      </c>
    </row>
    <row r="874" spans="1:17" x14ac:dyDescent="0.35">
      <c r="A874" t="s">
        <v>120</v>
      </c>
      <c r="B874" t="s">
        <v>121</v>
      </c>
      <c r="C874">
        <v>9</v>
      </c>
      <c r="D874" t="s">
        <v>30</v>
      </c>
      <c r="E874" t="s">
        <v>5</v>
      </c>
      <c r="F874" t="s">
        <v>101</v>
      </c>
      <c r="G874">
        <v>254</v>
      </c>
      <c r="H874" t="s">
        <v>102</v>
      </c>
      <c r="I874" t="s">
        <v>160</v>
      </c>
      <c r="J874" t="s">
        <v>157</v>
      </c>
      <c r="K874">
        <v>1210</v>
      </c>
      <c r="L874">
        <v>121010</v>
      </c>
      <c r="M874" t="s">
        <v>201</v>
      </c>
      <c r="N874" s="98">
        <v>0</v>
      </c>
      <c r="O874" s="98">
        <v>0</v>
      </c>
      <c r="P874" s="98">
        <v>0</v>
      </c>
      <c r="Q874" s="98">
        <v>0</v>
      </c>
    </row>
    <row r="875" spans="1:17" x14ac:dyDescent="0.35">
      <c r="A875" t="s">
        <v>122</v>
      </c>
      <c r="B875" t="s">
        <v>123</v>
      </c>
      <c r="C875">
        <v>10</v>
      </c>
      <c r="D875" t="s">
        <v>30</v>
      </c>
      <c r="E875" t="s">
        <v>5</v>
      </c>
      <c r="F875" t="s">
        <v>101</v>
      </c>
      <c r="G875">
        <v>254</v>
      </c>
      <c r="H875" t="s">
        <v>102</v>
      </c>
      <c r="I875" t="s">
        <v>160</v>
      </c>
      <c r="J875" t="s">
        <v>157</v>
      </c>
      <c r="K875">
        <v>1210</v>
      </c>
      <c r="L875">
        <v>121010</v>
      </c>
      <c r="M875" t="s">
        <v>201</v>
      </c>
      <c r="N875" s="98">
        <v>0</v>
      </c>
      <c r="O875" s="98">
        <v>0</v>
      </c>
      <c r="P875" s="98">
        <v>0</v>
      </c>
      <c r="Q875" s="98">
        <v>0</v>
      </c>
    </row>
    <row r="876" spans="1:17" x14ac:dyDescent="0.35">
      <c r="A876" t="s">
        <v>124</v>
      </c>
      <c r="B876" t="s">
        <v>125</v>
      </c>
      <c r="C876">
        <v>11</v>
      </c>
      <c r="D876" t="s">
        <v>30</v>
      </c>
      <c r="E876" t="s">
        <v>5</v>
      </c>
      <c r="F876" t="s">
        <v>101</v>
      </c>
      <c r="G876">
        <v>254</v>
      </c>
      <c r="H876" t="s">
        <v>102</v>
      </c>
      <c r="I876" t="s">
        <v>160</v>
      </c>
      <c r="J876" t="s">
        <v>157</v>
      </c>
      <c r="K876">
        <v>1210</v>
      </c>
      <c r="L876">
        <v>121010</v>
      </c>
      <c r="M876" t="s">
        <v>201</v>
      </c>
      <c r="N876" s="98">
        <v>0</v>
      </c>
      <c r="O876" s="98">
        <v>0</v>
      </c>
      <c r="P876" s="98">
        <v>0</v>
      </c>
      <c r="Q876" s="98">
        <v>0</v>
      </c>
    </row>
    <row r="877" spans="1:17" x14ac:dyDescent="0.35">
      <c r="A877" t="s">
        <v>126</v>
      </c>
      <c r="B877" t="s">
        <v>127</v>
      </c>
      <c r="C877">
        <v>12</v>
      </c>
      <c r="D877" t="s">
        <v>30</v>
      </c>
      <c r="E877" t="s">
        <v>5</v>
      </c>
      <c r="F877" t="s">
        <v>101</v>
      </c>
      <c r="G877">
        <v>254</v>
      </c>
      <c r="H877" t="s">
        <v>102</v>
      </c>
      <c r="I877" t="s">
        <v>160</v>
      </c>
      <c r="J877" t="s">
        <v>157</v>
      </c>
      <c r="K877">
        <v>1210</v>
      </c>
      <c r="L877">
        <v>121010</v>
      </c>
      <c r="M877" t="s">
        <v>201</v>
      </c>
      <c r="N877" s="98">
        <v>0</v>
      </c>
      <c r="O877" s="98">
        <v>0</v>
      </c>
      <c r="P877" s="98">
        <v>0</v>
      </c>
      <c r="Q877" s="98">
        <v>0</v>
      </c>
    </row>
    <row r="878" spans="1:17" x14ac:dyDescent="0.35">
      <c r="A878" t="s">
        <v>98</v>
      </c>
      <c r="B878" t="s">
        <v>99</v>
      </c>
      <c r="C878">
        <v>1</v>
      </c>
      <c r="D878" t="s">
        <v>23</v>
      </c>
      <c r="E878" t="s">
        <v>100</v>
      </c>
      <c r="F878" t="s">
        <v>101</v>
      </c>
      <c r="G878">
        <v>254</v>
      </c>
      <c r="H878" t="s">
        <v>102</v>
      </c>
      <c r="I878" t="s">
        <v>160</v>
      </c>
      <c r="J878" t="s">
        <v>157</v>
      </c>
      <c r="K878">
        <v>1220</v>
      </c>
      <c r="L878">
        <v>122000</v>
      </c>
      <c r="M878" t="s">
        <v>202</v>
      </c>
      <c r="N878" s="98">
        <v>1700</v>
      </c>
      <c r="O878" s="98">
        <v>2658</v>
      </c>
      <c r="P878" s="98">
        <v>-958</v>
      </c>
      <c r="Q878" s="98">
        <v>958</v>
      </c>
    </row>
    <row r="879" spans="1:17" x14ac:dyDescent="0.35">
      <c r="A879" t="s">
        <v>106</v>
      </c>
      <c r="B879" t="s">
        <v>107</v>
      </c>
      <c r="C879">
        <v>2</v>
      </c>
      <c r="D879" t="s">
        <v>23</v>
      </c>
      <c r="E879" t="s">
        <v>100</v>
      </c>
      <c r="F879" t="s">
        <v>101</v>
      </c>
      <c r="G879">
        <v>254</v>
      </c>
      <c r="H879" t="s">
        <v>102</v>
      </c>
      <c r="I879" t="s">
        <v>160</v>
      </c>
      <c r="J879" t="s">
        <v>157</v>
      </c>
      <c r="K879">
        <v>1220</v>
      </c>
      <c r="L879">
        <v>122000</v>
      </c>
      <c r="M879" t="s">
        <v>202</v>
      </c>
      <c r="N879" s="98">
        <v>1700</v>
      </c>
      <c r="O879" s="98">
        <v>0</v>
      </c>
      <c r="P879" s="98">
        <v>1700</v>
      </c>
      <c r="Q879" s="98">
        <v>-1700</v>
      </c>
    </row>
    <row r="880" spans="1:17" x14ac:dyDescent="0.35">
      <c r="A880" t="s">
        <v>108</v>
      </c>
      <c r="B880" t="s">
        <v>109</v>
      </c>
      <c r="C880">
        <v>3</v>
      </c>
      <c r="D880" t="s">
        <v>23</v>
      </c>
      <c r="E880" t="s">
        <v>100</v>
      </c>
      <c r="F880" t="s">
        <v>101</v>
      </c>
      <c r="G880">
        <v>254</v>
      </c>
      <c r="H880" t="s">
        <v>102</v>
      </c>
      <c r="I880" t="s">
        <v>160</v>
      </c>
      <c r="J880" t="s">
        <v>157</v>
      </c>
      <c r="K880">
        <v>1220</v>
      </c>
      <c r="L880">
        <v>122000</v>
      </c>
      <c r="M880" t="s">
        <v>202</v>
      </c>
      <c r="N880" s="98">
        <v>1700</v>
      </c>
      <c r="O880" s="98">
        <v>0</v>
      </c>
      <c r="P880" s="98">
        <v>1700</v>
      </c>
      <c r="Q880" s="98">
        <v>-1700</v>
      </c>
    </row>
    <row r="881" spans="1:17" x14ac:dyDescent="0.35">
      <c r="A881" t="s">
        <v>110</v>
      </c>
      <c r="B881" t="s">
        <v>111</v>
      </c>
      <c r="C881">
        <v>4</v>
      </c>
      <c r="D881" t="s">
        <v>23</v>
      </c>
      <c r="E881" t="s">
        <v>100</v>
      </c>
      <c r="F881" t="s">
        <v>101</v>
      </c>
      <c r="G881">
        <v>254</v>
      </c>
      <c r="H881" t="s">
        <v>102</v>
      </c>
      <c r="I881" t="s">
        <v>160</v>
      </c>
      <c r="J881" t="s">
        <v>157</v>
      </c>
      <c r="K881">
        <v>1220</v>
      </c>
      <c r="L881">
        <v>122000</v>
      </c>
      <c r="M881" t="s">
        <v>202</v>
      </c>
      <c r="N881" s="98">
        <v>1700</v>
      </c>
      <c r="O881" s="98">
        <v>2658</v>
      </c>
      <c r="P881" s="98">
        <v>-958</v>
      </c>
      <c r="Q881" s="98">
        <v>958</v>
      </c>
    </row>
    <row r="882" spans="1:17" x14ac:dyDescent="0.35">
      <c r="A882" t="s">
        <v>112</v>
      </c>
      <c r="B882" t="s">
        <v>113</v>
      </c>
      <c r="C882">
        <v>5</v>
      </c>
      <c r="D882" t="s">
        <v>27</v>
      </c>
      <c r="E882" t="s">
        <v>100</v>
      </c>
      <c r="F882" t="s">
        <v>101</v>
      </c>
      <c r="G882">
        <v>254</v>
      </c>
      <c r="H882" t="s">
        <v>102</v>
      </c>
      <c r="I882" t="s">
        <v>160</v>
      </c>
      <c r="J882" t="s">
        <v>157</v>
      </c>
      <c r="K882">
        <v>1220</v>
      </c>
      <c r="L882">
        <v>122000</v>
      </c>
      <c r="M882" t="s">
        <v>202</v>
      </c>
      <c r="N882" s="98">
        <v>1700</v>
      </c>
      <c r="O882" s="98">
        <v>0</v>
      </c>
      <c r="P882" s="98">
        <v>1700</v>
      </c>
      <c r="Q882" s="98">
        <v>-1700</v>
      </c>
    </row>
    <row r="883" spans="1:17" x14ac:dyDescent="0.35">
      <c r="A883" t="s">
        <v>114</v>
      </c>
      <c r="B883" t="s">
        <v>115</v>
      </c>
      <c r="C883">
        <v>6</v>
      </c>
      <c r="D883" t="s">
        <v>27</v>
      </c>
      <c r="E883" t="s">
        <v>100</v>
      </c>
      <c r="F883" t="s">
        <v>101</v>
      </c>
      <c r="G883">
        <v>254</v>
      </c>
      <c r="H883" t="s">
        <v>102</v>
      </c>
      <c r="I883" t="s">
        <v>160</v>
      </c>
      <c r="J883" t="s">
        <v>157</v>
      </c>
      <c r="K883">
        <v>1220</v>
      </c>
      <c r="L883">
        <v>122000</v>
      </c>
      <c r="M883" t="s">
        <v>202</v>
      </c>
      <c r="N883" s="98">
        <v>1700</v>
      </c>
      <c r="O883" s="98">
        <v>0</v>
      </c>
      <c r="P883" s="98">
        <v>1700</v>
      </c>
      <c r="Q883" s="98">
        <v>-1700</v>
      </c>
    </row>
    <row r="884" spans="1:17" x14ac:dyDescent="0.35">
      <c r="A884" t="s">
        <v>116</v>
      </c>
      <c r="B884" t="s">
        <v>117</v>
      </c>
      <c r="C884">
        <v>7</v>
      </c>
      <c r="D884" t="s">
        <v>27</v>
      </c>
      <c r="E884" t="s">
        <v>100</v>
      </c>
      <c r="F884" t="s">
        <v>101</v>
      </c>
      <c r="G884">
        <v>254</v>
      </c>
      <c r="H884" t="s">
        <v>102</v>
      </c>
      <c r="I884" t="s">
        <v>160</v>
      </c>
      <c r="J884" t="s">
        <v>157</v>
      </c>
      <c r="K884">
        <v>1220</v>
      </c>
      <c r="L884">
        <v>122000</v>
      </c>
      <c r="M884" t="s">
        <v>202</v>
      </c>
      <c r="N884" s="98">
        <v>1700</v>
      </c>
      <c r="O884" s="98">
        <v>2658</v>
      </c>
      <c r="P884" s="98">
        <v>-958</v>
      </c>
      <c r="Q884" s="98">
        <v>958</v>
      </c>
    </row>
    <row r="885" spans="1:17" x14ac:dyDescent="0.35">
      <c r="A885" t="s">
        <v>118</v>
      </c>
      <c r="B885" t="s">
        <v>119</v>
      </c>
      <c r="C885">
        <v>8</v>
      </c>
      <c r="D885" t="s">
        <v>27</v>
      </c>
      <c r="E885" t="s">
        <v>100</v>
      </c>
      <c r="F885" t="s">
        <v>101</v>
      </c>
      <c r="G885">
        <v>254</v>
      </c>
      <c r="H885" t="s">
        <v>102</v>
      </c>
      <c r="I885" t="s">
        <v>160</v>
      </c>
      <c r="J885" t="s">
        <v>157</v>
      </c>
      <c r="K885">
        <v>1220</v>
      </c>
      <c r="L885">
        <v>122000</v>
      </c>
      <c r="M885" t="s">
        <v>202</v>
      </c>
      <c r="N885" s="98">
        <v>1700</v>
      </c>
      <c r="O885" s="98">
        <v>0</v>
      </c>
      <c r="P885" s="98">
        <v>1700</v>
      </c>
      <c r="Q885" s="98">
        <v>-1700</v>
      </c>
    </row>
    <row r="886" spans="1:17" x14ac:dyDescent="0.35">
      <c r="A886" t="s">
        <v>120</v>
      </c>
      <c r="B886" t="s">
        <v>121</v>
      </c>
      <c r="C886">
        <v>9</v>
      </c>
      <c r="D886" t="s">
        <v>30</v>
      </c>
      <c r="E886" t="s">
        <v>5</v>
      </c>
      <c r="F886" t="s">
        <v>101</v>
      </c>
      <c r="G886">
        <v>254</v>
      </c>
      <c r="H886" t="s">
        <v>102</v>
      </c>
      <c r="I886" t="s">
        <v>160</v>
      </c>
      <c r="J886" t="s">
        <v>157</v>
      </c>
      <c r="K886">
        <v>1220</v>
      </c>
      <c r="L886">
        <v>122000</v>
      </c>
      <c r="M886" t="s">
        <v>202</v>
      </c>
      <c r="N886" s="98">
        <v>1700</v>
      </c>
      <c r="O886" s="98">
        <v>0</v>
      </c>
      <c r="P886" s="98">
        <v>0</v>
      </c>
      <c r="Q886" s="98">
        <v>-1700</v>
      </c>
    </row>
    <row r="887" spans="1:17" x14ac:dyDescent="0.35">
      <c r="A887" t="s">
        <v>122</v>
      </c>
      <c r="B887" t="s">
        <v>123</v>
      </c>
      <c r="C887">
        <v>10</v>
      </c>
      <c r="D887" t="s">
        <v>30</v>
      </c>
      <c r="E887" t="s">
        <v>5</v>
      </c>
      <c r="F887" t="s">
        <v>101</v>
      </c>
      <c r="G887">
        <v>254</v>
      </c>
      <c r="H887" t="s">
        <v>102</v>
      </c>
      <c r="I887" t="s">
        <v>160</v>
      </c>
      <c r="J887" t="s">
        <v>157</v>
      </c>
      <c r="K887">
        <v>1220</v>
      </c>
      <c r="L887">
        <v>122000</v>
      </c>
      <c r="M887" t="s">
        <v>202</v>
      </c>
      <c r="N887" s="98">
        <v>1700</v>
      </c>
      <c r="O887" s="98">
        <v>0</v>
      </c>
      <c r="P887" s="98">
        <v>0</v>
      </c>
      <c r="Q887" s="98">
        <v>-1700</v>
      </c>
    </row>
    <row r="888" spans="1:17" x14ac:dyDescent="0.35">
      <c r="A888" t="s">
        <v>124</v>
      </c>
      <c r="B888" t="s">
        <v>125</v>
      </c>
      <c r="C888">
        <v>11</v>
      </c>
      <c r="D888" t="s">
        <v>30</v>
      </c>
      <c r="E888" t="s">
        <v>5</v>
      </c>
      <c r="F888" t="s">
        <v>101</v>
      </c>
      <c r="G888">
        <v>254</v>
      </c>
      <c r="H888" t="s">
        <v>102</v>
      </c>
      <c r="I888" t="s">
        <v>160</v>
      </c>
      <c r="J888" t="s">
        <v>157</v>
      </c>
      <c r="K888">
        <v>1220</v>
      </c>
      <c r="L888">
        <v>122000</v>
      </c>
      <c r="M888" t="s">
        <v>202</v>
      </c>
      <c r="N888" s="98">
        <v>1700</v>
      </c>
      <c r="O888" s="98">
        <v>0</v>
      </c>
      <c r="P888" s="98">
        <v>0</v>
      </c>
      <c r="Q888" s="98">
        <v>-1700</v>
      </c>
    </row>
    <row r="889" spans="1:17" x14ac:dyDescent="0.35">
      <c r="A889" t="s">
        <v>126</v>
      </c>
      <c r="B889" t="s">
        <v>127</v>
      </c>
      <c r="C889">
        <v>12</v>
      </c>
      <c r="D889" t="s">
        <v>30</v>
      </c>
      <c r="E889" t="s">
        <v>5</v>
      </c>
      <c r="F889" t="s">
        <v>101</v>
      </c>
      <c r="G889">
        <v>254</v>
      </c>
      <c r="H889" t="s">
        <v>102</v>
      </c>
      <c r="I889" t="s">
        <v>160</v>
      </c>
      <c r="J889" t="s">
        <v>157</v>
      </c>
      <c r="K889">
        <v>1220</v>
      </c>
      <c r="L889">
        <v>122000</v>
      </c>
      <c r="M889" t="s">
        <v>202</v>
      </c>
      <c r="N889" s="98">
        <v>1300</v>
      </c>
      <c r="O889" s="98">
        <v>0</v>
      </c>
      <c r="P889" s="98">
        <v>0</v>
      </c>
      <c r="Q889" s="98">
        <v>-1300</v>
      </c>
    </row>
    <row r="890" spans="1:17" x14ac:dyDescent="0.35">
      <c r="A890" t="s">
        <v>98</v>
      </c>
      <c r="B890" t="s">
        <v>99</v>
      </c>
      <c r="C890">
        <v>1</v>
      </c>
      <c r="D890" t="s">
        <v>23</v>
      </c>
      <c r="E890" t="s">
        <v>100</v>
      </c>
      <c r="F890" t="s">
        <v>101</v>
      </c>
      <c r="G890">
        <v>254</v>
      </c>
      <c r="H890" t="s">
        <v>102</v>
      </c>
      <c r="I890" t="s">
        <v>160</v>
      </c>
      <c r="J890" t="s">
        <v>157</v>
      </c>
      <c r="K890">
        <v>1230</v>
      </c>
      <c r="L890">
        <v>123020</v>
      </c>
      <c r="M890" t="s">
        <v>203</v>
      </c>
      <c r="N890" s="98">
        <v>0</v>
      </c>
      <c r="O890" s="98">
        <v>0</v>
      </c>
      <c r="P890" s="98">
        <v>0</v>
      </c>
      <c r="Q890" s="98">
        <v>0</v>
      </c>
    </row>
    <row r="891" spans="1:17" x14ac:dyDescent="0.35">
      <c r="A891" t="s">
        <v>106</v>
      </c>
      <c r="B891" t="s">
        <v>107</v>
      </c>
      <c r="C891">
        <v>2</v>
      </c>
      <c r="D891" t="s">
        <v>23</v>
      </c>
      <c r="E891" t="s">
        <v>100</v>
      </c>
      <c r="F891" t="s">
        <v>101</v>
      </c>
      <c r="G891">
        <v>254</v>
      </c>
      <c r="H891" t="s">
        <v>102</v>
      </c>
      <c r="I891" t="s">
        <v>160</v>
      </c>
      <c r="J891" t="s">
        <v>157</v>
      </c>
      <c r="K891">
        <v>1230</v>
      </c>
      <c r="L891">
        <v>123020</v>
      </c>
      <c r="M891" t="s">
        <v>203</v>
      </c>
      <c r="N891" s="98">
        <v>0</v>
      </c>
      <c r="O891" s="98">
        <v>0</v>
      </c>
      <c r="P891" s="98">
        <v>0</v>
      </c>
      <c r="Q891" s="98">
        <v>0</v>
      </c>
    </row>
    <row r="892" spans="1:17" x14ac:dyDescent="0.35">
      <c r="A892" t="s">
        <v>108</v>
      </c>
      <c r="B892" t="s">
        <v>109</v>
      </c>
      <c r="C892">
        <v>3</v>
      </c>
      <c r="D892" t="s">
        <v>23</v>
      </c>
      <c r="E892" t="s">
        <v>100</v>
      </c>
      <c r="F892" t="s">
        <v>101</v>
      </c>
      <c r="G892">
        <v>254</v>
      </c>
      <c r="H892" t="s">
        <v>102</v>
      </c>
      <c r="I892" t="s">
        <v>160</v>
      </c>
      <c r="J892" t="s">
        <v>157</v>
      </c>
      <c r="K892">
        <v>1230</v>
      </c>
      <c r="L892">
        <v>123020</v>
      </c>
      <c r="M892" t="s">
        <v>203</v>
      </c>
      <c r="N892" s="98">
        <v>0</v>
      </c>
      <c r="O892" s="98">
        <v>0</v>
      </c>
      <c r="P892" s="98">
        <v>0</v>
      </c>
      <c r="Q892" s="98">
        <v>0</v>
      </c>
    </row>
    <row r="893" spans="1:17" x14ac:dyDescent="0.35">
      <c r="A893" t="s">
        <v>110</v>
      </c>
      <c r="B893" t="s">
        <v>111</v>
      </c>
      <c r="C893">
        <v>4</v>
      </c>
      <c r="D893" t="s">
        <v>23</v>
      </c>
      <c r="E893" t="s">
        <v>100</v>
      </c>
      <c r="F893" t="s">
        <v>101</v>
      </c>
      <c r="G893">
        <v>254</v>
      </c>
      <c r="H893" t="s">
        <v>102</v>
      </c>
      <c r="I893" t="s">
        <v>160</v>
      </c>
      <c r="J893" t="s">
        <v>157</v>
      </c>
      <c r="K893">
        <v>1230</v>
      </c>
      <c r="L893">
        <v>123020</v>
      </c>
      <c r="M893" t="s">
        <v>203</v>
      </c>
      <c r="N893" s="98">
        <v>0</v>
      </c>
      <c r="O893" s="98">
        <v>0</v>
      </c>
      <c r="P893" s="98">
        <v>0</v>
      </c>
      <c r="Q893" s="98">
        <v>0</v>
      </c>
    </row>
    <row r="894" spans="1:17" x14ac:dyDescent="0.35">
      <c r="A894" t="s">
        <v>112</v>
      </c>
      <c r="B894" t="s">
        <v>113</v>
      </c>
      <c r="C894">
        <v>5</v>
      </c>
      <c r="D894" t="s">
        <v>27</v>
      </c>
      <c r="E894" t="s">
        <v>100</v>
      </c>
      <c r="F894" t="s">
        <v>101</v>
      </c>
      <c r="G894">
        <v>254</v>
      </c>
      <c r="H894" t="s">
        <v>102</v>
      </c>
      <c r="I894" t="s">
        <v>160</v>
      </c>
      <c r="J894" t="s">
        <v>157</v>
      </c>
      <c r="K894">
        <v>1230</v>
      </c>
      <c r="L894">
        <v>123020</v>
      </c>
      <c r="M894" t="s">
        <v>203</v>
      </c>
      <c r="N894" s="98">
        <v>0</v>
      </c>
      <c r="O894" s="98">
        <v>0</v>
      </c>
      <c r="P894" s="98">
        <v>0</v>
      </c>
      <c r="Q894" s="98">
        <v>0</v>
      </c>
    </row>
    <row r="895" spans="1:17" x14ac:dyDescent="0.35">
      <c r="A895" t="s">
        <v>114</v>
      </c>
      <c r="B895" t="s">
        <v>115</v>
      </c>
      <c r="C895">
        <v>6</v>
      </c>
      <c r="D895" t="s">
        <v>27</v>
      </c>
      <c r="E895" t="s">
        <v>100</v>
      </c>
      <c r="F895" t="s">
        <v>101</v>
      </c>
      <c r="G895">
        <v>254</v>
      </c>
      <c r="H895" t="s">
        <v>102</v>
      </c>
      <c r="I895" t="s">
        <v>160</v>
      </c>
      <c r="J895" t="s">
        <v>157</v>
      </c>
      <c r="K895">
        <v>1230</v>
      </c>
      <c r="L895">
        <v>123020</v>
      </c>
      <c r="M895" t="s">
        <v>203</v>
      </c>
      <c r="N895" s="98">
        <v>0</v>
      </c>
      <c r="O895" s="98">
        <v>0</v>
      </c>
      <c r="P895" s="98">
        <v>0</v>
      </c>
      <c r="Q895" s="98">
        <v>0</v>
      </c>
    </row>
    <row r="896" spans="1:17" x14ac:dyDescent="0.35">
      <c r="A896" t="s">
        <v>116</v>
      </c>
      <c r="B896" t="s">
        <v>117</v>
      </c>
      <c r="C896">
        <v>7</v>
      </c>
      <c r="D896" t="s">
        <v>27</v>
      </c>
      <c r="E896" t="s">
        <v>100</v>
      </c>
      <c r="F896" t="s">
        <v>101</v>
      </c>
      <c r="G896">
        <v>254</v>
      </c>
      <c r="H896" t="s">
        <v>102</v>
      </c>
      <c r="I896" t="s">
        <v>160</v>
      </c>
      <c r="J896" t="s">
        <v>157</v>
      </c>
      <c r="K896">
        <v>1230</v>
      </c>
      <c r="L896">
        <v>123020</v>
      </c>
      <c r="M896" t="s">
        <v>203</v>
      </c>
      <c r="N896" s="98">
        <v>0</v>
      </c>
      <c r="O896" s="98">
        <v>0</v>
      </c>
      <c r="P896" s="98">
        <v>0</v>
      </c>
      <c r="Q896" s="98">
        <v>0</v>
      </c>
    </row>
    <row r="897" spans="1:17" x14ac:dyDescent="0.35">
      <c r="A897" t="s">
        <v>118</v>
      </c>
      <c r="B897" t="s">
        <v>119</v>
      </c>
      <c r="C897">
        <v>8</v>
      </c>
      <c r="D897" t="s">
        <v>27</v>
      </c>
      <c r="E897" t="s">
        <v>100</v>
      </c>
      <c r="F897" t="s">
        <v>101</v>
      </c>
      <c r="G897">
        <v>254</v>
      </c>
      <c r="H897" t="s">
        <v>102</v>
      </c>
      <c r="I897" t="s">
        <v>160</v>
      </c>
      <c r="J897" t="s">
        <v>157</v>
      </c>
      <c r="K897">
        <v>1230</v>
      </c>
      <c r="L897">
        <v>123020</v>
      </c>
      <c r="M897" t="s">
        <v>203</v>
      </c>
      <c r="N897" s="98">
        <v>0</v>
      </c>
      <c r="O897" s="98">
        <v>0</v>
      </c>
      <c r="P897" s="98">
        <v>0</v>
      </c>
      <c r="Q897" s="98">
        <v>0</v>
      </c>
    </row>
    <row r="898" spans="1:17" x14ac:dyDescent="0.35">
      <c r="A898" t="s">
        <v>120</v>
      </c>
      <c r="B898" t="s">
        <v>121</v>
      </c>
      <c r="C898">
        <v>9</v>
      </c>
      <c r="D898" t="s">
        <v>30</v>
      </c>
      <c r="E898" t="s">
        <v>5</v>
      </c>
      <c r="F898" t="s">
        <v>101</v>
      </c>
      <c r="G898">
        <v>254</v>
      </c>
      <c r="H898" t="s">
        <v>102</v>
      </c>
      <c r="I898" t="s">
        <v>160</v>
      </c>
      <c r="J898" t="s">
        <v>157</v>
      </c>
      <c r="K898">
        <v>1230</v>
      </c>
      <c r="L898">
        <v>123020</v>
      </c>
      <c r="M898" t="s">
        <v>203</v>
      </c>
      <c r="N898" s="98">
        <v>0</v>
      </c>
      <c r="O898" s="98">
        <v>0</v>
      </c>
      <c r="P898" s="98">
        <v>0</v>
      </c>
      <c r="Q898" s="98">
        <v>0</v>
      </c>
    </row>
    <row r="899" spans="1:17" x14ac:dyDescent="0.35">
      <c r="A899" t="s">
        <v>122</v>
      </c>
      <c r="B899" t="s">
        <v>123</v>
      </c>
      <c r="C899">
        <v>10</v>
      </c>
      <c r="D899" t="s">
        <v>30</v>
      </c>
      <c r="E899" t="s">
        <v>5</v>
      </c>
      <c r="F899" t="s">
        <v>101</v>
      </c>
      <c r="G899">
        <v>254</v>
      </c>
      <c r="H899" t="s">
        <v>102</v>
      </c>
      <c r="I899" t="s">
        <v>160</v>
      </c>
      <c r="J899" t="s">
        <v>157</v>
      </c>
      <c r="K899">
        <v>1230</v>
      </c>
      <c r="L899">
        <v>123020</v>
      </c>
      <c r="M899" t="s">
        <v>203</v>
      </c>
      <c r="N899" s="98">
        <v>0</v>
      </c>
      <c r="O899" s="98">
        <v>0</v>
      </c>
      <c r="P899" s="98">
        <v>0</v>
      </c>
      <c r="Q899" s="98">
        <v>0</v>
      </c>
    </row>
    <row r="900" spans="1:17" x14ac:dyDescent="0.35">
      <c r="A900" t="s">
        <v>124</v>
      </c>
      <c r="B900" t="s">
        <v>125</v>
      </c>
      <c r="C900">
        <v>11</v>
      </c>
      <c r="D900" t="s">
        <v>30</v>
      </c>
      <c r="E900" t="s">
        <v>5</v>
      </c>
      <c r="F900" t="s">
        <v>101</v>
      </c>
      <c r="G900">
        <v>254</v>
      </c>
      <c r="H900" t="s">
        <v>102</v>
      </c>
      <c r="I900" t="s">
        <v>160</v>
      </c>
      <c r="J900" t="s">
        <v>157</v>
      </c>
      <c r="K900">
        <v>1230</v>
      </c>
      <c r="L900">
        <v>123020</v>
      </c>
      <c r="M900" t="s">
        <v>203</v>
      </c>
      <c r="N900" s="98">
        <v>0</v>
      </c>
      <c r="O900" s="98">
        <v>0</v>
      </c>
      <c r="P900" s="98">
        <v>0</v>
      </c>
      <c r="Q900" s="98">
        <v>0</v>
      </c>
    </row>
    <row r="901" spans="1:17" x14ac:dyDescent="0.35">
      <c r="A901" t="s">
        <v>126</v>
      </c>
      <c r="B901" t="s">
        <v>127</v>
      </c>
      <c r="C901">
        <v>12</v>
      </c>
      <c r="D901" t="s">
        <v>30</v>
      </c>
      <c r="E901" t="s">
        <v>5</v>
      </c>
      <c r="F901" t="s">
        <v>101</v>
      </c>
      <c r="G901">
        <v>254</v>
      </c>
      <c r="H901" t="s">
        <v>102</v>
      </c>
      <c r="I901" t="s">
        <v>160</v>
      </c>
      <c r="J901" t="s">
        <v>157</v>
      </c>
      <c r="K901">
        <v>1230</v>
      </c>
      <c r="L901">
        <v>123020</v>
      </c>
      <c r="M901" t="s">
        <v>203</v>
      </c>
      <c r="N901" s="98">
        <v>0</v>
      </c>
      <c r="O901" s="98">
        <v>0</v>
      </c>
      <c r="P901" s="98">
        <v>0</v>
      </c>
      <c r="Q901" s="98">
        <v>0</v>
      </c>
    </row>
    <row r="902" spans="1:17" x14ac:dyDescent="0.35">
      <c r="A902" t="s">
        <v>98</v>
      </c>
      <c r="B902" t="s">
        <v>99</v>
      </c>
      <c r="C902">
        <v>1</v>
      </c>
      <c r="D902" t="s">
        <v>23</v>
      </c>
      <c r="E902" t="s">
        <v>100</v>
      </c>
      <c r="F902" t="s">
        <v>101</v>
      </c>
      <c r="G902">
        <v>254</v>
      </c>
      <c r="H902" t="s">
        <v>102</v>
      </c>
      <c r="I902" t="s">
        <v>160</v>
      </c>
      <c r="J902" t="s">
        <v>157</v>
      </c>
      <c r="K902">
        <v>1230</v>
      </c>
      <c r="L902">
        <v>123022</v>
      </c>
      <c r="M902" t="s">
        <v>204</v>
      </c>
      <c r="N902" s="98">
        <v>0</v>
      </c>
      <c r="O902" s="98">
        <v>0</v>
      </c>
      <c r="P902" s="98">
        <v>0</v>
      </c>
      <c r="Q902" s="98">
        <v>0</v>
      </c>
    </row>
    <row r="903" spans="1:17" x14ac:dyDescent="0.35">
      <c r="A903" t="s">
        <v>106</v>
      </c>
      <c r="B903" t="s">
        <v>107</v>
      </c>
      <c r="C903">
        <v>2</v>
      </c>
      <c r="D903" t="s">
        <v>23</v>
      </c>
      <c r="E903" t="s">
        <v>100</v>
      </c>
      <c r="F903" t="s">
        <v>101</v>
      </c>
      <c r="G903">
        <v>254</v>
      </c>
      <c r="H903" t="s">
        <v>102</v>
      </c>
      <c r="I903" t="s">
        <v>160</v>
      </c>
      <c r="J903" t="s">
        <v>157</v>
      </c>
      <c r="K903">
        <v>1230</v>
      </c>
      <c r="L903">
        <v>123022</v>
      </c>
      <c r="M903" t="s">
        <v>204</v>
      </c>
      <c r="N903" s="98">
        <v>0</v>
      </c>
      <c r="O903" s="98">
        <v>9432.57</v>
      </c>
      <c r="P903" s="98">
        <v>-9432.57</v>
      </c>
      <c r="Q903" s="98">
        <v>9432.57</v>
      </c>
    </row>
    <row r="904" spans="1:17" x14ac:dyDescent="0.35">
      <c r="A904" t="s">
        <v>108</v>
      </c>
      <c r="B904" t="s">
        <v>109</v>
      </c>
      <c r="C904">
        <v>3</v>
      </c>
      <c r="D904" t="s">
        <v>23</v>
      </c>
      <c r="E904" t="s">
        <v>100</v>
      </c>
      <c r="F904" t="s">
        <v>101</v>
      </c>
      <c r="G904">
        <v>254</v>
      </c>
      <c r="H904" t="s">
        <v>102</v>
      </c>
      <c r="I904" t="s">
        <v>160</v>
      </c>
      <c r="J904" t="s">
        <v>157</v>
      </c>
      <c r="K904">
        <v>1230</v>
      </c>
      <c r="L904">
        <v>123022</v>
      </c>
      <c r="M904" t="s">
        <v>204</v>
      </c>
      <c r="N904" s="98">
        <v>0</v>
      </c>
      <c r="O904" s="98">
        <v>0</v>
      </c>
      <c r="P904" s="98">
        <v>0</v>
      </c>
      <c r="Q904" s="98">
        <v>0</v>
      </c>
    </row>
    <row r="905" spans="1:17" x14ac:dyDescent="0.35">
      <c r="A905" t="s">
        <v>110</v>
      </c>
      <c r="B905" t="s">
        <v>111</v>
      </c>
      <c r="C905">
        <v>4</v>
      </c>
      <c r="D905" t="s">
        <v>23</v>
      </c>
      <c r="E905" t="s">
        <v>100</v>
      </c>
      <c r="F905" t="s">
        <v>101</v>
      </c>
      <c r="G905">
        <v>254</v>
      </c>
      <c r="H905" t="s">
        <v>102</v>
      </c>
      <c r="I905" t="s">
        <v>160</v>
      </c>
      <c r="J905" t="s">
        <v>157</v>
      </c>
      <c r="K905">
        <v>1230</v>
      </c>
      <c r="L905">
        <v>123022</v>
      </c>
      <c r="M905" t="s">
        <v>204</v>
      </c>
      <c r="N905" s="98">
        <v>0</v>
      </c>
      <c r="O905" s="98">
        <v>0</v>
      </c>
      <c r="P905" s="98">
        <v>0</v>
      </c>
      <c r="Q905" s="98">
        <v>0</v>
      </c>
    </row>
    <row r="906" spans="1:17" x14ac:dyDescent="0.35">
      <c r="A906" t="s">
        <v>112</v>
      </c>
      <c r="B906" t="s">
        <v>113</v>
      </c>
      <c r="C906">
        <v>5</v>
      </c>
      <c r="D906" t="s">
        <v>27</v>
      </c>
      <c r="E906" t="s">
        <v>100</v>
      </c>
      <c r="F906" t="s">
        <v>101</v>
      </c>
      <c r="G906">
        <v>254</v>
      </c>
      <c r="H906" t="s">
        <v>102</v>
      </c>
      <c r="I906" t="s">
        <v>160</v>
      </c>
      <c r="J906" t="s">
        <v>157</v>
      </c>
      <c r="K906">
        <v>1230</v>
      </c>
      <c r="L906">
        <v>123022</v>
      </c>
      <c r="M906" t="s">
        <v>204</v>
      </c>
      <c r="N906" s="98">
        <v>0</v>
      </c>
      <c r="O906" s="98">
        <v>1470</v>
      </c>
      <c r="P906" s="98">
        <v>-1470</v>
      </c>
      <c r="Q906" s="98">
        <v>1470</v>
      </c>
    </row>
    <row r="907" spans="1:17" x14ac:dyDescent="0.35">
      <c r="A907" t="s">
        <v>114</v>
      </c>
      <c r="B907" t="s">
        <v>115</v>
      </c>
      <c r="C907">
        <v>6</v>
      </c>
      <c r="D907" t="s">
        <v>27</v>
      </c>
      <c r="E907" t="s">
        <v>100</v>
      </c>
      <c r="F907" t="s">
        <v>101</v>
      </c>
      <c r="G907">
        <v>254</v>
      </c>
      <c r="H907" t="s">
        <v>102</v>
      </c>
      <c r="I907" t="s">
        <v>160</v>
      </c>
      <c r="J907" t="s">
        <v>157</v>
      </c>
      <c r="K907">
        <v>1230</v>
      </c>
      <c r="L907">
        <v>123022</v>
      </c>
      <c r="M907" t="s">
        <v>204</v>
      </c>
      <c r="N907" s="98">
        <v>0</v>
      </c>
      <c r="O907" s="98">
        <v>0</v>
      </c>
      <c r="P907" s="98">
        <v>0</v>
      </c>
      <c r="Q907" s="98">
        <v>0</v>
      </c>
    </row>
    <row r="908" spans="1:17" x14ac:dyDescent="0.35">
      <c r="A908" t="s">
        <v>116</v>
      </c>
      <c r="B908" t="s">
        <v>117</v>
      </c>
      <c r="C908">
        <v>7</v>
      </c>
      <c r="D908" t="s">
        <v>27</v>
      </c>
      <c r="E908" t="s">
        <v>100</v>
      </c>
      <c r="F908" t="s">
        <v>101</v>
      </c>
      <c r="G908">
        <v>254</v>
      </c>
      <c r="H908" t="s">
        <v>102</v>
      </c>
      <c r="I908" t="s">
        <v>160</v>
      </c>
      <c r="J908" t="s">
        <v>157</v>
      </c>
      <c r="K908">
        <v>1230</v>
      </c>
      <c r="L908">
        <v>123022</v>
      </c>
      <c r="M908" t="s">
        <v>204</v>
      </c>
      <c r="N908" s="98">
        <v>0</v>
      </c>
      <c r="O908" s="98">
        <v>0</v>
      </c>
      <c r="P908" s="98">
        <v>0</v>
      </c>
      <c r="Q908" s="98">
        <v>0</v>
      </c>
    </row>
    <row r="909" spans="1:17" x14ac:dyDescent="0.35">
      <c r="A909" t="s">
        <v>118</v>
      </c>
      <c r="B909" t="s">
        <v>119</v>
      </c>
      <c r="C909">
        <v>8</v>
      </c>
      <c r="D909" t="s">
        <v>27</v>
      </c>
      <c r="E909" t="s">
        <v>100</v>
      </c>
      <c r="F909" t="s">
        <v>101</v>
      </c>
      <c r="G909">
        <v>254</v>
      </c>
      <c r="H909" t="s">
        <v>102</v>
      </c>
      <c r="I909" t="s">
        <v>160</v>
      </c>
      <c r="J909" t="s">
        <v>157</v>
      </c>
      <c r="K909">
        <v>1230</v>
      </c>
      <c r="L909">
        <v>123022</v>
      </c>
      <c r="M909" t="s">
        <v>204</v>
      </c>
      <c r="N909" s="98">
        <v>0</v>
      </c>
      <c r="O909" s="98">
        <v>0</v>
      </c>
      <c r="P909" s="98">
        <v>0</v>
      </c>
      <c r="Q909" s="98">
        <v>0</v>
      </c>
    </row>
    <row r="910" spans="1:17" x14ac:dyDescent="0.35">
      <c r="A910" t="s">
        <v>120</v>
      </c>
      <c r="B910" t="s">
        <v>121</v>
      </c>
      <c r="C910">
        <v>9</v>
      </c>
      <c r="D910" t="s">
        <v>30</v>
      </c>
      <c r="E910" t="s">
        <v>5</v>
      </c>
      <c r="F910" t="s">
        <v>101</v>
      </c>
      <c r="G910">
        <v>254</v>
      </c>
      <c r="H910" t="s">
        <v>102</v>
      </c>
      <c r="I910" t="s">
        <v>160</v>
      </c>
      <c r="J910" t="s">
        <v>157</v>
      </c>
      <c r="K910">
        <v>1230</v>
      </c>
      <c r="L910">
        <v>123022</v>
      </c>
      <c r="M910" t="s">
        <v>204</v>
      </c>
      <c r="N910" s="98">
        <v>0</v>
      </c>
      <c r="O910" s="98">
        <v>0</v>
      </c>
      <c r="P910" s="98">
        <v>0</v>
      </c>
      <c r="Q910" s="98">
        <v>0</v>
      </c>
    </row>
    <row r="911" spans="1:17" x14ac:dyDescent="0.35">
      <c r="A911" t="s">
        <v>122</v>
      </c>
      <c r="B911" t="s">
        <v>123</v>
      </c>
      <c r="C911">
        <v>10</v>
      </c>
      <c r="D911" t="s">
        <v>30</v>
      </c>
      <c r="E911" t="s">
        <v>5</v>
      </c>
      <c r="F911" t="s">
        <v>101</v>
      </c>
      <c r="G911">
        <v>254</v>
      </c>
      <c r="H911" t="s">
        <v>102</v>
      </c>
      <c r="I911" t="s">
        <v>160</v>
      </c>
      <c r="J911" t="s">
        <v>157</v>
      </c>
      <c r="K911">
        <v>1230</v>
      </c>
      <c r="L911">
        <v>123022</v>
      </c>
      <c r="M911" t="s">
        <v>204</v>
      </c>
      <c r="N911" s="98">
        <v>0</v>
      </c>
      <c r="O911" s="98">
        <v>0</v>
      </c>
      <c r="P911" s="98">
        <v>0</v>
      </c>
      <c r="Q911" s="98">
        <v>0</v>
      </c>
    </row>
    <row r="912" spans="1:17" x14ac:dyDescent="0.35">
      <c r="A912" t="s">
        <v>124</v>
      </c>
      <c r="B912" t="s">
        <v>125</v>
      </c>
      <c r="C912">
        <v>11</v>
      </c>
      <c r="D912" t="s">
        <v>30</v>
      </c>
      <c r="E912" t="s">
        <v>5</v>
      </c>
      <c r="F912" t="s">
        <v>101</v>
      </c>
      <c r="G912">
        <v>254</v>
      </c>
      <c r="H912" t="s">
        <v>102</v>
      </c>
      <c r="I912" t="s">
        <v>160</v>
      </c>
      <c r="J912" t="s">
        <v>157</v>
      </c>
      <c r="K912">
        <v>1230</v>
      </c>
      <c r="L912">
        <v>123022</v>
      </c>
      <c r="M912" t="s">
        <v>204</v>
      </c>
      <c r="N912" s="98">
        <v>0</v>
      </c>
      <c r="O912" s="98">
        <v>0</v>
      </c>
      <c r="P912" s="98">
        <v>0</v>
      </c>
      <c r="Q912" s="98">
        <v>0</v>
      </c>
    </row>
    <row r="913" spans="1:17" x14ac:dyDescent="0.35">
      <c r="A913" t="s">
        <v>126</v>
      </c>
      <c r="B913" t="s">
        <v>127</v>
      </c>
      <c r="C913">
        <v>12</v>
      </c>
      <c r="D913" t="s">
        <v>30</v>
      </c>
      <c r="E913" t="s">
        <v>5</v>
      </c>
      <c r="F913" t="s">
        <v>101</v>
      </c>
      <c r="G913">
        <v>254</v>
      </c>
      <c r="H913" t="s">
        <v>102</v>
      </c>
      <c r="I913" t="s">
        <v>160</v>
      </c>
      <c r="J913" t="s">
        <v>157</v>
      </c>
      <c r="K913">
        <v>1230</v>
      </c>
      <c r="L913">
        <v>123022</v>
      </c>
      <c r="M913" t="s">
        <v>204</v>
      </c>
      <c r="N913" s="98">
        <v>0</v>
      </c>
      <c r="O913" s="98">
        <v>0</v>
      </c>
      <c r="P913" s="98">
        <v>0</v>
      </c>
      <c r="Q913" s="98">
        <v>0</v>
      </c>
    </row>
    <row r="914" spans="1:17" x14ac:dyDescent="0.35">
      <c r="A914" t="s">
        <v>98</v>
      </c>
      <c r="B914" t="s">
        <v>99</v>
      </c>
      <c r="C914">
        <v>1</v>
      </c>
      <c r="D914" t="s">
        <v>23</v>
      </c>
      <c r="E914" t="s">
        <v>100</v>
      </c>
      <c r="F914" t="s">
        <v>101</v>
      </c>
      <c r="G914">
        <v>254</v>
      </c>
      <c r="H914" t="s">
        <v>102</v>
      </c>
      <c r="I914" t="s">
        <v>160</v>
      </c>
      <c r="J914" t="s">
        <v>157</v>
      </c>
      <c r="K914">
        <v>1240</v>
      </c>
      <c r="L914">
        <v>124010</v>
      </c>
      <c r="M914" t="s">
        <v>205</v>
      </c>
      <c r="N914" s="98">
        <v>0</v>
      </c>
      <c r="O914" s="98">
        <v>557.4</v>
      </c>
      <c r="P914" s="98">
        <v>-557.4</v>
      </c>
      <c r="Q914" s="98">
        <v>557.4</v>
      </c>
    </row>
    <row r="915" spans="1:17" x14ac:dyDescent="0.35">
      <c r="A915" t="s">
        <v>106</v>
      </c>
      <c r="B915" t="s">
        <v>107</v>
      </c>
      <c r="C915">
        <v>2</v>
      </c>
      <c r="D915" t="s">
        <v>23</v>
      </c>
      <c r="E915" t="s">
        <v>100</v>
      </c>
      <c r="F915" t="s">
        <v>101</v>
      </c>
      <c r="G915">
        <v>254</v>
      </c>
      <c r="H915" t="s">
        <v>102</v>
      </c>
      <c r="I915" t="s">
        <v>160</v>
      </c>
      <c r="J915" t="s">
        <v>157</v>
      </c>
      <c r="K915">
        <v>1240</v>
      </c>
      <c r="L915">
        <v>124010</v>
      </c>
      <c r="M915" t="s">
        <v>205</v>
      </c>
      <c r="N915" s="98">
        <v>0</v>
      </c>
      <c r="O915" s="98">
        <v>572.6</v>
      </c>
      <c r="P915" s="98">
        <v>-572.6</v>
      </c>
      <c r="Q915" s="98">
        <v>572.6</v>
      </c>
    </row>
    <row r="916" spans="1:17" x14ac:dyDescent="0.35">
      <c r="A916" t="s">
        <v>108</v>
      </c>
      <c r="B916" t="s">
        <v>109</v>
      </c>
      <c r="C916">
        <v>3</v>
      </c>
      <c r="D916" t="s">
        <v>23</v>
      </c>
      <c r="E916" t="s">
        <v>100</v>
      </c>
      <c r="F916" t="s">
        <v>101</v>
      </c>
      <c r="G916">
        <v>254</v>
      </c>
      <c r="H916" t="s">
        <v>102</v>
      </c>
      <c r="I916" t="s">
        <v>160</v>
      </c>
      <c r="J916" t="s">
        <v>157</v>
      </c>
      <c r="K916">
        <v>1240</v>
      </c>
      <c r="L916">
        <v>124010</v>
      </c>
      <c r="M916" t="s">
        <v>205</v>
      </c>
      <c r="N916" s="98">
        <v>0</v>
      </c>
      <c r="O916" s="98">
        <v>0</v>
      </c>
      <c r="P916" s="98">
        <v>0</v>
      </c>
      <c r="Q916" s="98">
        <v>0</v>
      </c>
    </row>
    <row r="917" spans="1:17" x14ac:dyDescent="0.35">
      <c r="A917" t="s">
        <v>110</v>
      </c>
      <c r="B917" t="s">
        <v>111</v>
      </c>
      <c r="C917">
        <v>4</v>
      </c>
      <c r="D917" t="s">
        <v>23</v>
      </c>
      <c r="E917" t="s">
        <v>100</v>
      </c>
      <c r="F917" t="s">
        <v>101</v>
      </c>
      <c r="G917">
        <v>254</v>
      </c>
      <c r="H917" t="s">
        <v>102</v>
      </c>
      <c r="I917" t="s">
        <v>160</v>
      </c>
      <c r="J917" t="s">
        <v>157</v>
      </c>
      <c r="K917">
        <v>1240</v>
      </c>
      <c r="L917">
        <v>124010</v>
      </c>
      <c r="M917" t="s">
        <v>205</v>
      </c>
      <c r="N917" s="98">
        <v>0</v>
      </c>
      <c r="O917" s="98">
        <v>1676.4</v>
      </c>
      <c r="P917" s="98">
        <v>-1676.4</v>
      </c>
      <c r="Q917" s="98">
        <v>1676.4</v>
      </c>
    </row>
    <row r="918" spans="1:17" x14ac:dyDescent="0.35">
      <c r="A918" t="s">
        <v>112</v>
      </c>
      <c r="B918" t="s">
        <v>113</v>
      </c>
      <c r="C918">
        <v>5</v>
      </c>
      <c r="D918" t="s">
        <v>27</v>
      </c>
      <c r="E918" t="s">
        <v>100</v>
      </c>
      <c r="F918" t="s">
        <v>101</v>
      </c>
      <c r="G918">
        <v>254</v>
      </c>
      <c r="H918" t="s">
        <v>102</v>
      </c>
      <c r="I918" t="s">
        <v>160</v>
      </c>
      <c r="J918" t="s">
        <v>157</v>
      </c>
      <c r="K918">
        <v>1240</v>
      </c>
      <c r="L918">
        <v>124010</v>
      </c>
      <c r="M918" t="s">
        <v>205</v>
      </c>
      <c r="N918" s="98">
        <v>0</v>
      </c>
      <c r="O918" s="98">
        <v>692</v>
      </c>
      <c r="P918" s="98">
        <v>-692</v>
      </c>
      <c r="Q918" s="98">
        <v>692</v>
      </c>
    </row>
    <row r="919" spans="1:17" x14ac:dyDescent="0.35">
      <c r="A919" t="s">
        <v>114</v>
      </c>
      <c r="B919" t="s">
        <v>115</v>
      </c>
      <c r="C919">
        <v>6</v>
      </c>
      <c r="D919" t="s">
        <v>27</v>
      </c>
      <c r="E919" t="s">
        <v>100</v>
      </c>
      <c r="F919" t="s">
        <v>101</v>
      </c>
      <c r="G919">
        <v>254</v>
      </c>
      <c r="H919" t="s">
        <v>102</v>
      </c>
      <c r="I919" t="s">
        <v>160</v>
      </c>
      <c r="J919" t="s">
        <v>157</v>
      </c>
      <c r="K919">
        <v>1240</v>
      </c>
      <c r="L919">
        <v>124010</v>
      </c>
      <c r="M919" t="s">
        <v>205</v>
      </c>
      <c r="N919" s="98">
        <v>0</v>
      </c>
      <c r="O919" s="98">
        <v>0</v>
      </c>
      <c r="P919" s="98">
        <v>0</v>
      </c>
      <c r="Q919" s="98">
        <v>0</v>
      </c>
    </row>
    <row r="920" spans="1:17" x14ac:dyDescent="0.35">
      <c r="A920" t="s">
        <v>116</v>
      </c>
      <c r="B920" t="s">
        <v>117</v>
      </c>
      <c r="C920">
        <v>7</v>
      </c>
      <c r="D920" t="s">
        <v>27</v>
      </c>
      <c r="E920" t="s">
        <v>100</v>
      </c>
      <c r="F920" t="s">
        <v>101</v>
      </c>
      <c r="G920">
        <v>254</v>
      </c>
      <c r="H920" t="s">
        <v>102</v>
      </c>
      <c r="I920" t="s">
        <v>160</v>
      </c>
      <c r="J920" t="s">
        <v>157</v>
      </c>
      <c r="K920">
        <v>1240</v>
      </c>
      <c r="L920">
        <v>124010</v>
      </c>
      <c r="M920" t="s">
        <v>205</v>
      </c>
      <c r="N920" s="98">
        <v>0</v>
      </c>
      <c r="O920" s="98">
        <v>1515.9</v>
      </c>
      <c r="P920" s="98">
        <v>-1515.9</v>
      </c>
      <c r="Q920" s="98">
        <v>1515.9</v>
      </c>
    </row>
    <row r="921" spans="1:17" x14ac:dyDescent="0.35">
      <c r="A921" t="s">
        <v>118</v>
      </c>
      <c r="B921" t="s">
        <v>119</v>
      </c>
      <c r="C921">
        <v>8</v>
      </c>
      <c r="D921" t="s">
        <v>27</v>
      </c>
      <c r="E921" t="s">
        <v>100</v>
      </c>
      <c r="F921" t="s">
        <v>101</v>
      </c>
      <c r="G921">
        <v>254</v>
      </c>
      <c r="H921" t="s">
        <v>102</v>
      </c>
      <c r="I921" t="s">
        <v>160</v>
      </c>
      <c r="J921" t="s">
        <v>157</v>
      </c>
      <c r="K921">
        <v>1240</v>
      </c>
      <c r="L921">
        <v>124010</v>
      </c>
      <c r="M921" t="s">
        <v>205</v>
      </c>
      <c r="N921" s="98">
        <v>0</v>
      </c>
      <c r="O921" s="98">
        <v>521.20000000000005</v>
      </c>
      <c r="P921" s="98">
        <v>-521.20000000000005</v>
      </c>
      <c r="Q921" s="98">
        <v>521.20000000000005</v>
      </c>
    </row>
    <row r="922" spans="1:17" x14ac:dyDescent="0.35">
      <c r="A922" t="s">
        <v>120</v>
      </c>
      <c r="B922" t="s">
        <v>121</v>
      </c>
      <c r="C922">
        <v>9</v>
      </c>
      <c r="D922" t="s">
        <v>30</v>
      </c>
      <c r="E922" t="s">
        <v>5</v>
      </c>
      <c r="F922" t="s">
        <v>101</v>
      </c>
      <c r="G922">
        <v>254</v>
      </c>
      <c r="H922" t="s">
        <v>102</v>
      </c>
      <c r="I922" t="s">
        <v>160</v>
      </c>
      <c r="J922" t="s">
        <v>157</v>
      </c>
      <c r="K922">
        <v>1240</v>
      </c>
      <c r="L922">
        <v>124010</v>
      </c>
      <c r="M922" t="s">
        <v>205</v>
      </c>
      <c r="N922" s="98">
        <v>0</v>
      </c>
      <c r="O922" s="98">
        <v>0</v>
      </c>
      <c r="P922" s="98">
        <v>0</v>
      </c>
      <c r="Q922" s="98">
        <v>0</v>
      </c>
    </row>
    <row r="923" spans="1:17" x14ac:dyDescent="0.35">
      <c r="A923" t="s">
        <v>122</v>
      </c>
      <c r="B923" t="s">
        <v>123</v>
      </c>
      <c r="C923">
        <v>10</v>
      </c>
      <c r="D923" t="s">
        <v>30</v>
      </c>
      <c r="E923" t="s">
        <v>5</v>
      </c>
      <c r="F923" t="s">
        <v>101</v>
      </c>
      <c r="G923">
        <v>254</v>
      </c>
      <c r="H923" t="s">
        <v>102</v>
      </c>
      <c r="I923" t="s">
        <v>160</v>
      </c>
      <c r="J923" t="s">
        <v>157</v>
      </c>
      <c r="K923">
        <v>1240</v>
      </c>
      <c r="L923">
        <v>124010</v>
      </c>
      <c r="M923" t="s">
        <v>205</v>
      </c>
      <c r="N923" s="98">
        <v>0</v>
      </c>
      <c r="O923" s="98">
        <v>0</v>
      </c>
      <c r="P923" s="98">
        <v>0</v>
      </c>
      <c r="Q923" s="98">
        <v>0</v>
      </c>
    </row>
    <row r="924" spans="1:17" x14ac:dyDescent="0.35">
      <c r="A924" t="s">
        <v>124</v>
      </c>
      <c r="B924" t="s">
        <v>125</v>
      </c>
      <c r="C924">
        <v>11</v>
      </c>
      <c r="D924" t="s">
        <v>30</v>
      </c>
      <c r="E924" t="s">
        <v>5</v>
      </c>
      <c r="F924" t="s">
        <v>101</v>
      </c>
      <c r="G924">
        <v>254</v>
      </c>
      <c r="H924" t="s">
        <v>102</v>
      </c>
      <c r="I924" t="s">
        <v>160</v>
      </c>
      <c r="J924" t="s">
        <v>157</v>
      </c>
      <c r="K924">
        <v>1240</v>
      </c>
      <c r="L924">
        <v>124010</v>
      </c>
      <c r="M924" t="s">
        <v>205</v>
      </c>
      <c r="N924" s="98">
        <v>0</v>
      </c>
      <c r="O924" s="98">
        <v>0</v>
      </c>
      <c r="P924" s="98">
        <v>0</v>
      </c>
      <c r="Q924" s="98">
        <v>0</v>
      </c>
    </row>
    <row r="925" spans="1:17" x14ac:dyDescent="0.35">
      <c r="A925" t="s">
        <v>126</v>
      </c>
      <c r="B925" t="s">
        <v>127</v>
      </c>
      <c r="C925">
        <v>12</v>
      </c>
      <c r="D925" t="s">
        <v>30</v>
      </c>
      <c r="E925" t="s">
        <v>5</v>
      </c>
      <c r="F925" t="s">
        <v>101</v>
      </c>
      <c r="G925">
        <v>254</v>
      </c>
      <c r="H925" t="s">
        <v>102</v>
      </c>
      <c r="I925" t="s">
        <v>160</v>
      </c>
      <c r="J925" t="s">
        <v>157</v>
      </c>
      <c r="K925">
        <v>1240</v>
      </c>
      <c r="L925">
        <v>124010</v>
      </c>
      <c r="M925" t="s">
        <v>205</v>
      </c>
      <c r="N925" s="98">
        <v>0</v>
      </c>
      <c r="O925" s="98">
        <v>0</v>
      </c>
      <c r="P925" s="98">
        <v>0</v>
      </c>
      <c r="Q925" s="98">
        <v>0</v>
      </c>
    </row>
    <row r="926" spans="1:17" x14ac:dyDescent="0.35">
      <c r="A926" t="s">
        <v>98</v>
      </c>
      <c r="B926" t="s">
        <v>99</v>
      </c>
      <c r="C926">
        <v>1</v>
      </c>
      <c r="D926" t="s">
        <v>23</v>
      </c>
      <c r="E926" t="s">
        <v>100</v>
      </c>
      <c r="F926" t="s">
        <v>101</v>
      </c>
      <c r="G926">
        <v>254</v>
      </c>
      <c r="H926" t="s">
        <v>102</v>
      </c>
      <c r="I926" t="s">
        <v>160</v>
      </c>
      <c r="J926" t="s">
        <v>157</v>
      </c>
      <c r="K926">
        <v>1240</v>
      </c>
      <c r="L926">
        <v>124023</v>
      </c>
      <c r="M926" t="s">
        <v>206</v>
      </c>
      <c r="N926" s="98">
        <v>0</v>
      </c>
      <c r="O926" s="98">
        <v>0</v>
      </c>
      <c r="P926" s="98">
        <v>0</v>
      </c>
      <c r="Q926" s="98">
        <v>0</v>
      </c>
    </row>
    <row r="927" spans="1:17" x14ac:dyDescent="0.35">
      <c r="A927" t="s">
        <v>106</v>
      </c>
      <c r="B927" t="s">
        <v>107</v>
      </c>
      <c r="C927">
        <v>2</v>
      </c>
      <c r="D927" t="s">
        <v>23</v>
      </c>
      <c r="E927" t="s">
        <v>100</v>
      </c>
      <c r="F927" t="s">
        <v>101</v>
      </c>
      <c r="G927">
        <v>254</v>
      </c>
      <c r="H927" t="s">
        <v>102</v>
      </c>
      <c r="I927" t="s">
        <v>160</v>
      </c>
      <c r="J927" t="s">
        <v>157</v>
      </c>
      <c r="K927">
        <v>1240</v>
      </c>
      <c r="L927">
        <v>124023</v>
      </c>
      <c r="M927" t="s">
        <v>206</v>
      </c>
      <c r="N927" s="98">
        <v>0</v>
      </c>
      <c r="O927" s="98">
        <v>0</v>
      </c>
      <c r="P927" s="98">
        <v>0</v>
      </c>
      <c r="Q927" s="98">
        <v>0</v>
      </c>
    </row>
    <row r="928" spans="1:17" x14ac:dyDescent="0.35">
      <c r="A928" t="s">
        <v>108</v>
      </c>
      <c r="B928" t="s">
        <v>109</v>
      </c>
      <c r="C928">
        <v>3</v>
      </c>
      <c r="D928" t="s">
        <v>23</v>
      </c>
      <c r="E928" t="s">
        <v>100</v>
      </c>
      <c r="F928" t="s">
        <v>101</v>
      </c>
      <c r="G928">
        <v>254</v>
      </c>
      <c r="H928" t="s">
        <v>102</v>
      </c>
      <c r="I928" t="s">
        <v>160</v>
      </c>
      <c r="J928" t="s">
        <v>157</v>
      </c>
      <c r="K928">
        <v>1240</v>
      </c>
      <c r="L928">
        <v>124023</v>
      </c>
      <c r="M928" t="s">
        <v>206</v>
      </c>
      <c r="N928" s="98">
        <v>0</v>
      </c>
      <c r="O928" s="98">
        <v>0</v>
      </c>
      <c r="P928" s="98">
        <v>0</v>
      </c>
      <c r="Q928" s="98">
        <v>0</v>
      </c>
    </row>
    <row r="929" spans="1:17" x14ac:dyDescent="0.35">
      <c r="A929" t="s">
        <v>110</v>
      </c>
      <c r="B929" t="s">
        <v>111</v>
      </c>
      <c r="C929">
        <v>4</v>
      </c>
      <c r="D929" t="s">
        <v>23</v>
      </c>
      <c r="E929" t="s">
        <v>100</v>
      </c>
      <c r="F929" t="s">
        <v>101</v>
      </c>
      <c r="G929">
        <v>254</v>
      </c>
      <c r="H929" t="s">
        <v>102</v>
      </c>
      <c r="I929" t="s">
        <v>160</v>
      </c>
      <c r="J929" t="s">
        <v>157</v>
      </c>
      <c r="K929">
        <v>1240</v>
      </c>
      <c r="L929">
        <v>124023</v>
      </c>
      <c r="M929" t="s">
        <v>206</v>
      </c>
      <c r="N929" s="98">
        <v>0</v>
      </c>
      <c r="O929" s="98">
        <v>0</v>
      </c>
      <c r="P929" s="98">
        <v>0</v>
      </c>
      <c r="Q929" s="98">
        <v>0</v>
      </c>
    </row>
    <row r="930" spans="1:17" x14ac:dyDescent="0.35">
      <c r="A930" t="s">
        <v>112</v>
      </c>
      <c r="B930" t="s">
        <v>113</v>
      </c>
      <c r="C930">
        <v>5</v>
      </c>
      <c r="D930" t="s">
        <v>27</v>
      </c>
      <c r="E930" t="s">
        <v>100</v>
      </c>
      <c r="F930" t="s">
        <v>101</v>
      </c>
      <c r="G930">
        <v>254</v>
      </c>
      <c r="H930" t="s">
        <v>102</v>
      </c>
      <c r="I930" t="s">
        <v>160</v>
      </c>
      <c r="J930" t="s">
        <v>157</v>
      </c>
      <c r="K930">
        <v>1240</v>
      </c>
      <c r="L930">
        <v>124023</v>
      </c>
      <c r="M930" t="s">
        <v>206</v>
      </c>
      <c r="N930" s="98">
        <v>0</v>
      </c>
      <c r="O930" s="98">
        <v>0</v>
      </c>
      <c r="P930" s="98">
        <v>0</v>
      </c>
      <c r="Q930" s="98">
        <v>0</v>
      </c>
    </row>
    <row r="931" spans="1:17" x14ac:dyDescent="0.35">
      <c r="A931" t="s">
        <v>114</v>
      </c>
      <c r="B931" t="s">
        <v>115</v>
      </c>
      <c r="C931">
        <v>6</v>
      </c>
      <c r="D931" t="s">
        <v>27</v>
      </c>
      <c r="E931" t="s">
        <v>100</v>
      </c>
      <c r="F931" t="s">
        <v>101</v>
      </c>
      <c r="G931">
        <v>254</v>
      </c>
      <c r="H931" t="s">
        <v>102</v>
      </c>
      <c r="I931" t="s">
        <v>160</v>
      </c>
      <c r="J931" t="s">
        <v>157</v>
      </c>
      <c r="K931">
        <v>1240</v>
      </c>
      <c r="L931">
        <v>124023</v>
      </c>
      <c r="M931" t="s">
        <v>206</v>
      </c>
      <c r="N931" s="98">
        <v>0</v>
      </c>
      <c r="O931" s="98">
        <v>0</v>
      </c>
      <c r="P931" s="98">
        <v>0</v>
      </c>
      <c r="Q931" s="98">
        <v>0</v>
      </c>
    </row>
    <row r="932" spans="1:17" x14ac:dyDescent="0.35">
      <c r="A932" t="s">
        <v>116</v>
      </c>
      <c r="B932" t="s">
        <v>117</v>
      </c>
      <c r="C932">
        <v>7</v>
      </c>
      <c r="D932" t="s">
        <v>27</v>
      </c>
      <c r="E932" t="s">
        <v>100</v>
      </c>
      <c r="F932" t="s">
        <v>101</v>
      </c>
      <c r="G932">
        <v>254</v>
      </c>
      <c r="H932" t="s">
        <v>102</v>
      </c>
      <c r="I932" t="s">
        <v>160</v>
      </c>
      <c r="J932" t="s">
        <v>157</v>
      </c>
      <c r="K932">
        <v>1240</v>
      </c>
      <c r="L932">
        <v>124023</v>
      </c>
      <c r="M932" t="s">
        <v>206</v>
      </c>
      <c r="N932" s="98">
        <v>0</v>
      </c>
      <c r="O932" s="98">
        <v>0</v>
      </c>
      <c r="P932" s="98">
        <v>0</v>
      </c>
      <c r="Q932" s="98">
        <v>0</v>
      </c>
    </row>
    <row r="933" spans="1:17" x14ac:dyDescent="0.35">
      <c r="A933" t="s">
        <v>118</v>
      </c>
      <c r="B933" t="s">
        <v>119</v>
      </c>
      <c r="C933">
        <v>8</v>
      </c>
      <c r="D933" t="s">
        <v>27</v>
      </c>
      <c r="E933" t="s">
        <v>100</v>
      </c>
      <c r="F933" t="s">
        <v>101</v>
      </c>
      <c r="G933">
        <v>254</v>
      </c>
      <c r="H933" t="s">
        <v>102</v>
      </c>
      <c r="I933" t="s">
        <v>160</v>
      </c>
      <c r="J933" t="s">
        <v>157</v>
      </c>
      <c r="K933">
        <v>1240</v>
      </c>
      <c r="L933">
        <v>124023</v>
      </c>
      <c r="M933" t="s">
        <v>206</v>
      </c>
      <c r="N933" s="98">
        <v>0</v>
      </c>
      <c r="O933" s="98">
        <v>0</v>
      </c>
      <c r="P933" s="98">
        <v>0</v>
      </c>
      <c r="Q933" s="98">
        <v>0</v>
      </c>
    </row>
    <row r="934" spans="1:17" x14ac:dyDescent="0.35">
      <c r="A934" t="s">
        <v>120</v>
      </c>
      <c r="B934" t="s">
        <v>121</v>
      </c>
      <c r="C934">
        <v>9</v>
      </c>
      <c r="D934" t="s">
        <v>30</v>
      </c>
      <c r="E934" t="s">
        <v>5</v>
      </c>
      <c r="F934" t="s">
        <v>101</v>
      </c>
      <c r="G934">
        <v>254</v>
      </c>
      <c r="H934" t="s">
        <v>102</v>
      </c>
      <c r="I934" t="s">
        <v>160</v>
      </c>
      <c r="J934" t="s">
        <v>157</v>
      </c>
      <c r="K934">
        <v>1240</v>
      </c>
      <c r="L934">
        <v>124023</v>
      </c>
      <c r="M934" t="s">
        <v>206</v>
      </c>
      <c r="N934" s="98">
        <v>0</v>
      </c>
      <c r="O934" s="98">
        <v>0</v>
      </c>
      <c r="P934" s="98">
        <v>0</v>
      </c>
      <c r="Q934" s="98">
        <v>0</v>
      </c>
    </row>
    <row r="935" spans="1:17" x14ac:dyDescent="0.35">
      <c r="A935" t="s">
        <v>122</v>
      </c>
      <c r="B935" t="s">
        <v>123</v>
      </c>
      <c r="C935">
        <v>10</v>
      </c>
      <c r="D935" t="s">
        <v>30</v>
      </c>
      <c r="E935" t="s">
        <v>5</v>
      </c>
      <c r="F935" t="s">
        <v>101</v>
      </c>
      <c r="G935">
        <v>254</v>
      </c>
      <c r="H935" t="s">
        <v>102</v>
      </c>
      <c r="I935" t="s">
        <v>160</v>
      </c>
      <c r="J935" t="s">
        <v>157</v>
      </c>
      <c r="K935">
        <v>1240</v>
      </c>
      <c r="L935">
        <v>124023</v>
      </c>
      <c r="M935" t="s">
        <v>206</v>
      </c>
      <c r="N935" s="98">
        <v>0</v>
      </c>
      <c r="O935" s="98">
        <v>0</v>
      </c>
      <c r="P935" s="98">
        <v>0</v>
      </c>
      <c r="Q935" s="98">
        <v>0</v>
      </c>
    </row>
    <row r="936" spans="1:17" x14ac:dyDescent="0.35">
      <c r="A936" t="s">
        <v>124</v>
      </c>
      <c r="B936" t="s">
        <v>125</v>
      </c>
      <c r="C936">
        <v>11</v>
      </c>
      <c r="D936" t="s">
        <v>30</v>
      </c>
      <c r="E936" t="s">
        <v>5</v>
      </c>
      <c r="F936" t="s">
        <v>101</v>
      </c>
      <c r="G936">
        <v>254</v>
      </c>
      <c r="H936" t="s">
        <v>102</v>
      </c>
      <c r="I936" t="s">
        <v>160</v>
      </c>
      <c r="J936" t="s">
        <v>157</v>
      </c>
      <c r="K936">
        <v>1240</v>
      </c>
      <c r="L936">
        <v>124023</v>
      </c>
      <c r="M936" t="s">
        <v>206</v>
      </c>
      <c r="N936" s="98">
        <v>0</v>
      </c>
      <c r="O936" s="98">
        <v>0</v>
      </c>
      <c r="P936" s="98">
        <v>0</v>
      </c>
      <c r="Q936" s="98">
        <v>0</v>
      </c>
    </row>
    <row r="937" spans="1:17" x14ac:dyDescent="0.35">
      <c r="A937" t="s">
        <v>126</v>
      </c>
      <c r="B937" t="s">
        <v>127</v>
      </c>
      <c r="C937">
        <v>12</v>
      </c>
      <c r="D937" t="s">
        <v>30</v>
      </c>
      <c r="E937" t="s">
        <v>5</v>
      </c>
      <c r="F937" t="s">
        <v>101</v>
      </c>
      <c r="G937">
        <v>254</v>
      </c>
      <c r="H937" t="s">
        <v>102</v>
      </c>
      <c r="I937" t="s">
        <v>160</v>
      </c>
      <c r="J937" t="s">
        <v>157</v>
      </c>
      <c r="K937">
        <v>1240</v>
      </c>
      <c r="L937">
        <v>124023</v>
      </c>
      <c r="M937" t="s">
        <v>206</v>
      </c>
      <c r="N937" s="98">
        <v>0</v>
      </c>
      <c r="O937" s="98">
        <v>0</v>
      </c>
      <c r="P937" s="98">
        <v>0</v>
      </c>
      <c r="Q937" s="98">
        <v>0</v>
      </c>
    </row>
    <row r="938" spans="1:17" x14ac:dyDescent="0.35">
      <c r="A938" t="s">
        <v>98</v>
      </c>
      <c r="B938" t="s">
        <v>99</v>
      </c>
      <c r="C938">
        <v>1</v>
      </c>
      <c r="D938" t="s">
        <v>23</v>
      </c>
      <c r="E938" t="s">
        <v>100</v>
      </c>
      <c r="F938" t="s">
        <v>101</v>
      </c>
      <c r="G938">
        <v>254</v>
      </c>
      <c r="H938" t="s">
        <v>102</v>
      </c>
      <c r="I938" t="s">
        <v>160</v>
      </c>
      <c r="J938" t="s">
        <v>157</v>
      </c>
      <c r="K938">
        <v>1250</v>
      </c>
      <c r="L938">
        <v>125000</v>
      </c>
      <c r="M938" t="s">
        <v>207</v>
      </c>
      <c r="N938" s="98">
        <v>0</v>
      </c>
      <c r="O938" s="98">
        <v>0</v>
      </c>
      <c r="P938" s="98">
        <v>0</v>
      </c>
      <c r="Q938" s="98">
        <v>0</v>
      </c>
    </row>
    <row r="939" spans="1:17" x14ac:dyDescent="0.35">
      <c r="A939" t="s">
        <v>106</v>
      </c>
      <c r="B939" t="s">
        <v>107</v>
      </c>
      <c r="C939">
        <v>2</v>
      </c>
      <c r="D939" t="s">
        <v>23</v>
      </c>
      <c r="E939" t="s">
        <v>100</v>
      </c>
      <c r="F939" t="s">
        <v>101</v>
      </c>
      <c r="G939">
        <v>254</v>
      </c>
      <c r="H939" t="s">
        <v>102</v>
      </c>
      <c r="I939" t="s">
        <v>160</v>
      </c>
      <c r="J939" t="s">
        <v>157</v>
      </c>
      <c r="K939">
        <v>1250</v>
      </c>
      <c r="L939">
        <v>125000</v>
      </c>
      <c r="M939" t="s">
        <v>207</v>
      </c>
      <c r="N939" s="98">
        <v>0</v>
      </c>
      <c r="O939" s="98">
        <v>0</v>
      </c>
      <c r="P939" s="98">
        <v>0</v>
      </c>
      <c r="Q939" s="98">
        <v>0</v>
      </c>
    </row>
    <row r="940" spans="1:17" x14ac:dyDescent="0.35">
      <c r="A940" t="s">
        <v>108</v>
      </c>
      <c r="B940" t="s">
        <v>109</v>
      </c>
      <c r="C940">
        <v>3</v>
      </c>
      <c r="D940" t="s">
        <v>23</v>
      </c>
      <c r="E940" t="s">
        <v>100</v>
      </c>
      <c r="F940" t="s">
        <v>101</v>
      </c>
      <c r="G940">
        <v>254</v>
      </c>
      <c r="H940" t="s">
        <v>102</v>
      </c>
      <c r="I940" t="s">
        <v>160</v>
      </c>
      <c r="J940" t="s">
        <v>157</v>
      </c>
      <c r="K940">
        <v>1250</v>
      </c>
      <c r="L940">
        <v>125000</v>
      </c>
      <c r="M940" t="s">
        <v>207</v>
      </c>
      <c r="N940" s="98">
        <v>0</v>
      </c>
      <c r="O940" s="98">
        <v>0</v>
      </c>
      <c r="P940" s="98">
        <v>0</v>
      </c>
      <c r="Q940" s="98">
        <v>0</v>
      </c>
    </row>
    <row r="941" spans="1:17" x14ac:dyDescent="0.35">
      <c r="A941" t="s">
        <v>110</v>
      </c>
      <c r="B941" t="s">
        <v>111</v>
      </c>
      <c r="C941">
        <v>4</v>
      </c>
      <c r="D941" t="s">
        <v>23</v>
      </c>
      <c r="E941" t="s">
        <v>100</v>
      </c>
      <c r="F941" t="s">
        <v>101</v>
      </c>
      <c r="G941">
        <v>254</v>
      </c>
      <c r="H941" t="s">
        <v>102</v>
      </c>
      <c r="I941" t="s">
        <v>160</v>
      </c>
      <c r="J941" t="s">
        <v>157</v>
      </c>
      <c r="K941">
        <v>1250</v>
      </c>
      <c r="L941">
        <v>125000</v>
      </c>
      <c r="M941" t="s">
        <v>207</v>
      </c>
      <c r="N941" s="98">
        <v>0</v>
      </c>
      <c r="O941" s="98">
        <v>0</v>
      </c>
      <c r="P941" s="98">
        <v>0</v>
      </c>
      <c r="Q941" s="98">
        <v>0</v>
      </c>
    </row>
    <row r="942" spans="1:17" x14ac:dyDescent="0.35">
      <c r="A942" t="s">
        <v>112</v>
      </c>
      <c r="B942" t="s">
        <v>113</v>
      </c>
      <c r="C942">
        <v>5</v>
      </c>
      <c r="D942" t="s">
        <v>27</v>
      </c>
      <c r="E942" t="s">
        <v>100</v>
      </c>
      <c r="F942" t="s">
        <v>101</v>
      </c>
      <c r="G942">
        <v>254</v>
      </c>
      <c r="H942" t="s">
        <v>102</v>
      </c>
      <c r="I942" t="s">
        <v>160</v>
      </c>
      <c r="J942" t="s">
        <v>157</v>
      </c>
      <c r="K942">
        <v>1250</v>
      </c>
      <c r="L942">
        <v>125000</v>
      </c>
      <c r="M942" t="s">
        <v>207</v>
      </c>
      <c r="N942" s="98">
        <v>0</v>
      </c>
      <c r="O942" s="98">
        <v>0</v>
      </c>
      <c r="P942" s="98">
        <v>0</v>
      </c>
      <c r="Q942" s="98">
        <v>0</v>
      </c>
    </row>
    <row r="943" spans="1:17" x14ac:dyDescent="0.35">
      <c r="A943" t="s">
        <v>114</v>
      </c>
      <c r="B943" t="s">
        <v>115</v>
      </c>
      <c r="C943">
        <v>6</v>
      </c>
      <c r="D943" t="s">
        <v>27</v>
      </c>
      <c r="E943" t="s">
        <v>100</v>
      </c>
      <c r="F943" t="s">
        <v>101</v>
      </c>
      <c r="G943">
        <v>254</v>
      </c>
      <c r="H943" t="s">
        <v>102</v>
      </c>
      <c r="I943" t="s">
        <v>160</v>
      </c>
      <c r="J943" t="s">
        <v>157</v>
      </c>
      <c r="K943">
        <v>1250</v>
      </c>
      <c r="L943">
        <v>125000</v>
      </c>
      <c r="M943" t="s">
        <v>207</v>
      </c>
      <c r="N943" s="98">
        <v>0</v>
      </c>
      <c r="O943" s="98">
        <v>0</v>
      </c>
      <c r="P943" s="98">
        <v>0</v>
      </c>
      <c r="Q943" s="98">
        <v>0</v>
      </c>
    </row>
    <row r="944" spans="1:17" x14ac:dyDescent="0.35">
      <c r="A944" t="s">
        <v>116</v>
      </c>
      <c r="B944" t="s">
        <v>117</v>
      </c>
      <c r="C944">
        <v>7</v>
      </c>
      <c r="D944" t="s">
        <v>27</v>
      </c>
      <c r="E944" t="s">
        <v>100</v>
      </c>
      <c r="F944" t="s">
        <v>101</v>
      </c>
      <c r="G944">
        <v>254</v>
      </c>
      <c r="H944" t="s">
        <v>102</v>
      </c>
      <c r="I944" t="s">
        <v>160</v>
      </c>
      <c r="J944" t="s">
        <v>157</v>
      </c>
      <c r="K944">
        <v>1250</v>
      </c>
      <c r="L944">
        <v>125000</v>
      </c>
      <c r="M944" t="s">
        <v>207</v>
      </c>
      <c r="N944" s="98">
        <v>0</v>
      </c>
      <c r="O944" s="98">
        <v>0</v>
      </c>
      <c r="P944" s="98">
        <v>0</v>
      </c>
      <c r="Q944" s="98">
        <v>0</v>
      </c>
    </row>
    <row r="945" spans="1:17" x14ac:dyDescent="0.35">
      <c r="A945" t="s">
        <v>118</v>
      </c>
      <c r="B945" t="s">
        <v>119</v>
      </c>
      <c r="C945">
        <v>8</v>
      </c>
      <c r="D945" t="s">
        <v>27</v>
      </c>
      <c r="E945" t="s">
        <v>100</v>
      </c>
      <c r="F945" t="s">
        <v>101</v>
      </c>
      <c r="G945">
        <v>254</v>
      </c>
      <c r="H945" t="s">
        <v>102</v>
      </c>
      <c r="I945" t="s">
        <v>160</v>
      </c>
      <c r="J945" t="s">
        <v>157</v>
      </c>
      <c r="K945">
        <v>1250</v>
      </c>
      <c r="L945">
        <v>125000</v>
      </c>
      <c r="M945" t="s">
        <v>207</v>
      </c>
      <c r="N945" s="98">
        <v>0</v>
      </c>
      <c r="O945" s="98">
        <v>0</v>
      </c>
      <c r="P945" s="98">
        <v>0</v>
      </c>
      <c r="Q945" s="98">
        <v>0</v>
      </c>
    </row>
    <row r="946" spans="1:17" x14ac:dyDescent="0.35">
      <c r="A946" t="s">
        <v>120</v>
      </c>
      <c r="B946" t="s">
        <v>121</v>
      </c>
      <c r="C946">
        <v>9</v>
      </c>
      <c r="D946" t="s">
        <v>30</v>
      </c>
      <c r="E946" t="s">
        <v>5</v>
      </c>
      <c r="F946" t="s">
        <v>101</v>
      </c>
      <c r="G946">
        <v>254</v>
      </c>
      <c r="H946" t="s">
        <v>102</v>
      </c>
      <c r="I946" t="s">
        <v>160</v>
      </c>
      <c r="J946" t="s">
        <v>157</v>
      </c>
      <c r="K946">
        <v>1250</v>
      </c>
      <c r="L946">
        <v>125000</v>
      </c>
      <c r="M946" t="s">
        <v>207</v>
      </c>
      <c r="N946" s="98">
        <v>0</v>
      </c>
      <c r="O946" s="98">
        <v>0</v>
      </c>
      <c r="P946" s="98">
        <v>0</v>
      </c>
      <c r="Q946" s="98">
        <v>0</v>
      </c>
    </row>
    <row r="947" spans="1:17" x14ac:dyDescent="0.35">
      <c r="A947" t="s">
        <v>122</v>
      </c>
      <c r="B947" t="s">
        <v>123</v>
      </c>
      <c r="C947">
        <v>10</v>
      </c>
      <c r="D947" t="s">
        <v>30</v>
      </c>
      <c r="E947" t="s">
        <v>5</v>
      </c>
      <c r="F947" t="s">
        <v>101</v>
      </c>
      <c r="G947">
        <v>254</v>
      </c>
      <c r="H947" t="s">
        <v>102</v>
      </c>
      <c r="I947" t="s">
        <v>160</v>
      </c>
      <c r="J947" t="s">
        <v>157</v>
      </c>
      <c r="K947">
        <v>1250</v>
      </c>
      <c r="L947">
        <v>125000</v>
      </c>
      <c r="M947" t="s">
        <v>207</v>
      </c>
      <c r="N947" s="98">
        <v>0</v>
      </c>
      <c r="O947" s="98">
        <v>0</v>
      </c>
      <c r="P947" s="98">
        <v>0</v>
      </c>
      <c r="Q947" s="98">
        <v>0</v>
      </c>
    </row>
    <row r="948" spans="1:17" x14ac:dyDescent="0.35">
      <c r="A948" t="s">
        <v>124</v>
      </c>
      <c r="B948" t="s">
        <v>125</v>
      </c>
      <c r="C948">
        <v>11</v>
      </c>
      <c r="D948" t="s">
        <v>30</v>
      </c>
      <c r="E948" t="s">
        <v>5</v>
      </c>
      <c r="F948" t="s">
        <v>101</v>
      </c>
      <c r="G948">
        <v>254</v>
      </c>
      <c r="H948" t="s">
        <v>102</v>
      </c>
      <c r="I948" t="s">
        <v>160</v>
      </c>
      <c r="J948" t="s">
        <v>157</v>
      </c>
      <c r="K948">
        <v>1250</v>
      </c>
      <c r="L948">
        <v>125000</v>
      </c>
      <c r="M948" t="s">
        <v>207</v>
      </c>
      <c r="N948" s="98">
        <v>0</v>
      </c>
      <c r="O948" s="98">
        <v>0</v>
      </c>
      <c r="P948" s="98">
        <v>0</v>
      </c>
      <c r="Q948" s="98">
        <v>0</v>
      </c>
    </row>
    <row r="949" spans="1:17" x14ac:dyDescent="0.35">
      <c r="A949" t="s">
        <v>126</v>
      </c>
      <c r="B949" t="s">
        <v>127</v>
      </c>
      <c r="C949">
        <v>12</v>
      </c>
      <c r="D949" t="s">
        <v>30</v>
      </c>
      <c r="E949" t="s">
        <v>5</v>
      </c>
      <c r="F949" t="s">
        <v>101</v>
      </c>
      <c r="G949">
        <v>254</v>
      </c>
      <c r="H949" t="s">
        <v>102</v>
      </c>
      <c r="I949" t="s">
        <v>160</v>
      </c>
      <c r="J949" t="s">
        <v>157</v>
      </c>
      <c r="K949">
        <v>1250</v>
      </c>
      <c r="L949">
        <v>125000</v>
      </c>
      <c r="M949" t="s">
        <v>207</v>
      </c>
      <c r="N949" s="98">
        <v>0</v>
      </c>
      <c r="O949" s="98">
        <v>0</v>
      </c>
      <c r="P949" s="98">
        <v>0</v>
      </c>
      <c r="Q949" s="98">
        <v>0</v>
      </c>
    </row>
    <row r="950" spans="1:17" x14ac:dyDescent="0.35">
      <c r="A950" t="s">
        <v>98</v>
      </c>
      <c r="B950" t="s">
        <v>99</v>
      </c>
      <c r="C950">
        <v>1</v>
      </c>
      <c r="D950" t="s">
        <v>23</v>
      </c>
      <c r="E950" t="s">
        <v>100</v>
      </c>
      <c r="F950" t="s">
        <v>101</v>
      </c>
      <c r="G950">
        <v>254</v>
      </c>
      <c r="H950" t="s">
        <v>102</v>
      </c>
      <c r="I950" t="s">
        <v>160</v>
      </c>
      <c r="J950" t="s">
        <v>157</v>
      </c>
      <c r="K950">
        <v>1270</v>
      </c>
      <c r="L950">
        <v>127040</v>
      </c>
      <c r="M950" t="s">
        <v>208</v>
      </c>
      <c r="N950" s="98">
        <v>0</v>
      </c>
      <c r="O950" s="98">
        <v>0</v>
      </c>
      <c r="P950" s="98">
        <v>0</v>
      </c>
      <c r="Q950" s="98">
        <v>0</v>
      </c>
    </row>
    <row r="951" spans="1:17" x14ac:dyDescent="0.35">
      <c r="A951" t="s">
        <v>106</v>
      </c>
      <c r="B951" t="s">
        <v>107</v>
      </c>
      <c r="C951">
        <v>2</v>
      </c>
      <c r="D951" t="s">
        <v>23</v>
      </c>
      <c r="E951" t="s">
        <v>100</v>
      </c>
      <c r="F951" t="s">
        <v>101</v>
      </c>
      <c r="G951">
        <v>254</v>
      </c>
      <c r="H951" t="s">
        <v>102</v>
      </c>
      <c r="I951" t="s">
        <v>160</v>
      </c>
      <c r="J951" t="s">
        <v>157</v>
      </c>
      <c r="K951">
        <v>1270</v>
      </c>
      <c r="L951">
        <v>127040</v>
      </c>
      <c r="M951" t="s">
        <v>208</v>
      </c>
      <c r="N951" s="98">
        <v>0</v>
      </c>
      <c r="O951" s="98">
        <v>0</v>
      </c>
      <c r="P951" s="98">
        <v>0</v>
      </c>
      <c r="Q951" s="98">
        <v>0</v>
      </c>
    </row>
    <row r="952" spans="1:17" x14ac:dyDescent="0.35">
      <c r="A952" t="s">
        <v>108</v>
      </c>
      <c r="B952" t="s">
        <v>109</v>
      </c>
      <c r="C952">
        <v>3</v>
      </c>
      <c r="D952" t="s">
        <v>23</v>
      </c>
      <c r="E952" t="s">
        <v>100</v>
      </c>
      <c r="F952" t="s">
        <v>101</v>
      </c>
      <c r="G952">
        <v>254</v>
      </c>
      <c r="H952" t="s">
        <v>102</v>
      </c>
      <c r="I952" t="s">
        <v>160</v>
      </c>
      <c r="J952" t="s">
        <v>157</v>
      </c>
      <c r="K952">
        <v>1270</v>
      </c>
      <c r="L952">
        <v>127040</v>
      </c>
      <c r="M952" t="s">
        <v>208</v>
      </c>
      <c r="N952" s="98">
        <v>0</v>
      </c>
      <c r="O952" s="98">
        <v>0</v>
      </c>
      <c r="P952" s="98">
        <v>0</v>
      </c>
      <c r="Q952" s="98">
        <v>0</v>
      </c>
    </row>
    <row r="953" spans="1:17" x14ac:dyDescent="0.35">
      <c r="A953" t="s">
        <v>110</v>
      </c>
      <c r="B953" t="s">
        <v>111</v>
      </c>
      <c r="C953">
        <v>4</v>
      </c>
      <c r="D953" t="s">
        <v>23</v>
      </c>
      <c r="E953" t="s">
        <v>100</v>
      </c>
      <c r="F953" t="s">
        <v>101</v>
      </c>
      <c r="G953">
        <v>254</v>
      </c>
      <c r="H953" t="s">
        <v>102</v>
      </c>
      <c r="I953" t="s">
        <v>160</v>
      </c>
      <c r="J953" t="s">
        <v>157</v>
      </c>
      <c r="K953">
        <v>1270</v>
      </c>
      <c r="L953">
        <v>127040</v>
      </c>
      <c r="M953" t="s">
        <v>208</v>
      </c>
      <c r="N953" s="98">
        <v>0</v>
      </c>
      <c r="O953" s="98">
        <v>0</v>
      </c>
      <c r="P953" s="98">
        <v>0</v>
      </c>
      <c r="Q953" s="98">
        <v>0</v>
      </c>
    </row>
    <row r="954" spans="1:17" x14ac:dyDescent="0.35">
      <c r="A954" t="s">
        <v>112</v>
      </c>
      <c r="B954" t="s">
        <v>113</v>
      </c>
      <c r="C954">
        <v>5</v>
      </c>
      <c r="D954" t="s">
        <v>27</v>
      </c>
      <c r="E954" t="s">
        <v>100</v>
      </c>
      <c r="F954" t="s">
        <v>101</v>
      </c>
      <c r="G954">
        <v>254</v>
      </c>
      <c r="H954" t="s">
        <v>102</v>
      </c>
      <c r="I954" t="s">
        <v>160</v>
      </c>
      <c r="J954" t="s">
        <v>157</v>
      </c>
      <c r="K954">
        <v>1270</v>
      </c>
      <c r="L954">
        <v>127040</v>
      </c>
      <c r="M954" t="s">
        <v>208</v>
      </c>
      <c r="N954" s="98">
        <v>0</v>
      </c>
      <c r="O954" s="98">
        <v>0</v>
      </c>
      <c r="P954" s="98">
        <v>0</v>
      </c>
      <c r="Q954" s="98">
        <v>0</v>
      </c>
    </row>
    <row r="955" spans="1:17" x14ac:dyDescent="0.35">
      <c r="A955" t="s">
        <v>114</v>
      </c>
      <c r="B955" t="s">
        <v>115</v>
      </c>
      <c r="C955">
        <v>6</v>
      </c>
      <c r="D955" t="s">
        <v>27</v>
      </c>
      <c r="E955" t="s">
        <v>100</v>
      </c>
      <c r="F955" t="s">
        <v>101</v>
      </c>
      <c r="G955">
        <v>254</v>
      </c>
      <c r="H955" t="s">
        <v>102</v>
      </c>
      <c r="I955" t="s">
        <v>160</v>
      </c>
      <c r="J955" t="s">
        <v>157</v>
      </c>
      <c r="K955">
        <v>1270</v>
      </c>
      <c r="L955">
        <v>127040</v>
      </c>
      <c r="M955" t="s">
        <v>208</v>
      </c>
      <c r="N955" s="98">
        <v>0</v>
      </c>
      <c r="O955" s="98">
        <v>0</v>
      </c>
      <c r="P955" s="98">
        <v>0</v>
      </c>
      <c r="Q955" s="98">
        <v>0</v>
      </c>
    </row>
    <row r="956" spans="1:17" x14ac:dyDescent="0.35">
      <c r="A956" t="s">
        <v>116</v>
      </c>
      <c r="B956" t="s">
        <v>117</v>
      </c>
      <c r="C956">
        <v>7</v>
      </c>
      <c r="D956" t="s">
        <v>27</v>
      </c>
      <c r="E956" t="s">
        <v>100</v>
      </c>
      <c r="F956" t="s">
        <v>101</v>
      </c>
      <c r="G956">
        <v>254</v>
      </c>
      <c r="H956" t="s">
        <v>102</v>
      </c>
      <c r="I956" t="s">
        <v>160</v>
      </c>
      <c r="J956" t="s">
        <v>157</v>
      </c>
      <c r="K956">
        <v>1270</v>
      </c>
      <c r="L956">
        <v>127040</v>
      </c>
      <c r="M956" t="s">
        <v>208</v>
      </c>
      <c r="N956" s="98">
        <v>0</v>
      </c>
      <c r="O956" s="98">
        <v>129480</v>
      </c>
      <c r="P956" s="98">
        <v>-129480</v>
      </c>
      <c r="Q956" s="98">
        <v>129480</v>
      </c>
    </row>
    <row r="957" spans="1:17" x14ac:dyDescent="0.35">
      <c r="A957" t="s">
        <v>118</v>
      </c>
      <c r="B957" t="s">
        <v>119</v>
      </c>
      <c r="C957">
        <v>8</v>
      </c>
      <c r="D957" t="s">
        <v>27</v>
      </c>
      <c r="E957" t="s">
        <v>100</v>
      </c>
      <c r="F957" t="s">
        <v>101</v>
      </c>
      <c r="G957">
        <v>254</v>
      </c>
      <c r="H957" t="s">
        <v>102</v>
      </c>
      <c r="I957" t="s">
        <v>160</v>
      </c>
      <c r="J957" t="s">
        <v>157</v>
      </c>
      <c r="K957">
        <v>1270</v>
      </c>
      <c r="L957">
        <v>127040</v>
      </c>
      <c r="M957" t="s">
        <v>208</v>
      </c>
      <c r="N957" s="98">
        <v>0</v>
      </c>
      <c r="O957" s="98">
        <v>253176</v>
      </c>
      <c r="P957" s="98">
        <v>253176</v>
      </c>
      <c r="Q957" s="98">
        <v>253176</v>
      </c>
    </row>
    <row r="958" spans="1:17" x14ac:dyDescent="0.35">
      <c r="A958" t="s">
        <v>120</v>
      </c>
      <c r="B958" t="s">
        <v>121</v>
      </c>
      <c r="C958">
        <v>9</v>
      </c>
      <c r="D958" t="s">
        <v>30</v>
      </c>
      <c r="E958" t="s">
        <v>5</v>
      </c>
      <c r="F958" t="s">
        <v>101</v>
      </c>
      <c r="G958">
        <v>254</v>
      </c>
      <c r="H958" t="s">
        <v>102</v>
      </c>
      <c r="I958" t="s">
        <v>160</v>
      </c>
      <c r="J958" t="s">
        <v>157</v>
      </c>
      <c r="K958">
        <v>1270</v>
      </c>
      <c r="L958">
        <v>127040</v>
      </c>
      <c r="M958" t="s">
        <v>208</v>
      </c>
      <c r="N958" s="98">
        <v>0</v>
      </c>
      <c r="O958" s="98">
        <v>0</v>
      </c>
      <c r="P958" s="98">
        <v>0</v>
      </c>
      <c r="Q958" s="98">
        <v>0</v>
      </c>
    </row>
    <row r="959" spans="1:17" x14ac:dyDescent="0.35">
      <c r="A959" t="s">
        <v>122</v>
      </c>
      <c r="B959" t="s">
        <v>123</v>
      </c>
      <c r="C959">
        <v>10</v>
      </c>
      <c r="D959" t="s">
        <v>30</v>
      </c>
      <c r="E959" t="s">
        <v>5</v>
      </c>
      <c r="F959" t="s">
        <v>101</v>
      </c>
      <c r="G959">
        <v>254</v>
      </c>
      <c r="H959" t="s">
        <v>102</v>
      </c>
      <c r="I959" t="s">
        <v>160</v>
      </c>
      <c r="J959" t="s">
        <v>157</v>
      </c>
      <c r="K959">
        <v>1270</v>
      </c>
      <c r="L959">
        <v>127040</v>
      </c>
      <c r="M959" t="s">
        <v>208</v>
      </c>
      <c r="N959" s="98">
        <v>0</v>
      </c>
      <c r="O959" s="98">
        <v>0</v>
      </c>
      <c r="P959" s="98">
        <v>0</v>
      </c>
      <c r="Q959" s="98">
        <v>0</v>
      </c>
    </row>
    <row r="960" spans="1:17" x14ac:dyDescent="0.35">
      <c r="A960" t="s">
        <v>124</v>
      </c>
      <c r="B960" t="s">
        <v>125</v>
      </c>
      <c r="C960">
        <v>11</v>
      </c>
      <c r="D960" t="s">
        <v>30</v>
      </c>
      <c r="E960" t="s">
        <v>5</v>
      </c>
      <c r="F960" t="s">
        <v>101</v>
      </c>
      <c r="G960">
        <v>254</v>
      </c>
      <c r="H960" t="s">
        <v>102</v>
      </c>
      <c r="I960" t="s">
        <v>160</v>
      </c>
      <c r="J960" t="s">
        <v>157</v>
      </c>
      <c r="K960">
        <v>1270</v>
      </c>
      <c r="L960">
        <v>127040</v>
      </c>
      <c r="M960" t="s">
        <v>208</v>
      </c>
      <c r="N960" s="98">
        <v>0</v>
      </c>
      <c r="O960" s="98">
        <v>0</v>
      </c>
      <c r="P960" s="98">
        <v>0</v>
      </c>
      <c r="Q960" s="98">
        <v>0</v>
      </c>
    </row>
    <row r="961" spans="1:17" x14ac:dyDescent="0.35">
      <c r="A961" t="s">
        <v>126</v>
      </c>
      <c r="B961" t="s">
        <v>127</v>
      </c>
      <c r="C961">
        <v>12</v>
      </c>
      <c r="D961" t="s">
        <v>30</v>
      </c>
      <c r="E961" t="s">
        <v>5</v>
      </c>
      <c r="F961" t="s">
        <v>101</v>
      </c>
      <c r="G961">
        <v>254</v>
      </c>
      <c r="H961" t="s">
        <v>102</v>
      </c>
      <c r="I961" t="s">
        <v>160</v>
      </c>
      <c r="J961" t="s">
        <v>157</v>
      </c>
      <c r="K961">
        <v>1270</v>
      </c>
      <c r="L961">
        <v>127040</v>
      </c>
      <c r="M961" t="s">
        <v>208</v>
      </c>
      <c r="N961" s="98">
        <v>0</v>
      </c>
      <c r="O961" s="98">
        <v>0</v>
      </c>
      <c r="P961" s="98">
        <v>0</v>
      </c>
      <c r="Q961" s="98">
        <v>0</v>
      </c>
    </row>
    <row r="962" spans="1:17" x14ac:dyDescent="0.35">
      <c r="A962" t="s">
        <v>98</v>
      </c>
      <c r="B962" t="s">
        <v>99</v>
      </c>
      <c r="C962">
        <v>1</v>
      </c>
      <c r="D962" t="s">
        <v>23</v>
      </c>
      <c r="E962" t="s">
        <v>100</v>
      </c>
      <c r="F962" t="s">
        <v>101</v>
      </c>
      <c r="G962">
        <v>254</v>
      </c>
      <c r="H962" t="s">
        <v>102</v>
      </c>
      <c r="I962" t="s">
        <v>160</v>
      </c>
      <c r="J962" t="s">
        <v>157</v>
      </c>
      <c r="K962">
        <v>1260</v>
      </c>
      <c r="L962">
        <v>126000</v>
      </c>
      <c r="M962" t="s">
        <v>209</v>
      </c>
      <c r="N962" s="98">
        <v>0</v>
      </c>
      <c r="O962" s="98">
        <v>0</v>
      </c>
      <c r="P962" s="98">
        <v>0</v>
      </c>
      <c r="Q962" s="98">
        <v>0</v>
      </c>
    </row>
    <row r="963" spans="1:17" x14ac:dyDescent="0.35">
      <c r="A963" t="s">
        <v>106</v>
      </c>
      <c r="B963" t="s">
        <v>107</v>
      </c>
      <c r="C963">
        <v>2</v>
      </c>
      <c r="D963" t="s">
        <v>23</v>
      </c>
      <c r="E963" t="s">
        <v>100</v>
      </c>
      <c r="F963" t="s">
        <v>101</v>
      </c>
      <c r="G963">
        <v>254</v>
      </c>
      <c r="H963" t="s">
        <v>102</v>
      </c>
      <c r="I963" t="s">
        <v>160</v>
      </c>
      <c r="J963" t="s">
        <v>157</v>
      </c>
      <c r="K963">
        <v>1260</v>
      </c>
      <c r="L963">
        <v>126000</v>
      </c>
      <c r="M963" t="s">
        <v>209</v>
      </c>
      <c r="N963" s="98">
        <v>0</v>
      </c>
      <c r="O963" s="98">
        <v>0</v>
      </c>
      <c r="P963" s="98">
        <v>0</v>
      </c>
      <c r="Q963" s="98">
        <v>0</v>
      </c>
    </row>
    <row r="964" spans="1:17" x14ac:dyDescent="0.35">
      <c r="A964" t="s">
        <v>108</v>
      </c>
      <c r="B964" t="s">
        <v>109</v>
      </c>
      <c r="C964">
        <v>3</v>
      </c>
      <c r="D964" t="s">
        <v>23</v>
      </c>
      <c r="E964" t="s">
        <v>100</v>
      </c>
      <c r="F964" t="s">
        <v>101</v>
      </c>
      <c r="G964">
        <v>254</v>
      </c>
      <c r="H964" t="s">
        <v>102</v>
      </c>
      <c r="I964" t="s">
        <v>160</v>
      </c>
      <c r="J964" t="s">
        <v>157</v>
      </c>
      <c r="K964">
        <v>1260</v>
      </c>
      <c r="L964">
        <v>126000</v>
      </c>
      <c r="M964" t="s">
        <v>209</v>
      </c>
      <c r="N964" s="98">
        <v>0</v>
      </c>
      <c r="O964" s="98">
        <v>0</v>
      </c>
      <c r="P964" s="98">
        <v>0</v>
      </c>
      <c r="Q964" s="98">
        <v>0</v>
      </c>
    </row>
    <row r="965" spans="1:17" x14ac:dyDescent="0.35">
      <c r="A965" t="s">
        <v>110</v>
      </c>
      <c r="B965" t="s">
        <v>111</v>
      </c>
      <c r="C965">
        <v>4</v>
      </c>
      <c r="D965" t="s">
        <v>23</v>
      </c>
      <c r="E965" t="s">
        <v>100</v>
      </c>
      <c r="F965" t="s">
        <v>101</v>
      </c>
      <c r="G965">
        <v>254</v>
      </c>
      <c r="H965" t="s">
        <v>102</v>
      </c>
      <c r="I965" t="s">
        <v>160</v>
      </c>
      <c r="J965" t="s">
        <v>157</v>
      </c>
      <c r="K965">
        <v>1260</v>
      </c>
      <c r="L965">
        <v>126000</v>
      </c>
      <c r="M965" t="s">
        <v>209</v>
      </c>
      <c r="N965" s="98">
        <v>0</v>
      </c>
      <c r="O965" s="98">
        <v>400</v>
      </c>
      <c r="P965" s="98">
        <v>-400</v>
      </c>
      <c r="Q965" s="98">
        <v>400</v>
      </c>
    </row>
    <row r="966" spans="1:17" x14ac:dyDescent="0.35">
      <c r="A966" t="s">
        <v>112</v>
      </c>
      <c r="B966" t="s">
        <v>113</v>
      </c>
      <c r="C966">
        <v>5</v>
      </c>
      <c r="D966" t="s">
        <v>27</v>
      </c>
      <c r="E966" t="s">
        <v>100</v>
      </c>
      <c r="F966" t="s">
        <v>101</v>
      </c>
      <c r="G966">
        <v>254</v>
      </c>
      <c r="H966" t="s">
        <v>102</v>
      </c>
      <c r="I966" t="s">
        <v>160</v>
      </c>
      <c r="J966" t="s">
        <v>157</v>
      </c>
      <c r="K966">
        <v>1260</v>
      </c>
      <c r="L966">
        <v>126000</v>
      </c>
      <c r="M966" t="s">
        <v>209</v>
      </c>
      <c r="N966" s="98">
        <v>0</v>
      </c>
      <c r="O966" s="98">
        <v>0</v>
      </c>
      <c r="P966" s="98">
        <v>0</v>
      </c>
      <c r="Q966" s="98">
        <v>0</v>
      </c>
    </row>
    <row r="967" spans="1:17" x14ac:dyDescent="0.35">
      <c r="A967" t="s">
        <v>114</v>
      </c>
      <c r="B967" t="s">
        <v>115</v>
      </c>
      <c r="C967">
        <v>6</v>
      </c>
      <c r="D967" t="s">
        <v>27</v>
      </c>
      <c r="E967" t="s">
        <v>100</v>
      </c>
      <c r="F967" t="s">
        <v>101</v>
      </c>
      <c r="G967">
        <v>254</v>
      </c>
      <c r="H967" t="s">
        <v>102</v>
      </c>
      <c r="I967" t="s">
        <v>160</v>
      </c>
      <c r="J967" t="s">
        <v>157</v>
      </c>
      <c r="K967">
        <v>1260</v>
      </c>
      <c r="L967">
        <v>126000</v>
      </c>
      <c r="M967" t="s">
        <v>209</v>
      </c>
      <c r="N967" s="98">
        <v>0</v>
      </c>
      <c r="O967" s="98">
        <v>0</v>
      </c>
      <c r="P967" s="98">
        <v>0</v>
      </c>
      <c r="Q967" s="98">
        <v>0</v>
      </c>
    </row>
    <row r="968" spans="1:17" x14ac:dyDescent="0.35">
      <c r="A968" t="s">
        <v>116</v>
      </c>
      <c r="B968" t="s">
        <v>117</v>
      </c>
      <c r="C968">
        <v>7</v>
      </c>
      <c r="D968" t="s">
        <v>27</v>
      </c>
      <c r="E968" t="s">
        <v>100</v>
      </c>
      <c r="F968" t="s">
        <v>101</v>
      </c>
      <c r="G968">
        <v>254</v>
      </c>
      <c r="H968" t="s">
        <v>102</v>
      </c>
      <c r="I968" t="s">
        <v>160</v>
      </c>
      <c r="J968" t="s">
        <v>157</v>
      </c>
      <c r="K968">
        <v>1260</v>
      </c>
      <c r="L968">
        <v>126000</v>
      </c>
      <c r="M968" t="s">
        <v>209</v>
      </c>
      <c r="N968" s="98">
        <v>0</v>
      </c>
      <c r="O968" s="98">
        <v>0</v>
      </c>
      <c r="P968" s="98">
        <v>0</v>
      </c>
      <c r="Q968" s="98">
        <v>0</v>
      </c>
    </row>
    <row r="969" spans="1:17" x14ac:dyDescent="0.35">
      <c r="A969" t="s">
        <v>118</v>
      </c>
      <c r="B969" t="s">
        <v>119</v>
      </c>
      <c r="C969">
        <v>8</v>
      </c>
      <c r="D969" t="s">
        <v>27</v>
      </c>
      <c r="E969" t="s">
        <v>100</v>
      </c>
      <c r="F969" t="s">
        <v>101</v>
      </c>
      <c r="G969">
        <v>254</v>
      </c>
      <c r="H969" t="s">
        <v>102</v>
      </c>
      <c r="I969" t="s">
        <v>160</v>
      </c>
      <c r="J969" t="s">
        <v>157</v>
      </c>
      <c r="K969">
        <v>1260</v>
      </c>
      <c r="L969">
        <v>126000</v>
      </c>
      <c r="M969" t="s">
        <v>209</v>
      </c>
      <c r="N969" s="98">
        <v>0</v>
      </c>
      <c r="O969" s="98">
        <v>0</v>
      </c>
      <c r="P969" s="98">
        <v>0</v>
      </c>
      <c r="Q969" s="98">
        <v>0</v>
      </c>
    </row>
    <row r="970" spans="1:17" x14ac:dyDescent="0.35">
      <c r="A970" t="s">
        <v>120</v>
      </c>
      <c r="B970" t="s">
        <v>121</v>
      </c>
      <c r="C970">
        <v>9</v>
      </c>
      <c r="D970" t="s">
        <v>30</v>
      </c>
      <c r="E970" t="s">
        <v>5</v>
      </c>
      <c r="F970" t="s">
        <v>101</v>
      </c>
      <c r="G970">
        <v>254</v>
      </c>
      <c r="H970" t="s">
        <v>102</v>
      </c>
      <c r="I970" t="s">
        <v>160</v>
      </c>
      <c r="J970" t="s">
        <v>157</v>
      </c>
      <c r="K970">
        <v>1260</v>
      </c>
      <c r="L970">
        <v>126000</v>
      </c>
      <c r="M970" t="s">
        <v>209</v>
      </c>
      <c r="N970" s="98">
        <v>0</v>
      </c>
      <c r="O970" s="98">
        <v>0</v>
      </c>
      <c r="P970" s="98">
        <v>0</v>
      </c>
      <c r="Q970" s="98">
        <v>0</v>
      </c>
    </row>
    <row r="971" spans="1:17" x14ac:dyDescent="0.35">
      <c r="A971" t="s">
        <v>122</v>
      </c>
      <c r="B971" t="s">
        <v>123</v>
      </c>
      <c r="C971">
        <v>10</v>
      </c>
      <c r="D971" t="s">
        <v>30</v>
      </c>
      <c r="E971" t="s">
        <v>5</v>
      </c>
      <c r="F971" t="s">
        <v>101</v>
      </c>
      <c r="G971">
        <v>254</v>
      </c>
      <c r="H971" t="s">
        <v>102</v>
      </c>
      <c r="I971" t="s">
        <v>160</v>
      </c>
      <c r="J971" t="s">
        <v>157</v>
      </c>
      <c r="K971">
        <v>1260</v>
      </c>
      <c r="L971">
        <v>126000</v>
      </c>
      <c r="M971" t="s">
        <v>209</v>
      </c>
      <c r="N971" s="98">
        <v>0</v>
      </c>
      <c r="O971" s="98">
        <v>0</v>
      </c>
      <c r="P971" s="98">
        <v>0</v>
      </c>
      <c r="Q971" s="98">
        <v>0</v>
      </c>
    </row>
    <row r="972" spans="1:17" x14ac:dyDescent="0.35">
      <c r="A972" t="s">
        <v>124</v>
      </c>
      <c r="B972" t="s">
        <v>125</v>
      </c>
      <c r="C972">
        <v>11</v>
      </c>
      <c r="D972" t="s">
        <v>30</v>
      </c>
      <c r="E972" t="s">
        <v>5</v>
      </c>
      <c r="F972" t="s">
        <v>101</v>
      </c>
      <c r="G972">
        <v>254</v>
      </c>
      <c r="H972" t="s">
        <v>102</v>
      </c>
      <c r="I972" t="s">
        <v>160</v>
      </c>
      <c r="J972" t="s">
        <v>157</v>
      </c>
      <c r="K972">
        <v>1260</v>
      </c>
      <c r="L972">
        <v>126000</v>
      </c>
      <c r="M972" t="s">
        <v>209</v>
      </c>
      <c r="N972" s="98">
        <v>0</v>
      </c>
      <c r="O972" s="98">
        <v>0</v>
      </c>
      <c r="P972" s="98">
        <v>0</v>
      </c>
      <c r="Q972" s="98">
        <v>0</v>
      </c>
    </row>
    <row r="973" spans="1:17" x14ac:dyDescent="0.35">
      <c r="A973" t="s">
        <v>126</v>
      </c>
      <c r="B973" t="s">
        <v>127</v>
      </c>
      <c r="C973">
        <v>12</v>
      </c>
      <c r="D973" t="s">
        <v>30</v>
      </c>
      <c r="E973" t="s">
        <v>5</v>
      </c>
      <c r="F973" t="s">
        <v>101</v>
      </c>
      <c r="G973">
        <v>254</v>
      </c>
      <c r="H973" t="s">
        <v>102</v>
      </c>
      <c r="I973" t="s">
        <v>160</v>
      </c>
      <c r="J973" t="s">
        <v>157</v>
      </c>
      <c r="K973">
        <v>1260</v>
      </c>
      <c r="L973">
        <v>126000</v>
      </c>
      <c r="M973" t="s">
        <v>209</v>
      </c>
      <c r="N973" s="98">
        <v>0</v>
      </c>
      <c r="O973" s="98">
        <v>0</v>
      </c>
      <c r="P973" s="98">
        <v>0</v>
      </c>
      <c r="Q973" s="98">
        <v>0</v>
      </c>
    </row>
    <row r="974" spans="1:17" x14ac:dyDescent="0.35">
      <c r="A974" t="s">
        <v>98</v>
      </c>
      <c r="B974" t="s">
        <v>99</v>
      </c>
      <c r="C974">
        <v>1</v>
      </c>
      <c r="D974" t="s">
        <v>23</v>
      </c>
      <c r="E974" t="s">
        <v>100</v>
      </c>
      <c r="F974" t="s">
        <v>101</v>
      </c>
      <c r="G974">
        <v>254</v>
      </c>
      <c r="H974" t="s">
        <v>102</v>
      </c>
      <c r="I974" t="s">
        <v>160</v>
      </c>
      <c r="J974" t="s">
        <v>157</v>
      </c>
      <c r="K974">
        <v>1270</v>
      </c>
      <c r="L974">
        <v>127050</v>
      </c>
      <c r="M974" t="s">
        <v>210</v>
      </c>
      <c r="N974" s="98">
        <v>0</v>
      </c>
      <c r="O974" s="98">
        <v>0</v>
      </c>
      <c r="P974" s="98">
        <v>0</v>
      </c>
      <c r="Q974" s="98">
        <v>0</v>
      </c>
    </row>
    <row r="975" spans="1:17" x14ac:dyDescent="0.35">
      <c r="A975" t="s">
        <v>106</v>
      </c>
      <c r="B975" t="s">
        <v>107</v>
      </c>
      <c r="C975">
        <v>2</v>
      </c>
      <c r="D975" t="s">
        <v>23</v>
      </c>
      <c r="E975" t="s">
        <v>100</v>
      </c>
      <c r="F975" t="s">
        <v>101</v>
      </c>
      <c r="G975">
        <v>254</v>
      </c>
      <c r="H975" t="s">
        <v>102</v>
      </c>
      <c r="I975" t="s">
        <v>160</v>
      </c>
      <c r="J975" t="s">
        <v>157</v>
      </c>
      <c r="K975">
        <v>1270</v>
      </c>
      <c r="L975">
        <v>127050</v>
      </c>
      <c r="M975" t="s">
        <v>210</v>
      </c>
      <c r="N975" s="98">
        <v>0</v>
      </c>
      <c r="O975" s="98">
        <v>0</v>
      </c>
      <c r="P975" s="98">
        <v>0</v>
      </c>
      <c r="Q975" s="98">
        <v>0</v>
      </c>
    </row>
    <row r="976" spans="1:17" x14ac:dyDescent="0.35">
      <c r="A976" t="s">
        <v>108</v>
      </c>
      <c r="B976" t="s">
        <v>109</v>
      </c>
      <c r="C976">
        <v>3</v>
      </c>
      <c r="D976" t="s">
        <v>23</v>
      </c>
      <c r="E976" t="s">
        <v>100</v>
      </c>
      <c r="F976" t="s">
        <v>101</v>
      </c>
      <c r="G976">
        <v>254</v>
      </c>
      <c r="H976" t="s">
        <v>102</v>
      </c>
      <c r="I976" t="s">
        <v>160</v>
      </c>
      <c r="J976" t="s">
        <v>157</v>
      </c>
      <c r="K976">
        <v>1270</v>
      </c>
      <c r="L976">
        <v>127050</v>
      </c>
      <c r="M976" t="s">
        <v>210</v>
      </c>
      <c r="N976" s="98">
        <v>0</v>
      </c>
      <c r="O976" s="98">
        <v>0</v>
      </c>
      <c r="P976" s="98">
        <v>0</v>
      </c>
      <c r="Q976" s="98">
        <v>0</v>
      </c>
    </row>
    <row r="977" spans="1:17" x14ac:dyDescent="0.35">
      <c r="A977" t="s">
        <v>110</v>
      </c>
      <c r="B977" t="s">
        <v>111</v>
      </c>
      <c r="C977">
        <v>4</v>
      </c>
      <c r="D977" t="s">
        <v>23</v>
      </c>
      <c r="E977" t="s">
        <v>100</v>
      </c>
      <c r="F977" t="s">
        <v>101</v>
      </c>
      <c r="G977">
        <v>254</v>
      </c>
      <c r="H977" t="s">
        <v>102</v>
      </c>
      <c r="I977" t="s">
        <v>160</v>
      </c>
      <c r="J977" t="s">
        <v>157</v>
      </c>
      <c r="K977">
        <v>1270</v>
      </c>
      <c r="L977">
        <v>127050</v>
      </c>
      <c r="M977" t="s">
        <v>210</v>
      </c>
      <c r="N977" s="98">
        <v>0</v>
      </c>
      <c r="O977" s="98">
        <v>0</v>
      </c>
      <c r="P977" s="98">
        <v>0</v>
      </c>
      <c r="Q977" s="98">
        <v>0</v>
      </c>
    </row>
    <row r="978" spans="1:17" x14ac:dyDescent="0.35">
      <c r="A978" t="s">
        <v>112</v>
      </c>
      <c r="B978" t="s">
        <v>113</v>
      </c>
      <c r="C978">
        <v>5</v>
      </c>
      <c r="D978" t="s">
        <v>27</v>
      </c>
      <c r="E978" t="s">
        <v>100</v>
      </c>
      <c r="F978" t="s">
        <v>101</v>
      </c>
      <c r="G978">
        <v>254</v>
      </c>
      <c r="H978" t="s">
        <v>102</v>
      </c>
      <c r="I978" t="s">
        <v>160</v>
      </c>
      <c r="J978" t="s">
        <v>157</v>
      </c>
      <c r="K978">
        <v>1270</v>
      </c>
      <c r="L978">
        <v>127050</v>
      </c>
      <c r="M978" t="s">
        <v>210</v>
      </c>
      <c r="N978" s="98">
        <v>0</v>
      </c>
      <c r="O978" s="98">
        <v>0</v>
      </c>
      <c r="P978" s="98">
        <v>0</v>
      </c>
      <c r="Q978" s="98">
        <v>0</v>
      </c>
    </row>
    <row r="979" spans="1:17" x14ac:dyDescent="0.35">
      <c r="A979" t="s">
        <v>114</v>
      </c>
      <c r="B979" t="s">
        <v>115</v>
      </c>
      <c r="C979">
        <v>6</v>
      </c>
      <c r="D979" t="s">
        <v>27</v>
      </c>
      <c r="E979" t="s">
        <v>100</v>
      </c>
      <c r="F979" t="s">
        <v>101</v>
      </c>
      <c r="G979">
        <v>254</v>
      </c>
      <c r="H979" t="s">
        <v>102</v>
      </c>
      <c r="I979" t="s">
        <v>160</v>
      </c>
      <c r="J979" t="s">
        <v>157</v>
      </c>
      <c r="K979">
        <v>1270</v>
      </c>
      <c r="L979">
        <v>127050</v>
      </c>
      <c r="M979" t="s">
        <v>210</v>
      </c>
      <c r="N979" s="98">
        <v>0</v>
      </c>
      <c r="O979" s="98">
        <v>0</v>
      </c>
      <c r="P979" s="98">
        <v>0</v>
      </c>
      <c r="Q979" s="98">
        <v>0</v>
      </c>
    </row>
    <row r="980" spans="1:17" x14ac:dyDescent="0.35">
      <c r="A980" t="s">
        <v>116</v>
      </c>
      <c r="B980" t="s">
        <v>117</v>
      </c>
      <c r="C980">
        <v>7</v>
      </c>
      <c r="D980" t="s">
        <v>27</v>
      </c>
      <c r="E980" t="s">
        <v>100</v>
      </c>
      <c r="F980" t="s">
        <v>101</v>
      </c>
      <c r="G980">
        <v>254</v>
      </c>
      <c r="H980" t="s">
        <v>102</v>
      </c>
      <c r="I980" t="s">
        <v>160</v>
      </c>
      <c r="J980" t="s">
        <v>157</v>
      </c>
      <c r="K980">
        <v>1270</v>
      </c>
      <c r="L980">
        <v>127050</v>
      </c>
      <c r="M980" t="s">
        <v>210</v>
      </c>
      <c r="N980" s="98">
        <v>0</v>
      </c>
      <c r="O980" s="98">
        <v>0</v>
      </c>
      <c r="P980" s="98">
        <v>0</v>
      </c>
      <c r="Q980" s="98">
        <v>0</v>
      </c>
    </row>
    <row r="981" spans="1:17" x14ac:dyDescent="0.35">
      <c r="A981" t="s">
        <v>118</v>
      </c>
      <c r="B981" t="s">
        <v>119</v>
      </c>
      <c r="C981">
        <v>8</v>
      </c>
      <c r="D981" t="s">
        <v>27</v>
      </c>
      <c r="E981" t="s">
        <v>100</v>
      </c>
      <c r="F981" t="s">
        <v>101</v>
      </c>
      <c r="G981">
        <v>254</v>
      </c>
      <c r="H981" t="s">
        <v>102</v>
      </c>
      <c r="I981" t="s">
        <v>160</v>
      </c>
      <c r="J981" t="s">
        <v>157</v>
      </c>
      <c r="K981">
        <v>1270</v>
      </c>
      <c r="L981">
        <v>127050</v>
      </c>
      <c r="M981" t="s">
        <v>210</v>
      </c>
      <c r="N981" s="98">
        <v>0</v>
      </c>
      <c r="O981" s="98">
        <v>0</v>
      </c>
      <c r="P981" s="98">
        <v>0</v>
      </c>
      <c r="Q981" s="98">
        <v>0</v>
      </c>
    </row>
    <row r="982" spans="1:17" x14ac:dyDescent="0.35">
      <c r="A982" t="s">
        <v>120</v>
      </c>
      <c r="B982" t="s">
        <v>121</v>
      </c>
      <c r="C982">
        <v>9</v>
      </c>
      <c r="D982" t="s">
        <v>30</v>
      </c>
      <c r="E982" t="s">
        <v>5</v>
      </c>
      <c r="F982" t="s">
        <v>101</v>
      </c>
      <c r="G982">
        <v>254</v>
      </c>
      <c r="H982" t="s">
        <v>102</v>
      </c>
      <c r="I982" t="s">
        <v>160</v>
      </c>
      <c r="J982" t="s">
        <v>157</v>
      </c>
      <c r="K982">
        <v>1270</v>
      </c>
      <c r="L982">
        <v>127050</v>
      </c>
      <c r="M982" t="s">
        <v>210</v>
      </c>
      <c r="N982" s="98">
        <v>0</v>
      </c>
      <c r="O982" s="98">
        <v>0</v>
      </c>
      <c r="P982" s="98">
        <v>0</v>
      </c>
      <c r="Q982" s="98">
        <v>0</v>
      </c>
    </row>
    <row r="983" spans="1:17" x14ac:dyDescent="0.35">
      <c r="A983" t="s">
        <v>122</v>
      </c>
      <c r="B983" t="s">
        <v>123</v>
      </c>
      <c r="C983">
        <v>10</v>
      </c>
      <c r="D983" t="s">
        <v>30</v>
      </c>
      <c r="E983" t="s">
        <v>5</v>
      </c>
      <c r="F983" t="s">
        <v>101</v>
      </c>
      <c r="G983">
        <v>254</v>
      </c>
      <c r="H983" t="s">
        <v>102</v>
      </c>
      <c r="I983" t="s">
        <v>160</v>
      </c>
      <c r="J983" t="s">
        <v>157</v>
      </c>
      <c r="K983">
        <v>1270</v>
      </c>
      <c r="L983">
        <v>127050</v>
      </c>
      <c r="M983" t="s">
        <v>210</v>
      </c>
      <c r="N983" s="98">
        <v>0</v>
      </c>
      <c r="O983" s="98">
        <v>0</v>
      </c>
      <c r="P983" s="98">
        <v>0</v>
      </c>
      <c r="Q983" s="98">
        <v>0</v>
      </c>
    </row>
    <row r="984" spans="1:17" x14ac:dyDescent="0.35">
      <c r="A984" t="s">
        <v>124</v>
      </c>
      <c r="B984" t="s">
        <v>125</v>
      </c>
      <c r="C984">
        <v>11</v>
      </c>
      <c r="D984" t="s">
        <v>30</v>
      </c>
      <c r="E984" t="s">
        <v>5</v>
      </c>
      <c r="F984" t="s">
        <v>101</v>
      </c>
      <c r="G984">
        <v>254</v>
      </c>
      <c r="H984" t="s">
        <v>102</v>
      </c>
      <c r="I984" t="s">
        <v>160</v>
      </c>
      <c r="J984" t="s">
        <v>157</v>
      </c>
      <c r="K984">
        <v>1270</v>
      </c>
      <c r="L984">
        <v>127050</v>
      </c>
      <c r="M984" t="s">
        <v>210</v>
      </c>
      <c r="N984" s="98">
        <v>0</v>
      </c>
      <c r="O984" s="98">
        <v>0</v>
      </c>
      <c r="P984" s="98">
        <v>0</v>
      </c>
      <c r="Q984" s="98">
        <v>0</v>
      </c>
    </row>
    <row r="985" spans="1:17" x14ac:dyDescent="0.35">
      <c r="A985" t="s">
        <v>126</v>
      </c>
      <c r="B985" t="s">
        <v>127</v>
      </c>
      <c r="C985">
        <v>12</v>
      </c>
      <c r="D985" t="s">
        <v>30</v>
      </c>
      <c r="E985" t="s">
        <v>5</v>
      </c>
      <c r="F985" t="s">
        <v>101</v>
      </c>
      <c r="G985">
        <v>254</v>
      </c>
      <c r="H985" t="s">
        <v>102</v>
      </c>
      <c r="I985" t="s">
        <v>160</v>
      </c>
      <c r="J985" t="s">
        <v>157</v>
      </c>
      <c r="K985">
        <v>1270</v>
      </c>
      <c r="L985">
        <v>127050</v>
      </c>
      <c r="M985" t="s">
        <v>210</v>
      </c>
      <c r="N985" s="98">
        <v>0</v>
      </c>
      <c r="O985" s="98">
        <v>0</v>
      </c>
      <c r="P985" s="98">
        <v>0</v>
      </c>
      <c r="Q985" s="98">
        <v>0</v>
      </c>
    </row>
    <row r="986" spans="1:17" x14ac:dyDescent="0.35">
      <c r="A986" t="s">
        <v>98</v>
      </c>
      <c r="B986" t="s">
        <v>99</v>
      </c>
      <c r="C986">
        <v>1</v>
      </c>
      <c r="D986" t="s">
        <v>23</v>
      </c>
      <c r="E986" t="s">
        <v>100</v>
      </c>
      <c r="F986" t="s">
        <v>101</v>
      </c>
      <c r="G986">
        <v>254</v>
      </c>
      <c r="H986" t="s">
        <v>102</v>
      </c>
      <c r="I986" t="s">
        <v>160</v>
      </c>
      <c r="J986" t="s">
        <v>211</v>
      </c>
      <c r="K986">
        <v>1429</v>
      </c>
      <c r="L986">
        <v>142900</v>
      </c>
      <c r="M986" t="s">
        <v>212</v>
      </c>
      <c r="N986" s="98">
        <v>11662</v>
      </c>
      <c r="O986" s="98">
        <v>5070.82</v>
      </c>
      <c r="P986" s="98">
        <v>6591.18</v>
      </c>
      <c r="Q986" s="98">
        <v>-6591.18</v>
      </c>
    </row>
    <row r="987" spans="1:17" x14ac:dyDescent="0.35">
      <c r="A987" t="s">
        <v>106</v>
      </c>
      <c r="B987" t="s">
        <v>107</v>
      </c>
      <c r="C987">
        <v>2</v>
      </c>
      <c r="D987" t="s">
        <v>23</v>
      </c>
      <c r="E987" t="s">
        <v>100</v>
      </c>
      <c r="F987" t="s">
        <v>101</v>
      </c>
      <c r="G987">
        <v>254</v>
      </c>
      <c r="H987" t="s">
        <v>102</v>
      </c>
      <c r="I987" t="s">
        <v>160</v>
      </c>
      <c r="J987" t="s">
        <v>211</v>
      </c>
      <c r="K987">
        <v>1429</v>
      </c>
      <c r="L987">
        <v>142900</v>
      </c>
      <c r="M987" t="s">
        <v>212</v>
      </c>
      <c r="N987" s="98">
        <v>11662</v>
      </c>
      <c r="O987" s="98">
        <v>7325.59</v>
      </c>
      <c r="P987" s="98">
        <v>4336.41</v>
      </c>
      <c r="Q987" s="98">
        <v>-4336.41</v>
      </c>
    </row>
    <row r="988" spans="1:17" x14ac:dyDescent="0.35">
      <c r="A988" t="s">
        <v>108</v>
      </c>
      <c r="B988" t="s">
        <v>109</v>
      </c>
      <c r="C988">
        <v>3</v>
      </c>
      <c r="D988" t="s">
        <v>23</v>
      </c>
      <c r="E988" t="s">
        <v>100</v>
      </c>
      <c r="F988" t="s">
        <v>101</v>
      </c>
      <c r="G988">
        <v>254</v>
      </c>
      <c r="H988" t="s">
        <v>102</v>
      </c>
      <c r="I988" t="s">
        <v>160</v>
      </c>
      <c r="J988" t="s">
        <v>211</v>
      </c>
      <c r="K988">
        <v>1429</v>
      </c>
      <c r="L988">
        <v>142900</v>
      </c>
      <c r="M988" t="s">
        <v>212</v>
      </c>
      <c r="N988" s="98">
        <v>11662</v>
      </c>
      <c r="O988" s="98">
        <v>854.99</v>
      </c>
      <c r="P988" s="98">
        <v>10807.01</v>
      </c>
      <c r="Q988" s="98">
        <v>-10807.01</v>
      </c>
    </row>
    <row r="989" spans="1:17" x14ac:dyDescent="0.35">
      <c r="A989" t="s">
        <v>110</v>
      </c>
      <c r="B989" t="s">
        <v>111</v>
      </c>
      <c r="C989">
        <v>4</v>
      </c>
      <c r="D989" t="s">
        <v>23</v>
      </c>
      <c r="E989" t="s">
        <v>100</v>
      </c>
      <c r="F989" t="s">
        <v>101</v>
      </c>
      <c r="G989">
        <v>254</v>
      </c>
      <c r="H989" t="s">
        <v>102</v>
      </c>
      <c r="I989" t="s">
        <v>160</v>
      </c>
      <c r="J989" t="s">
        <v>211</v>
      </c>
      <c r="K989">
        <v>1429</v>
      </c>
      <c r="L989">
        <v>142900</v>
      </c>
      <c r="M989" t="s">
        <v>212</v>
      </c>
      <c r="N989" s="98">
        <v>11662</v>
      </c>
      <c r="O989" s="98">
        <v>6710.36</v>
      </c>
      <c r="P989" s="98">
        <v>4951.6400000000003</v>
      </c>
      <c r="Q989" s="98">
        <v>-4951.6400000000003</v>
      </c>
    </row>
    <row r="990" spans="1:17" x14ac:dyDescent="0.35">
      <c r="A990" t="s">
        <v>112</v>
      </c>
      <c r="B990" t="s">
        <v>113</v>
      </c>
      <c r="C990">
        <v>5</v>
      </c>
      <c r="D990" t="s">
        <v>27</v>
      </c>
      <c r="E990" t="s">
        <v>100</v>
      </c>
      <c r="F990" t="s">
        <v>101</v>
      </c>
      <c r="G990">
        <v>254</v>
      </c>
      <c r="H990" t="s">
        <v>102</v>
      </c>
      <c r="I990" t="s">
        <v>160</v>
      </c>
      <c r="J990" t="s">
        <v>211</v>
      </c>
      <c r="K990">
        <v>1429</v>
      </c>
      <c r="L990">
        <v>142900</v>
      </c>
      <c r="M990" t="s">
        <v>212</v>
      </c>
      <c r="N990" s="98">
        <v>11662</v>
      </c>
      <c r="O990" s="98">
        <v>3213.92</v>
      </c>
      <c r="P990" s="98">
        <v>8448.08</v>
      </c>
      <c r="Q990" s="98">
        <v>-8448.08</v>
      </c>
    </row>
    <row r="991" spans="1:17" x14ac:dyDescent="0.35">
      <c r="A991" t="s">
        <v>114</v>
      </c>
      <c r="B991" t="s">
        <v>115</v>
      </c>
      <c r="C991">
        <v>6</v>
      </c>
      <c r="D991" t="s">
        <v>27</v>
      </c>
      <c r="E991" t="s">
        <v>100</v>
      </c>
      <c r="F991" t="s">
        <v>101</v>
      </c>
      <c r="G991">
        <v>254</v>
      </c>
      <c r="H991" t="s">
        <v>102</v>
      </c>
      <c r="I991" t="s">
        <v>160</v>
      </c>
      <c r="J991" t="s">
        <v>211</v>
      </c>
      <c r="K991">
        <v>1429</v>
      </c>
      <c r="L991">
        <v>142900</v>
      </c>
      <c r="M991" t="s">
        <v>212</v>
      </c>
      <c r="N991" s="98">
        <v>11662</v>
      </c>
      <c r="O991" s="98">
        <v>7138.93</v>
      </c>
      <c r="P991" s="98">
        <v>4523.07</v>
      </c>
      <c r="Q991" s="98">
        <v>-4523.07</v>
      </c>
    </row>
    <row r="992" spans="1:17" x14ac:dyDescent="0.35">
      <c r="A992" t="s">
        <v>116</v>
      </c>
      <c r="B992" t="s">
        <v>117</v>
      </c>
      <c r="C992">
        <v>7</v>
      </c>
      <c r="D992" t="s">
        <v>27</v>
      </c>
      <c r="E992" t="s">
        <v>100</v>
      </c>
      <c r="F992" t="s">
        <v>101</v>
      </c>
      <c r="G992">
        <v>254</v>
      </c>
      <c r="H992" t="s">
        <v>102</v>
      </c>
      <c r="I992" t="s">
        <v>160</v>
      </c>
      <c r="J992" t="s">
        <v>211</v>
      </c>
      <c r="K992">
        <v>1429</v>
      </c>
      <c r="L992">
        <v>142900</v>
      </c>
      <c r="M992" t="s">
        <v>212</v>
      </c>
      <c r="N992" s="98">
        <v>11662</v>
      </c>
      <c r="O992" s="98">
        <v>1353.12</v>
      </c>
      <c r="P992" s="98">
        <v>10308.879999999999</v>
      </c>
      <c r="Q992" s="98">
        <v>-10308.879999999999</v>
      </c>
    </row>
    <row r="993" spans="1:17" x14ac:dyDescent="0.35">
      <c r="A993" t="s">
        <v>118</v>
      </c>
      <c r="B993" t="s">
        <v>119</v>
      </c>
      <c r="C993">
        <v>8</v>
      </c>
      <c r="D993" t="s">
        <v>27</v>
      </c>
      <c r="E993" t="s">
        <v>100</v>
      </c>
      <c r="F993" t="s">
        <v>101</v>
      </c>
      <c r="G993">
        <v>254</v>
      </c>
      <c r="H993" t="s">
        <v>102</v>
      </c>
      <c r="I993" t="s">
        <v>160</v>
      </c>
      <c r="J993" t="s">
        <v>211</v>
      </c>
      <c r="K993">
        <v>1429</v>
      </c>
      <c r="L993">
        <v>142900</v>
      </c>
      <c r="M993" t="s">
        <v>212</v>
      </c>
      <c r="N993" s="98">
        <v>11662</v>
      </c>
      <c r="O993" s="98">
        <v>3549.55</v>
      </c>
      <c r="P993" s="98">
        <v>8112.45</v>
      </c>
      <c r="Q993" s="98">
        <v>-8112.45</v>
      </c>
    </row>
    <row r="994" spans="1:17" x14ac:dyDescent="0.35">
      <c r="A994" t="s">
        <v>120</v>
      </c>
      <c r="B994" t="s">
        <v>121</v>
      </c>
      <c r="C994">
        <v>9</v>
      </c>
      <c r="D994" t="s">
        <v>30</v>
      </c>
      <c r="E994" t="s">
        <v>5</v>
      </c>
      <c r="F994" t="s">
        <v>101</v>
      </c>
      <c r="G994">
        <v>254</v>
      </c>
      <c r="H994" t="s">
        <v>102</v>
      </c>
      <c r="I994" t="s">
        <v>160</v>
      </c>
      <c r="J994" t="s">
        <v>211</v>
      </c>
      <c r="K994">
        <v>1429</v>
      </c>
      <c r="L994">
        <v>142900</v>
      </c>
      <c r="M994" t="s">
        <v>212</v>
      </c>
      <c r="N994" s="98">
        <v>11662</v>
      </c>
      <c r="O994" s="98">
        <v>0</v>
      </c>
      <c r="P994" s="98">
        <v>0</v>
      </c>
      <c r="Q994" s="98">
        <v>-11662</v>
      </c>
    </row>
    <row r="995" spans="1:17" x14ac:dyDescent="0.35">
      <c r="A995" t="s">
        <v>122</v>
      </c>
      <c r="B995" t="s">
        <v>123</v>
      </c>
      <c r="C995">
        <v>10</v>
      </c>
      <c r="D995" t="s">
        <v>30</v>
      </c>
      <c r="E995" t="s">
        <v>5</v>
      </c>
      <c r="F995" t="s">
        <v>101</v>
      </c>
      <c r="G995">
        <v>254</v>
      </c>
      <c r="H995" t="s">
        <v>102</v>
      </c>
      <c r="I995" t="s">
        <v>160</v>
      </c>
      <c r="J995" t="s">
        <v>211</v>
      </c>
      <c r="K995">
        <v>1429</v>
      </c>
      <c r="L995">
        <v>142900</v>
      </c>
      <c r="M995" t="s">
        <v>212</v>
      </c>
      <c r="N995" s="98">
        <v>11662</v>
      </c>
      <c r="O995" s="98">
        <v>0</v>
      </c>
      <c r="P995" s="98">
        <v>0</v>
      </c>
      <c r="Q995" s="98">
        <v>-11662</v>
      </c>
    </row>
    <row r="996" spans="1:17" x14ac:dyDescent="0.35">
      <c r="A996" t="s">
        <v>124</v>
      </c>
      <c r="B996" t="s">
        <v>125</v>
      </c>
      <c r="C996">
        <v>11</v>
      </c>
      <c r="D996" t="s">
        <v>30</v>
      </c>
      <c r="E996" t="s">
        <v>5</v>
      </c>
      <c r="F996" t="s">
        <v>101</v>
      </c>
      <c r="G996">
        <v>254</v>
      </c>
      <c r="H996" t="s">
        <v>102</v>
      </c>
      <c r="I996" t="s">
        <v>160</v>
      </c>
      <c r="J996" t="s">
        <v>211</v>
      </c>
      <c r="K996">
        <v>1429</v>
      </c>
      <c r="L996">
        <v>142900</v>
      </c>
      <c r="M996" t="s">
        <v>212</v>
      </c>
      <c r="N996" s="98">
        <v>11662</v>
      </c>
      <c r="O996" s="98">
        <v>0</v>
      </c>
      <c r="P996" s="98">
        <v>0</v>
      </c>
      <c r="Q996" s="98">
        <v>-11662</v>
      </c>
    </row>
    <row r="997" spans="1:17" x14ac:dyDescent="0.35">
      <c r="A997" t="s">
        <v>126</v>
      </c>
      <c r="B997" t="s">
        <v>127</v>
      </c>
      <c r="C997">
        <v>12</v>
      </c>
      <c r="D997" t="s">
        <v>30</v>
      </c>
      <c r="E997" t="s">
        <v>5</v>
      </c>
      <c r="F997" t="s">
        <v>101</v>
      </c>
      <c r="G997">
        <v>254</v>
      </c>
      <c r="H997" t="s">
        <v>102</v>
      </c>
      <c r="I997" t="s">
        <v>160</v>
      </c>
      <c r="J997" t="s">
        <v>211</v>
      </c>
      <c r="K997">
        <v>1429</v>
      </c>
      <c r="L997">
        <v>142900</v>
      </c>
      <c r="M997" t="s">
        <v>212</v>
      </c>
      <c r="N997" s="98">
        <v>11718</v>
      </c>
      <c r="O997" s="98">
        <v>0</v>
      </c>
      <c r="P997" s="98">
        <v>0</v>
      </c>
      <c r="Q997" s="98">
        <v>-11718</v>
      </c>
    </row>
    <row r="998" spans="1:17" x14ac:dyDescent="0.35">
      <c r="A998" t="s">
        <v>98</v>
      </c>
      <c r="B998" t="s">
        <v>99</v>
      </c>
      <c r="C998">
        <v>1</v>
      </c>
      <c r="D998" t="s">
        <v>23</v>
      </c>
      <c r="E998" t="s">
        <v>100</v>
      </c>
      <c r="F998" t="s">
        <v>101</v>
      </c>
      <c r="G998">
        <v>254</v>
      </c>
      <c r="H998" t="s">
        <v>102</v>
      </c>
      <c r="I998" t="s">
        <v>160</v>
      </c>
      <c r="J998" t="s">
        <v>211</v>
      </c>
      <c r="K998">
        <v>1729</v>
      </c>
      <c r="L998">
        <v>172900</v>
      </c>
      <c r="M998" t="s">
        <v>213</v>
      </c>
      <c r="N998" s="98">
        <v>-11662</v>
      </c>
      <c r="O998" s="98">
        <v>-5070.82</v>
      </c>
      <c r="P998" s="98">
        <v>-6591.18</v>
      </c>
      <c r="Q998" s="98">
        <v>6591.18</v>
      </c>
    </row>
    <row r="999" spans="1:17" x14ac:dyDescent="0.35">
      <c r="A999" t="s">
        <v>106</v>
      </c>
      <c r="B999" t="s">
        <v>107</v>
      </c>
      <c r="C999">
        <v>2</v>
      </c>
      <c r="D999" t="s">
        <v>23</v>
      </c>
      <c r="E999" t="s">
        <v>100</v>
      </c>
      <c r="F999" t="s">
        <v>101</v>
      </c>
      <c r="G999">
        <v>254</v>
      </c>
      <c r="H999" t="s">
        <v>102</v>
      </c>
      <c r="I999" t="s">
        <v>160</v>
      </c>
      <c r="J999" t="s">
        <v>211</v>
      </c>
      <c r="K999">
        <v>1729</v>
      </c>
      <c r="L999">
        <v>172900</v>
      </c>
      <c r="M999" t="s">
        <v>213</v>
      </c>
      <c r="N999" s="98">
        <v>-11662</v>
      </c>
      <c r="O999" s="98">
        <v>-7325.59</v>
      </c>
      <c r="P999" s="98">
        <v>-4336.41</v>
      </c>
      <c r="Q999" s="98">
        <v>4336.41</v>
      </c>
    </row>
    <row r="1000" spans="1:17" x14ac:dyDescent="0.35">
      <c r="A1000" t="s">
        <v>108</v>
      </c>
      <c r="B1000" t="s">
        <v>109</v>
      </c>
      <c r="C1000">
        <v>3</v>
      </c>
      <c r="D1000" t="s">
        <v>23</v>
      </c>
      <c r="E1000" t="s">
        <v>100</v>
      </c>
      <c r="F1000" t="s">
        <v>101</v>
      </c>
      <c r="G1000">
        <v>254</v>
      </c>
      <c r="H1000" t="s">
        <v>102</v>
      </c>
      <c r="I1000" t="s">
        <v>160</v>
      </c>
      <c r="J1000" t="s">
        <v>211</v>
      </c>
      <c r="K1000">
        <v>1729</v>
      </c>
      <c r="L1000">
        <v>172900</v>
      </c>
      <c r="M1000" t="s">
        <v>213</v>
      </c>
      <c r="N1000" s="98">
        <v>-11662</v>
      </c>
      <c r="O1000" s="98">
        <v>-854.99</v>
      </c>
      <c r="P1000" s="98">
        <v>-10807.01</v>
      </c>
      <c r="Q1000" s="98">
        <v>10807.01</v>
      </c>
    </row>
    <row r="1001" spans="1:17" x14ac:dyDescent="0.35">
      <c r="A1001" t="s">
        <v>110</v>
      </c>
      <c r="B1001" t="s">
        <v>111</v>
      </c>
      <c r="C1001">
        <v>4</v>
      </c>
      <c r="D1001" t="s">
        <v>23</v>
      </c>
      <c r="E1001" t="s">
        <v>100</v>
      </c>
      <c r="F1001" t="s">
        <v>101</v>
      </c>
      <c r="G1001">
        <v>254</v>
      </c>
      <c r="H1001" t="s">
        <v>102</v>
      </c>
      <c r="I1001" t="s">
        <v>160</v>
      </c>
      <c r="J1001" t="s">
        <v>211</v>
      </c>
      <c r="K1001">
        <v>1729</v>
      </c>
      <c r="L1001">
        <v>172900</v>
      </c>
      <c r="M1001" t="s">
        <v>213</v>
      </c>
      <c r="N1001" s="98">
        <v>-11662</v>
      </c>
      <c r="O1001" s="98">
        <v>-6710.36</v>
      </c>
      <c r="P1001" s="98">
        <v>-4951.6400000000003</v>
      </c>
      <c r="Q1001" s="98">
        <v>4951.6400000000003</v>
      </c>
    </row>
    <row r="1002" spans="1:17" x14ac:dyDescent="0.35">
      <c r="A1002" t="s">
        <v>112</v>
      </c>
      <c r="B1002" t="s">
        <v>113</v>
      </c>
      <c r="C1002">
        <v>5</v>
      </c>
      <c r="D1002" t="s">
        <v>27</v>
      </c>
      <c r="E1002" t="s">
        <v>100</v>
      </c>
      <c r="F1002" t="s">
        <v>101</v>
      </c>
      <c r="G1002">
        <v>254</v>
      </c>
      <c r="H1002" t="s">
        <v>102</v>
      </c>
      <c r="I1002" t="s">
        <v>160</v>
      </c>
      <c r="J1002" t="s">
        <v>211</v>
      </c>
      <c r="K1002">
        <v>1729</v>
      </c>
      <c r="L1002">
        <v>172900</v>
      </c>
      <c r="M1002" t="s">
        <v>213</v>
      </c>
      <c r="N1002" s="98">
        <v>-11662</v>
      </c>
      <c r="O1002" s="98">
        <v>-3213.92</v>
      </c>
      <c r="P1002" s="98">
        <v>-8448.08</v>
      </c>
      <c r="Q1002" s="98">
        <v>8448.08</v>
      </c>
    </row>
    <row r="1003" spans="1:17" x14ac:dyDescent="0.35">
      <c r="A1003" t="s">
        <v>114</v>
      </c>
      <c r="B1003" t="s">
        <v>115</v>
      </c>
      <c r="C1003">
        <v>6</v>
      </c>
      <c r="D1003" t="s">
        <v>27</v>
      </c>
      <c r="E1003" t="s">
        <v>100</v>
      </c>
      <c r="F1003" t="s">
        <v>101</v>
      </c>
      <c r="G1003">
        <v>254</v>
      </c>
      <c r="H1003" t="s">
        <v>102</v>
      </c>
      <c r="I1003" t="s">
        <v>160</v>
      </c>
      <c r="J1003" t="s">
        <v>211</v>
      </c>
      <c r="K1003">
        <v>1729</v>
      </c>
      <c r="L1003">
        <v>172900</v>
      </c>
      <c r="M1003" t="s">
        <v>213</v>
      </c>
      <c r="N1003" s="98">
        <v>-11662</v>
      </c>
      <c r="O1003" s="98">
        <v>-7138.93</v>
      </c>
      <c r="P1003" s="98">
        <v>-4523.07</v>
      </c>
      <c r="Q1003" s="98">
        <v>4523.07</v>
      </c>
    </row>
    <row r="1004" spans="1:17" x14ac:dyDescent="0.35">
      <c r="A1004" t="s">
        <v>116</v>
      </c>
      <c r="B1004" t="s">
        <v>117</v>
      </c>
      <c r="C1004">
        <v>7</v>
      </c>
      <c r="D1004" t="s">
        <v>27</v>
      </c>
      <c r="E1004" t="s">
        <v>100</v>
      </c>
      <c r="F1004" t="s">
        <v>101</v>
      </c>
      <c r="G1004">
        <v>254</v>
      </c>
      <c r="H1004" t="s">
        <v>102</v>
      </c>
      <c r="I1004" t="s">
        <v>160</v>
      </c>
      <c r="J1004" t="s">
        <v>211</v>
      </c>
      <c r="K1004">
        <v>1729</v>
      </c>
      <c r="L1004">
        <v>172900</v>
      </c>
      <c r="M1004" t="s">
        <v>213</v>
      </c>
      <c r="N1004" s="98">
        <v>-11662</v>
      </c>
      <c r="O1004" s="98">
        <v>-1353.12</v>
      </c>
      <c r="P1004" s="98">
        <v>-10308.879999999999</v>
      </c>
      <c r="Q1004" s="98">
        <v>10308.879999999999</v>
      </c>
    </row>
    <row r="1005" spans="1:17" x14ac:dyDescent="0.35">
      <c r="A1005" t="s">
        <v>118</v>
      </c>
      <c r="B1005" t="s">
        <v>119</v>
      </c>
      <c r="C1005">
        <v>8</v>
      </c>
      <c r="D1005" t="s">
        <v>27</v>
      </c>
      <c r="E1005" t="s">
        <v>100</v>
      </c>
      <c r="F1005" t="s">
        <v>101</v>
      </c>
      <c r="G1005">
        <v>254</v>
      </c>
      <c r="H1005" t="s">
        <v>102</v>
      </c>
      <c r="I1005" t="s">
        <v>160</v>
      </c>
      <c r="J1005" t="s">
        <v>211</v>
      </c>
      <c r="K1005">
        <v>1729</v>
      </c>
      <c r="L1005">
        <v>172900</v>
      </c>
      <c r="M1005" t="s">
        <v>213</v>
      </c>
      <c r="N1005" s="98">
        <v>-11662</v>
      </c>
      <c r="O1005" s="98">
        <v>-3549.55</v>
      </c>
      <c r="P1005" s="98">
        <v>-8112.45</v>
      </c>
      <c r="Q1005" s="98">
        <v>8112.45</v>
      </c>
    </row>
    <row r="1006" spans="1:17" x14ac:dyDescent="0.35">
      <c r="A1006" t="s">
        <v>120</v>
      </c>
      <c r="B1006" t="s">
        <v>121</v>
      </c>
      <c r="C1006">
        <v>9</v>
      </c>
      <c r="D1006" t="s">
        <v>30</v>
      </c>
      <c r="E1006" t="s">
        <v>5</v>
      </c>
      <c r="F1006" t="s">
        <v>101</v>
      </c>
      <c r="G1006">
        <v>254</v>
      </c>
      <c r="H1006" t="s">
        <v>102</v>
      </c>
      <c r="I1006" t="s">
        <v>160</v>
      </c>
      <c r="J1006" t="s">
        <v>211</v>
      </c>
      <c r="K1006">
        <v>1729</v>
      </c>
      <c r="L1006">
        <v>172900</v>
      </c>
      <c r="M1006" t="s">
        <v>213</v>
      </c>
      <c r="N1006" s="98">
        <v>-11662</v>
      </c>
      <c r="O1006" s="98">
        <v>0</v>
      </c>
      <c r="P1006" s="98">
        <v>0</v>
      </c>
      <c r="Q1006" s="98">
        <v>11662</v>
      </c>
    </row>
    <row r="1007" spans="1:17" x14ac:dyDescent="0.35">
      <c r="A1007" t="s">
        <v>122</v>
      </c>
      <c r="B1007" t="s">
        <v>123</v>
      </c>
      <c r="C1007">
        <v>10</v>
      </c>
      <c r="D1007" t="s">
        <v>30</v>
      </c>
      <c r="E1007" t="s">
        <v>5</v>
      </c>
      <c r="F1007" t="s">
        <v>101</v>
      </c>
      <c r="G1007">
        <v>254</v>
      </c>
      <c r="H1007" t="s">
        <v>102</v>
      </c>
      <c r="I1007" t="s">
        <v>160</v>
      </c>
      <c r="J1007" t="s">
        <v>211</v>
      </c>
      <c r="K1007">
        <v>1729</v>
      </c>
      <c r="L1007">
        <v>172900</v>
      </c>
      <c r="M1007" t="s">
        <v>213</v>
      </c>
      <c r="N1007" s="98">
        <v>-11662</v>
      </c>
      <c r="O1007" s="98">
        <v>0</v>
      </c>
      <c r="P1007" s="98">
        <v>0</v>
      </c>
      <c r="Q1007" s="98">
        <v>11662</v>
      </c>
    </row>
    <row r="1008" spans="1:17" x14ac:dyDescent="0.35">
      <c r="A1008" t="s">
        <v>124</v>
      </c>
      <c r="B1008" t="s">
        <v>125</v>
      </c>
      <c r="C1008">
        <v>11</v>
      </c>
      <c r="D1008" t="s">
        <v>30</v>
      </c>
      <c r="E1008" t="s">
        <v>5</v>
      </c>
      <c r="F1008" t="s">
        <v>101</v>
      </c>
      <c r="G1008">
        <v>254</v>
      </c>
      <c r="H1008" t="s">
        <v>102</v>
      </c>
      <c r="I1008" t="s">
        <v>160</v>
      </c>
      <c r="J1008" t="s">
        <v>211</v>
      </c>
      <c r="K1008">
        <v>1729</v>
      </c>
      <c r="L1008">
        <v>172900</v>
      </c>
      <c r="M1008" t="s">
        <v>213</v>
      </c>
      <c r="N1008" s="98">
        <v>-11662</v>
      </c>
      <c r="O1008" s="98">
        <v>0</v>
      </c>
      <c r="P1008" s="98">
        <v>0</v>
      </c>
      <c r="Q1008" s="98">
        <v>11662</v>
      </c>
    </row>
    <row r="1009" spans="1:17" x14ac:dyDescent="0.35">
      <c r="A1009" t="s">
        <v>126</v>
      </c>
      <c r="B1009" t="s">
        <v>127</v>
      </c>
      <c r="C1009">
        <v>12</v>
      </c>
      <c r="D1009" t="s">
        <v>30</v>
      </c>
      <c r="E1009" t="s">
        <v>5</v>
      </c>
      <c r="F1009" t="s">
        <v>101</v>
      </c>
      <c r="G1009">
        <v>254</v>
      </c>
      <c r="H1009" t="s">
        <v>102</v>
      </c>
      <c r="I1009" t="s">
        <v>160</v>
      </c>
      <c r="J1009" t="s">
        <v>211</v>
      </c>
      <c r="K1009">
        <v>1729</v>
      </c>
      <c r="L1009">
        <v>172900</v>
      </c>
      <c r="M1009" t="s">
        <v>213</v>
      </c>
      <c r="N1009" s="98">
        <v>-11718</v>
      </c>
      <c r="O1009" s="98">
        <v>0</v>
      </c>
      <c r="P1009" s="98">
        <v>0</v>
      </c>
      <c r="Q1009" s="98">
        <v>11718</v>
      </c>
    </row>
    <row r="1010" spans="1:17" x14ac:dyDescent="0.35">
      <c r="A1010" t="s">
        <v>98</v>
      </c>
      <c r="B1010" t="s">
        <v>99</v>
      </c>
      <c r="C1010">
        <v>1</v>
      </c>
      <c r="D1010" t="s">
        <v>23</v>
      </c>
      <c r="E1010" t="s">
        <v>100</v>
      </c>
      <c r="F1010" t="s">
        <v>101</v>
      </c>
      <c r="G1010">
        <v>254</v>
      </c>
      <c r="H1010" t="s">
        <v>102</v>
      </c>
      <c r="I1010" t="s">
        <v>160</v>
      </c>
      <c r="J1010" t="s">
        <v>214</v>
      </c>
      <c r="K1010">
        <v>1500</v>
      </c>
      <c r="L1010">
        <v>150010</v>
      </c>
      <c r="M1010" t="s">
        <v>215</v>
      </c>
      <c r="N1010" s="98">
        <v>0</v>
      </c>
      <c r="O1010" s="98">
        <v>0</v>
      </c>
      <c r="P1010" s="98">
        <v>0</v>
      </c>
      <c r="Q1010" s="98">
        <v>0</v>
      </c>
    </row>
    <row r="1011" spans="1:17" x14ac:dyDescent="0.35">
      <c r="A1011" t="s">
        <v>106</v>
      </c>
      <c r="B1011" t="s">
        <v>107</v>
      </c>
      <c r="C1011">
        <v>2</v>
      </c>
      <c r="D1011" t="s">
        <v>23</v>
      </c>
      <c r="E1011" t="s">
        <v>100</v>
      </c>
      <c r="F1011" t="s">
        <v>101</v>
      </c>
      <c r="G1011">
        <v>254</v>
      </c>
      <c r="H1011" t="s">
        <v>102</v>
      </c>
      <c r="I1011" t="s">
        <v>160</v>
      </c>
      <c r="J1011" t="s">
        <v>214</v>
      </c>
      <c r="K1011">
        <v>1500</v>
      </c>
      <c r="L1011">
        <v>150010</v>
      </c>
      <c r="M1011" t="s">
        <v>215</v>
      </c>
      <c r="N1011" s="98">
        <v>0</v>
      </c>
      <c r="O1011" s="98">
        <v>0</v>
      </c>
      <c r="P1011" s="98">
        <v>0</v>
      </c>
      <c r="Q1011" s="98">
        <v>0</v>
      </c>
    </row>
    <row r="1012" spans="1:17" x14ac:dyDescent="0.35">
      <c r="A1012" t="s">
        <v>108</v>
      </c>
      <c r="B1012" t="s">
        <v>109</v>
      </c>
      <c r="C1012">
        <v>3</v>
      </c>
      <c r="D1012" t="s">
        <v>23</v>
      </c>
      <c r="E1012" t="s">
        <v>100</v>
      </c>
      <c r="F1012" t="s">
        <v>101</v>
      </c>
      <c r="G1012">
        <v>254</v>
      </c>
      <c r="H1012" t="s">
        <v>102</v>
      </c>
      <c r="I1012" t="s">
        <v>160</v>
      </c>
      <c r="J1012" t="s">
        <v>214</v>
      </c>
      <c r="K1012">
        <v>1500</v>
      </c>
      <c r="L1012">
        <v>150010</v>
      </c>
      <c r="M1012" t="s">
        <v>215</v>
      </c>
      <c r="N1012" s="98">
        <v>0</v>
      </c>
      <c r="O1012" s="98">
        <v>9.27</v>
      </c>
      <c r="P1012" s="98">
        <v>-9.27</v>
      </c>
      <c r="Q1012" s="98">
        <v>9.27</v>
      </c>
    </row>
    <row r="1013" spans="1:17" x14ac:dyDescent="0.35">
      <c r="A1013" t="s">
        <v>110</v>
      </c>
      <c r="B1013" t="s">
        <v>111</v>
      </c>
      <c r="C1013">
        <v>4</v>
      </c>
      <c r="D1013" t="s">
        <v>23</v>
      </c>
      <c r="E1013" t="s">
        <v>100</v>
      </c>
      <c r="F1013" t="s">
        <v>101</v>
      </c>
      <c r="G1013">
        <v>254</v>
      </c>
      <c r="H1013" t="s">
        <v>102</v>
      </c>
      <c r="I1013" t="s">
        <v>160</v>
      </c>
      <c r="J1013" t="s">
        <v>214</v>
      </c>
      <c r="K1013">
        <v>1500</v>
      </c>
      <c r="L1013">
        <v>150010</v>
      </c>
      <c r="M1013" t="s">
        <v>215</v>
      </c>
      <c r="N1013" s="98">
        <v>0</v>
      </c>
      <c r="O1013" s="98">
        <v>0</v>
      </c>
      <c r="P1013" s="98">
        <v>0</v>
      </c>
      <c r="Q1013" s="98">
        <v>0</v>
      </c>
    </row>
    <row r="1014" spans="1:17" x14ac:dyDescent="0.35">
      <c r="A1014" t="s">
        <v>112</v>
      </c>
      <c r="B1014" t="s">
        <v>113</v>
      </c>
      <c r="C1014">
        <v>5</v>
      </c>
      <c r="D1014" t="s">
        <v>27</v>
      </c>
      <c r="E1014" t="s">
        <v>100</v>
      </c>
      <c r="F1014" t="s">
        <v>101</v>
      </c>
      <c r="G1014">
        <v>254</v>
      </c>
      <c r="H1014" t="s">
        <v>102</v>
      </c>
      <c r="I1014" t="s">
        <v>160</v>
      </c>
      <c r="J1014" t="s">
        <v>214</v>
      </c>
      <c r="K1014">
        <v>1500</v>
      </c>
      <c r="L1014">
        <v>150010</v>
      </c>
      <c r="M1014" t="s">
        <v>215</v>
      </c>
      <c r="N1014" s="98">
        <v>0</v>
      </c>
      <c r="O1014" s="98">
        <v>0</v>
      </c>
      <c r="P1014" s="98">
        <v>0</v>
      </c>
      <c r="Q1014" s="98">
        <v>0</v>
      </c>
    </row>
    <row r="1015" spans="1:17" x14ac:dyDescent="0.35">
      <c r="A1015" t="s">
        <v>114</v>
      </c>
      <c r="B1015" t="s">
        <v>115</v>
      </c>
      <c r="C1015">
        <v>6</v>
      </c>
      <c r="D1015" t="s">
        <v>27</v>
      </c>
      <c r="E1015" t="s">
        <v>100</v>
      </c>
      <c r="F1015" t="s">
        <v>101</v>
      </c>
      <c r="G1015">
        <v>254</v>
      </c>
      <c r="H1015" t="s">
        <v>102</v>
      </c>
      <c r="I1015" t="s">
        <v>160</v>
      </c>
      <c r="J1015" t="s">
        <v>214</v>
      </c>
      <c r="K1015">
        <v>1500</v>
      </c>
      <c r="L1015">
        <v>150010</v>
      </c>
      <c r="M1015" t="s">
        <v>215</v>
      </c>
      <c r="N1015" s="98">
        <v>0</v>
      </c>
      <c r="O1015" s="98">
        <v>0</v>
      </c>
      <c r="P1015" s="98">
        <v>0</v>
      </c>
      <c r="Q1015" s="98">
        <v>0</v>
      </c>
    </row>
    <row r="1016" spans="1:17" x14ac:dyDescent="0.35">
      <c r="A1016" t="s">
        <v>116</v>
      </c>
      <c r="B1016" t="s">
        <v>117</v>
      </c>
      <c r="C1016">
        <v>7</v>
      </c>
      <c r="D1016" t="s">
        <v>27</v>
      </c>
      <c r="E1016" t="s">
        <v>100</v>
      </c>
      <c r="F1016" t="s">
        <v>101</v>
      </c>
      <c r="G1016">
        <v>254</v>
      </c>
      <c r="H1016" t="s">
        <v>102</v>
      </c>
      <c r="I1016" t="s">
        <v>160</v>
      </c>
      <c r="J1016" t="s">
        <v>214</v>
      </c>
      <c r="K1016">
        <v>1500</v>
      </c>
      <c r="L1016">
        <v>150010</v>
      </c>
      <c r="M1016" t="s">
        <v>215</v>
      </c>
      <c r="N1016" s="98">
        <v>0</v>
      </c>
      <c r="O1016" s="98">
        <v>0</v>
      </c>
      <c r="P1016" s="98">
        <v>0</v>
      </c>
      <c r="Q1016" s="98">
        <v>0</v>
      </c>
    </row>
    <row r="1017" spans="1:17" x14ac:dyDescent="0.35">
      <c r="A1017" t="s">
        <v>118</v>
      </c>
      <c r="B1017" t="s">
        <v>119</v>
      </c>
      <c r="C1017">
        <v>8</v>
      </c>
      <c r="D1017" t="s">
        <v>27</v>
      </c>
      <c r="E1017" t="s">
        <v>100</v>
      </c>
      <c r="F1017" t="s">
        <v>101</v>
      </c>
      <c r="G1017">
        <v>254</v>
      </c>
      <c r="H1017" t="s">
        <v>102</v>
      </c>
      <c r="I1017" t="s">
        <v>160</v>
      </c>
      <c r="J1017" t="s">
        <v>214</v>
      </c>
      <c r="K1017">
        <v>1500</v>
      </c>
      <c r="L1017">
        <v>150010</v>
      </c>
      <c r="M1017" t="s">
        <v>215</v>
      </c>
      <c r="N1017" s="98">
        <v>0</v>
      </c>
      <c r="O1017" s="98">
        <v>0</v>
      </c>
      <c r="P1017" s="98">
        <v>0</v>
      </c>
      <c r="Q1017" s="98">
        <v>0</v>
      </c>
    </row>
    <row r="1018" spans="1:17" x14ac:dyDescent="0.35">
      <c r="A1018" t="s">
        <v>120</v>
      </c>
      <c r="B1018" t="s">
        <v>121</v>
      </c>
      <c r="C1018">
        <v>9</v>
      </c>
      <c r="D1018" t="s">
        <v>30</v>
      </c>
      <c r="E1018" t="s">
        <v>5</v>
      </c>
      <c r="F1018" t="s">
        <v>101</v>
      </c>
      <c r="G1018">
        <v>254</v>
      </c>
      <c r="H1018" t="s">
        <v>102</v>
      </c>
      <c r="I1018" t="s">
        <v>160</v>
      </c>
      <c r="J1018" t="s">
        <v>214</v>
      </c>
      <c r="K1018">
        <v>1500</v>
      </c>
      <c r="L1018">
        <v>150010</v>
      </c>
      <c r="M1018" t="s">
        <v>215</v>
      </c>
      <c r="N1018" s="98">
        <v>0</v>
      </c>
      <c r="O1018" s="98">
        <v>0</v>
      </c>
      <c r="P1018" s="98">
        <v>0</v>
      </c>
      <c r="Q1018" s="98">
        <v>0</v>
      </c>
    </row>
    <row r="1019" spans="1:17" x14ac:dyDescent="0.35">
      <c r="A1019" t="s">
        <v>122</v>
      </c>
      <c r="B1019" t="s">
        <v>123</v>
      </c>
      <c r="C1019">
        <v>10</v>
      </c>
      <c r="D1019" t="s">
        <v>30</v>
      </c>
      <c r="E1019" t="s">
        <v>5</v>
      </c>
      <c r="F1019" t="s">
        <v>101</v>
      </c>
      <c r="G1019">
        <v>254</v>
      </c>
      <c r="H1019" t="s">
        <v>102</v>
      </c>
      <c r="I1019" t="s">
        <v>160</v>
      </c>
      <c r="J1019" t="s">
        <v>214</v>
      </c>
      <c r="K1019">
        <v>1500</v>
      </c>
      <c r="L1019">
        <v>150010</v>
      </c>
      <c r="M1019" t="s">
        <v>215</v>
      </c>
      <c r="N1019" s="98">
        <v>0</v>
      </c>
      <c r="O1019" s="98">
        <v>0</v>
      </c>
      <c r="P1019" s="98">
        <v>0</v>
      </c>
      <c r="Q1019" s="98">
        <v>0</v>
      </c>
    </row>
    <row r="1020" spans="1:17" x14ac:dyDescent="0.35">
      <c r="A1020" t="s">
        <v>124</v>
      </c>
      <c r="B1020" t="s">
        <v>125</v>
      </c>
      <c r="C1020">
        <v>11</v>
      </c>
      <c r="D1020" t="s">
        <v>30</v>
      </c>
      <c r="E1020" t="s">
        <v>5</v>
      </c>
      <c r="F1020" t="s">
        <v>101</v>
      </c>
      <c r="G1020">
        <v>254</v>
      </c>
      <c r="H1020" t="s">
        <v>102</v>
      </c>
      <c r="I1020" t="s">
        <v>160</v>
      </c>
      <c r="J1020" t="s">
        <v>214</v>
      </c>
      <c r="K1020">
        <v>1500</v>
      </c>
      <c r="L1020">
        <v>150010</v>
      </c>
      <c r="M1020" t="s">
        <v>215</v>
      </c>
      <c r="N1020" s="98">
        <v>0</v>
      </c>
      <c r="O1020" s="98">
        <v>0</v>
      </c>
      <c r="P1020" s="98">
        <v>0</v>
      </c>
      <c r="Q1020" s="98">
        <v>0</v>
      </c>
    </row>
    <row r="1021" spans="1:17" x14ac:dyDescent="0.35">
      <c r="A1021" t="s">
        <v>126</v>
      </c>
      <c r="B1021" t="s">
        <v>127</v>
      </c>
      <c r="C1021">
        <v>12</v>
      </c>
      <c r="D1021" t="s">
        <v>30</v>
      </c>
      <c r="E1021" t="s">
        <v>5</v>
      </c>
      <c r="F1021" t="s">
        <v>101</v>
      </c>
      <c r="G1021">
        <v>254</v>
      </c>
      <c r="H1021" t="s">
        <v>102</v>
      </c>
      <c r="I1021" t="s">
        <v>160</v>
      </c>
      <c r="J1021" t="s">
        <v>214</v>
      </c>
      <c r="K1021">
        <v>1500</v>
      </c>
      <c r="L1021">
        <v>150010</v>
      </c>
      <c r="M1021" t="s">
        <v>215</v>
      </c>
      <c r="N1021" s="98">
        <v>0</v>
      </c>
      <c r="O1021" s="98">
        <v>0</v>
      </c>
      <c r="P1021" s="98">
        <v>0</v>
      </c>
      <c r="Q1021" s="98">
        <v>0</v>
      </c>
    </row>
    <row r="1022" spans="1:17" x14ac:dyDescent="0.35">
      <c r="A1022" t="s">
        <v>98</v>
      </c>
      <c r="B1022" t="s">
        <v>99</v>
      </c>
      <c r="C1022">
        <v>1</v>
      </c>
      <c r="D1022" t="s">
        <v>23</v>
      </c>
      <c r="E1022" t="s">
        <v>100</v>
      </c>
      <c r="F1022" t="s">
        <v>101</v>
      </c>
      <c r="G1022">
        <v>254</v>
      </c>
      <c r="H1022" t="s">
        <v>102</v>
      </c>
      <c r="I1022" t="s">
        <v>216</v>
      </c>
      <c r="J1022" t="s">
        <v>217</v>
      </c>
      <c r="K1022">
        <v>1600</v>
      </c>
      <c r="L1022">
        <v>160000</v>
      </c>
      <c r="M1022" t="s">
        <v>218</v>
      </c>
      <c r="N1022" s="98">
        <v>14</v>
      </c>
      <c r="O1022" s="98">
        <v>0</v>
      </c>
      <c r="P1022" s="98">
        <v>14</v>
      </c>
      <c r="Q1022" s="98">
        <v>-14</v>
      </c>
    </row>
    <row r="1023" spans="1:17" x14ac:dyDescent="0.35">
      <c r="A1023" t="s">
        <v>106</v>
      </c>
      <c r="B1023" t="s">
        <v>107</v>
      </c>
      <c r="C1023">
        <v>2</v>
      </c>
      <c r="D1023" t="s">
        <v>23</v>
      </c>
      <c r="E1023" t="s">
        <v>100</v>
      </c>
      <c r="F1023" t="s">
        <v>101</v>
      </c>
      <c r="G1023">
        <v>254</v>
      </c>
      <c r="H1023" t="s">
        <v>102</v>
      </c>
      <c r="I1023" t="s">
        <v>216</v>
      </c>
      <c r="J1023" t="s">
        <v>217</v>
      </c>
      <c r="K1023">
        <v>1600</v>
      </c>
      <c r="L1023">
        <v>160000</v>
      </c>
      <c r="M1023" t="s">
        <v>218</v>
      </c>
      <c r="N1023" s="98">
        <v>14</v>
      </c>
      <c r="O1023" s="98">
        <v>0</v>
      </c>
      <c r="P1023" s="98">
        <v>14</v>
      </c>
      <c r="Q1023" s="98">
        <v>-14</v>
      </c>
    </row>
    <row r="1024" spans="1:17" x14ac:dyDescent="0.35">
      <c r="A1024" t="s">
        <v>108</v>
      </c>
      <c r="B1024" t="s">
        <v>109</v>
      </c>
      <c r="C1024">
        <v>3</v>
      </c>
      <c r="D1024" t="s">
        <v>23</v>
      </c>
      <c r="E1024" t="s">
        <v>100</v>
      </c>
      <c r="F1024" t="s">
        <v>101</v>
      </c>
      <c r="G1024">
        <v>254</v>
      </c>
      <c r="H1024" t="s">
        <v>102</v>
      </c>
      <c r="I1024" t="s">
        <v>216</v>
      </c>
      <c r="J1024" t="s">
        <v>217</v>
      </c>
      <c r="K1024">
        <v>1600</v>
      </c>
      <c r="L1024">
        <v>160000</v>
      </c>
      <c r="M1024" t="s">
        <v>218</v>
      </c>
      <c r="N1024" s="98">
        <v>14</v>
      </c>
      <c r="O1024" s="98">
        <v>0</v>
      </c>
      <c r="P1024" s="98">
        <v>14</v>
      </c>
      <c r="Q1024" s="98">
        <v>-14</v>
      </c>
    </row>
    <row r="1025" spans="1:17" x14ac:dyDescent="0.35">
      <c r="A1025" t="s">
        <v>110</v>
      </c>
      <c r="B1025" t="s">
        <v>111</v>
      </c>
      <c r="C1025">
        <v>4</v>
      </c>
      <c r="D1025" t="s">
        <v>23</v>
      </c>
      <c r="E1025" t="s">
        <v>100</v>
      </c>
      <c r="F1025" t="s">
        <v>101</v>
      </c>
      <c r="G1025">
        <v>254</v>
      </c>
      <c r="H1025" t="s">
        <v>102</v>
      </c>
      <c r="I1025" t="s">
        <v>216</v>
      </c>
      <c r="J1025" t="s">
        <v>217</v>
      </c>
      <c r="K1025">
        <v>1600</v>
      </c>
      <c r="L1025">
        <v>160000</v>
      </c>
      <c r="M1025" t="s">
        <v>218</v>
      </c>
      <c r="N1025" s="98">
        <v>14</v>
      </c>
      <c r="O1025" s="98">
        <v>0</v>
      </c>
      <c r="P1025" s="98">
        <v>14</v>
      </c>
      <c r="Q1025" s="98">
        <v>-14</v>
      </c>
    </row>
    <row r="1026" spans="1:17" x14ac:dyDescent="0.35">
      <c r="A1026" t="s">
        <v>112</v>
      </c>
      <c r="B1026" t="s">
        <v>113</v>
      </c>
      <c r="C1026">
        <v>5</v>
      </c>
      <c r="D1026" t="s">
        <v>27</v>
      </c>
      <c r="E1026" t="s">
        <v>100</v>
      </c>
      <c r="F1026" t="s">
        <v>101</v>
      </c>
      <c r="G1026">
        <v>254</v>
      </c>
      <c r="H1026" t="s">
        <v>102</v>
      </c>
      <c r="I1026" t="s">
        <v>216</v>
      </c>
      <c r="J1026" t="s">
        <v>217</v>
      </c>
      <c r="K1026">
        <v>1600</v>
      </c>
      <c r="L1026">
        <v>160000</v>
      </c>
      <c r="M1026" t="s">
        <v>218</v>
      </c>
      <c r="N1026" s="98">
        <v>14</v>
      </c>
      <c r="O1026" s="98">
        <v>0</v>
      </c>
      <c r="P1026" s="98">
        <v>14</v>
      </c>
      <c r="Q1026" s="98">
        <v>-14</v>
      </c>
    </row>
    <row r="1027" spans="1:17" x14ac:dyDescent="0.35">
      <c r="A1027" t="s">
        <v>114</v>
      </c>
      <c r="B1027" t="s">
        <v>115</v>
      </c>
      <c r="C1027">
        <v>6</v>
      </c>
      <c r="D1027" t="s">
        <v>27</v>
      </c>
      <c r="E1027" t="s">
        <v>100</v>
      </c>
      <c r="F1027" t="s">
        <v>101</v>
      </c>
      <c r="G1027">
        <v>254</v>
      </c>
      <c r="H1027" t="s">
        <v>102</v>
      </c>
      <c r="I1027" t="s">
        <v>216</v>
      </c>
      <c r="J1027" t="s">
        <v>217</v>
      </c>
      <c r="K1027">
        <v>1600</v>
      </c>
      <c r="L1027">
        <v>160000</v>
      </c>
      <c r="M1027" t="s">
        <v>218</v>
      </c>
      <c r="N1027" s="98">
        <v>14</v>
      </c>
      <c r="O1027" s="98">
        <v>0</v>
      </c>
      <c r="P1027" s="98">
        <v>14</v>
      </c>
      <c r="Q1027" s="98">
        <v>-14</v>
      </c>
    </row>
    <row r="1028" spans="1:17" x14ac:dyDescent="0.35">
      <c r="A1028" t="s">
        <v>116</v>
      </c>
      <c r="B1028" t="s">
        <v>117</v>
      </c>
      <c r="C1028">
        <v>7</v>
      </c>
      <c r="D1028" t="s">
        <v>27</v>
      </c>
      <c r="E1028" t="s">
        <v>100</v>
      </c>
      <c r="F1028" t="s">
        <v>101</v>
      </c>
      <c r="G1028">
        <v>254</v>
      </c>
      <c r="H1028" t="s">
        <v>102</v>
      </c>
      <c r="I1028" t="s">
        <v>216</v>
      </c>
      <c r="J1028" t="s">
        <v>217</v>
      </c>
      <c r="K1028">
        <v>1600</v>
      </c>
      <c r="L1028">
        <v>160000</v>
      </c>
      <c r="M1028" t="s">
        <v>218</v>
      </c>
      <c r="N1028" s="98">
        <v>14</v>
      </c>
      <c r="O1028" s="98">
        <v>0</v>
      </c>
      <c r="P1028" s="98">
        <v>14</v>
      </c>
      <c r="Q1028" s="98">
        <v>-14</v>
      </c>
    </row>
    <row r="1029" spans="1:17" x14ac:dyDescent="0.35">
      <c r="A1029" t="s">
        <v>118</v>
      </c>
      <c r="B1029" t="s">
        <v>119</v>
      </c>
      <c r="C1029">
        <v>8</v>
      </c>
      <c r="D1029" t="s">
        <v>27</v>
      </c>
      <c r="E1029" t="s">
        <v>100</v>
      </c>
      <c r="F1029" t="s">
        <v>101</v>
      </c>
      <c r="G1029">
        <v>254</v>
      </c>
      <c r="H1029" t="s">
        <v>102</v>
      </c>
      <c r="I1029" t="s">
        <v>216</v>
      </c>
      <c r="J1029" t="s">
        <v>217</v>
      </c>
      <c r="K1029">
        <v>1600</v>
      </c>
      <c r="L1029">
        <v>160000</v>
      </c>
      <c r="M1029" t="s">
        <v>218</v>
      </c>
      <c r="N1029" s="98">
        <v>14</v>
      </c>
      <c r="O1029" s="98">
        <v>0</v>
      </c>
      <c r="P1029" s="98">
        <v>14</v>
      </c>
      <c r="Q1029" s="98">
        <v>-14</v>
      </c>
    </row>
    <row r="1030" spans="1:17" x14ac:dyDescent="0.35">
      <c r="A1030" t="s">
        <v>120</v>
      </c>
      <c r="B1030" t="s">
        <v>121</v>
      </c>
      <c r="C1030">
        <v>9</v>
      </c>
      <c r="D1030" t="s">
        <v>30</v>
      </c>
      <c r="E1030" t="s">
        <v>5</v>
      </c>
      <c r="F1030" t="s">
        <v>101</v>
      </c>
      <c r="G1030">
        <v>254</v>
      </c>
      <c r="H1030" t="s">
        <v>102</v>
      </c>
      <c r="I1030" t="s">
        <v>216</v>
      </c>
      <c r="J1030" t="s">
        <v>217</v>
      </c>
      <c r="K1030">
        <v>1600</v>
      </c>
      <c r="L1030">
        <v>160000</v>
      </c>
      <c r="M1030" t="s">
        <v>218</v>
      </c>
      <c r="N1030" s="98">
        <v>14</v>
      </c>
      <c r="O1030" s="98">
        <v>0</v>
      </c>
      <c r="P1030" s="98">
        <v>0</v>
      </c>
      <c r="Q1030" s="98">
        <v>-14</v>
      </c>
    </row>
    <row r="1031" spans="1:17" x14ac:dyDescent="0.35">
      <c r="A1031" t="s">
        <v>122</v>
      </c>
      <c r="B1031" t="s">
        <v>123</v>
      </c>
      <c r="C1031">
        <v>10</v>
      </c>
      <c r="D1031" t="s">
        <v>30</v>
      </c>
      <c r="E1031" t="s">
        <v>5</v>
      </c>
      <c r="F1031" t="s">
        <v>101</v>
      </c>
      <c r="G1031">
        <v>254</v>
      </c>
      <c r="H1031" t="s">
        <v>102</v>
      </c>
      <c r="I1031" t="s">
        <v>216</v>
      </c>
      <c r="J1031" t="s">
        <v>217</v>
      </c>
      <c r="K1031">
        <v>1600</v>
      </c>
      <c r="L1031">
        <v>160000</v>
      </c>
      <c r="M1031" t="s">
        <v>218</v>
      </c>
      <c r="N1031" s="98">
        <v>14</v>
      </c>
      <c r="O1031" s="98">
        <v>0</v>
      </c>
      <c r="P1031" s="98">
        <v>0</v>
      </c>
      <c r="Q1031" s="98">
        <v>-14</v>
      </c>
    </row>
    <row r="1032" spans="1:17" x14ac:dyDescent="0.35">
      <c r="A1032" t="s">
        <v>124</v>
      </c>
      <c r="B1032" t="s">
        <v>125</v>
      </c>
      <c r="C1032">
        <v>11</v>
      </c>
      <c r="D1032" t="s">
        <v>30</v>
      </c>
      <c r="E1032" t="s">
        <v>5</v>
      </c>
      <c r="F1032" t="s">
        <v>101</v>
      </c>
      <c r="G1032">
        <v>254</v>
      </c>
      <c r="H1032" t="s">
        <v>102</v>
      </c>
      <c r="I1032" t="s">
        <v>216</v>
      </c>
      <c r="J1032" t="s">
        <v>217</v>
      </c>
      <c r="K1032">
        <v>1600</v>
      </c>
      <c r="L1032">
        <v>160000</v>
      </c>
      <c r="M1032" t="s">
        <v>218</v>
      </c>
      <c r="N1032" s="98">
        <v>14</v>
      </c>
      <c r="O1032" s="98">
        <v>0</v>
      </c>
      <c r="P1032" s="98">
        <v>0</v>
      </c>
      <c r="Q1032" s="98">
        <v>-14</v>
      </c>
    </row>
    <row r="1033" spans="1:17" x14ac:dyDescent="0.35">
      <c r="A1033" t="s">
        <v>126</v>
      </c>
      <c r="B1033" t="s">
        <v>127</v>
      </c>
      <c r="C1033">
        <v>12</v>
      </c>
      <c r="D1033" t="s">
        <v>30</v>
      </c>
      <c r="E1033" t="s">
        <v>5</v>
      </c>
      <c r="F1033" t="s">
        <v>101</v>
      </c>
      <c r="G1033">
        <v>254</v>
      </c>
      <c r="H1033" t="s">
        <v>102</v>
      </c>
      <c r="I1033" t="s">
        <v>216</v>
      </c>
      <c r="J1033" t="s">
        <v>217</v>
      </c>
      <c r="K1033">
        <v>1600</v>
      </c>
      <c r="L1033">
        <v>160000</v>
      </c>
      <c r="M1033" t="s">
        <v>218</v>
      </c>
      <c r="N1033" s="98">
        <v>-154</v>
      </c>
      <c r="O1033" s="98">
        <v>0</v>
      </c>
      <c r="P1033" s="98">
        <v>0</v>
      </c>
      <c r="Q1033" s="98">
        <v>154</v>
      </c>
    </row>
    <row r="1034" spans="1:17" x14ac:dyDescent="0.35">
      <c r="A1034" t="s">
        <v>98</v>
      </c>
      <c r="B1034" t="s">
        <v>99</v>
      </c>
      <c r="C1034">
        <v>1</v>
      </c>
      <c r="D1034" t="s">
        <v>23</v>
      </c>
      <c r="E1034" t="s">
        <v>100</v>
      </c>
      <c r="F1034" t="s">
        <v>101</v>
      </c>
      <c r="G1034">
        <v>254</v>
      </c>
      <c r="H1034" t="s">
        <v>102</v>
      </c>
      <c r="I1034" t="s">
        <v>216</v>
      </c>
      <c r="J1034" t="s">
        <v>219</v>
      </c>
      <c r="K1034">
        <v>1700</v>
      </c>
      <c r="L1034">
        <v>170080</v>
      </c>
      <c r="M1034" t="s">
        <v>220</v>
      </c>
      <c r="N1034" s="98">
        <v>0</v>
      </c>
      <c r="O1034" s="98">
        <v>0</v>
      </c>
      <c r="P1034" s="98">
        <v>0</v>
      </c>
      <c r="Q1034" s="98">
        <v>0</v>
      </c>
    </row>
    <row r="1035" spans="1:17" x14ac:dyDescent="0.35">
      <c r="A1035" t="s">
        <v>106</v>
      </c>
      <c r="B1035" t="s">
        <v>107</v>
      </c>
      <c r="C1035">
        <v>2</v>
      </c>
      <c r="D1035" t="s">
        <v>23</v>
      </c>
      <c r="E1035" t="s">
        <v>100</v>
      </c>
      <c r="F1035" t="s">
        <v>101</v>
      </c>
      <c r="G1035">
        <v>254</v>
      </c>
      <c r="H1035" t="s">
        <v>102</v>
      </c>
      <c r="I1035" t="s">
        <v>216</v>
      </c>
      <c r="J1035" t="s">
        <v>219</v>
      </c>
      <c r="K1035">
        <v>1700</v>
      </c>
      <c r="L1035">
        <v>170080</v>
      </c>
      <c r="M1035" t="s">
        <v>220</v>
      </c>
      <c r="N1035" s="98">
        <v>0</v>
      </c>
      <c r="O1035" s="98">
        <v>0</v>
      </c>
      <c r="P1035" s="98">
        <v>0</v>
      </c>
      <c r="Q1035" s="98">
        <v>0</v>
      </c>
    </row>
    <row r="1036" spans="1:17" x14ac:dyDescent="0.35">
      <c r="A1036" t="s">
        <v>108</v>
      </c>
      <c r="B1036" t="s">
        <v>109</v>
      </c>
      <c r="C1036">
        <v>3</v>
      </c>
      <c r="D1036" t="s">
        <v>23</v>
      </c>
      <c r="E1036" t="s">
        <v>100</v>
      </c>
      <c r="F1036" t="s">
        <v>101</v>
      </c>
      <c r="G1036">
        <v>254</v>
      </c>
      <c r="H1036" t="s">
        <v>102</v>
      </c>
      <c r="I1036" t="s">
        <v>216</v>
      </c>
      <c r="J1036" t="s">
        <v>219</v>
      </c>
      <c r="K1036">
        <v>1700</v>
      </c>
      <c r="L1036">
        <v>170080</v>
      </c>
      <c r="M1036" t="s">
        <v>220</v>
      </c>
      <c r="N1036" s="98">
        <v>0</v>
      </c>
      <c r="O1036" s="98">
        <v>0</v>
      </c>
      <c r="P1036" s="98">
        <v>0</v>
      </c>
      <c r="Q1036" s="98">
        <v>0</v>
      </c>
    </row>
    <row r="1037" spans="1:17" x14ac:dyDescent="0.35">
      <c r="A1037" t="s">
        <v>110</v>
      </c>
      <c r="B1037" t="s">
        <v>111</v>
      </c>
      <c r="C1037">
        <v>4</v>
      </c>
      <c r="D1037" t="s">
        <v>23</v>
      </c>
      <c r="E1037" t="s">
        <v>100</v>
      </c>
      <c r="F1037" t="s">
        <v>101</v>
      </c>
      <c r="G1037">
        <v>254</v>
      </c>
      <c r="H1037" t="s">
        <v>102</v>
      </c>
      <c r="I1037" t="s">
        <v>216</v>
      </c>
      <c r="J1037" t="s">
        <v>219</v>
      </c>
      <c r="K1037">
        <v>1700</v>
      </c>
      <c r="L1037">
        <v>170080</v>
      </c>
      <c r="M1037" t="s">
        <v>220</v>
      </c>
      <c r="N1037" s="98">
        <v>0</v>
      </c>
      <c r="O1037" s="98">
        <v>0</v>
      </c>
      <c r="P1037" s="98">
        <v>0</v>
      </c>
      <c r="Q1037" s="98">
        <v>0</v>
      </c>
    </row>
    <row r="1038" spans="1:17" x14ac:dyDescent="0.35">
      <c r="A1038" t="s">
        <v>112</v>
      </c>
      <c r="B1038" t="s">
        <v>113</v>
      </c>
      <c r="C1038">
        <v>5</v>
      </c>
      <c r="D1038" t="s">
        <v>27</v>
      </c>
      <c r="E1038" t="s">
        <v>100</v>
      </c>
      <c r="F1038" t="s">
        <v>101</v>
      </c>
      <c r="G1038">
        <v>254</v>
      </c>
      <c r="H1038" t="s">
        <v>102</v>
      </c>
      <c r="I1038" t="s">
        <v>216</v>
      </c>
      <c r="J1038" t="s">
        <v>219</v>
      </c>
      <c r="K1038">
        <v>1700</v>
      </c>
      <c r="L1038">
        <v>170080</v>
      </c>
      <c r="M1038" t="s">
        <v>220</v>
      </c>
      <c r="N1038" s="98">
        <v>0</v>
      </c>
      <c r="O1038" s="98">
        <v>0</v>
      </c>
      <c r="P1038" s="98">
        <v>0</v>
      </c>
      <c r="Q1038" s="98">
        <v>0</v>
      </c>
    </row>
    <row r="1039" spans="1:17" x14ac:dyDescent="0.35">
      <c r="A1039" t="s">
        <v>114</v>
      </c>
      <c r="B1039" t="s">
        <v>115</v>
      </c>
      <c r="C1039">
        <v>6</v>
      </c>
      <c r="D1039" t="s">
        <v>27</v>
      </c>
      <c r="E1039" t="s">
        <v>100</v>
      </c>
      <c r="F1039" t="s">
        <v>101</v>
      </c>
      <c r="G1039">
        <v>254</v>
      </c>
      <c r="H1039" t="s">
        <v>102</v>
      </c>
      <c r="I1039" t="s">
        <v>216</v>
      </c>
      <c r="J1039" t="s">
        <v>219</v>
      </c>
      <c r="K1039">
        <v>1700</v>
      </c>
      <c r="L1039">
        <v>170080</v>
      </c>
      <c r="M1039" t="s">
        <v>220</v>
      </c>
      <c r="N1039" s="98">
        <v>0</v>
      </c>
      <c r="O1039" s="98">
        <v>0</v>
      </c>
      <c r="P1039" s="98">
        <v>0</v>
      </c>
      <c r="Q1039" s="98">
        <v>0</v>
      </c>
    </row>
    <row r="1040" spans="1:17" x14ac:dyDescent="0.35">
      <c r="A1040" t="s">
        <v>116</v>
      </c>
      <c r="B1040" t="s">
        <v>117</v>
      </c>
      <c r="C1040">
        <v>7</v>
      </c>
      <c r="D1040" t="s">
        <v>27</v>
      </c>
      <c r="E1040" t="s">
        <v>100</v>
      </c>
      <c r="F1040" t="s">
        <v>101</v>
      </c>
      <c r="G1040">
        <v>254</v>
      </c>
      <c r="H1040" t="s">
        <v>102</v>
      </c>
      <c r="I1040" t="s">
        <v>216</v>
      </c>
      <c r="J1040" t="s">
        <v>219</v>
      </c>
      <c r="K1040">
        <v>1700</v>
      </c>
      <c r="L1040">
        <v>170080</v>
      </c>
      <c r="M1040" t="s">
        <v>220</v>
      </c>
      <c r="N1040" s="98">
        <v>0</v>
      </c>
      <c r="O1040" s="98">
        <v>0</v>
      </c>
      <c r="P1040" s="98">
        <v>0</v>
      </c>
      <c r="Q1040" s="98">
        <v>0</v>
      </c>
    </row>
    <row r="1041" spans="1:17" x14ac:dyDescent="0.35">
      <c r="A1041" t="s">
        <v>118</v>
      </c>
      <c r="B1041" t="s">
        <v>119</v>
      </c>
      <c r="C1041">
        <v>8</v>
      </c>
      <c r="D1041" t="s">
        <v>27</v>
      </c>
      <c r="E1041" t="s">
        <v>100</v>
      </c>
      <c r="F1041" t="s">
        <v>101</v>
      </c>
      <c r="G1041">
        <v>254</v>
      </c>
      <c r="H1041" t="s">
        <v>102</v>
      </c>
      <c r="I1041" t="s">
        <v>216</v>
      </c>
      <c r="J1041" t="s">
        <v>219</v>
      </c>
      <c r="K1041">
        <v>1700</v>
      </c>
      <c r="L1041">
        <v>170080</v>
      </c>
      <c r="M1041" t="s">
        <v>220</v>
      </c>
      <c r="N1041" s="98">
        <v>0</v>
      </c>
      <c r="O1041" s="98">
        <v>-7100</v>
      </c>
      <c r="P1041" s="98">
        <v>7100</v>
      </c>
      <c r="Q1041" s="98">
        <v>-7100</v>
      </c>
    </row>
    <row r="1042" spans="1:17" x14ac:dyDescent="0.35">
      <c r="A1042" t="s">
        <v>120</v>
      </c>
      <c r="B1042" t="s">
        <v>121</v>
      </c>
      <c r="C1042">
        <v>9</v>
      </c>
      <c r="D1042" t="s">
        <v>30</v>
      </c>
      <c r="E1042" t="s">
        <v>5</v>
      </c>
      <c r="F1042" t="s">
        <v>101</v>
      </c>
      <c r="G1042">
        <v>254</v>
      </c>
      <c r="H1042" t="s">
        <v>102</v>
      </c>
      <c r="I1042" t="s">
        <v>216</v>
      </c>
      <c r="J1042" t="s">
        <v>219</v>
      </c>
      <c r="K1042">
        <v>1700</v>
      </c>
      <c r="L1042">
        <v>170080</v>
      </c>
      <c r="M1042" t="s">
        <v>220</v>
      </c>
      <c r="N1042" s="98">
        <v>0</v>
      </c>
      <c r="O1042" s="98">
        <v>0</v>
      </c>
      <c r="P1042" s="98">
        <v>0</v>
      </c>
      <c r="Q1042" s="98">
        <v>0</v>
      </c>
    </row>
    <row r="1043" spans="1:17" x14ac:dyDescent="0.35">
      <c r="A1043" t="s">
        <v>122</v>
      </c>
      <c r="B1043" t="s">
        <v>123</v>
      </c>
      <c r="C1043">
        <v>10</v>
      </c>
      <c r="D1043" t="s">
        <v>30</v>
      </c>
      <c r="E1043" t="s">
        <v>5</v>
      </c>
      <c r="F1043" t="s">
        <v>101</v>
      </c>
      <c r="G1043">
        <v>254</v>
      </c>
      <c r="H1043" t="s">
        <v>102</v>
      </c>
      <c r="I1043" t="s">
        <v>216</v>
      </c>
      <c r="J1043" t="s">
        <v>219</v>
      </c>
      <c r="K1043">
        <v>1700</v>
      </c>
      <c r="L1043">
        <v>170080</v>
      </c>
      <c r="M1043" t="s">
        <v>220</v>
      </c>
      <c r="N1043" s="98">
        <v>0</v>
      </c>
      <c r="O1043" s="98">
        <v>0</v>
      </c>
      <c r="P1043" s="98">
        <v>0</v>
      </c>
      <c r="Q1043" s="98">
        <v>0</v>
      </c>
    </row>
    <row r="1044" spans="1:17" x14ac:dyDescent="0.35">
      <c r="A1044" t="s">
        <v>124</v>
      </c>
      <c r="B1044" t="s">
        <v>125</v>
      </c>
      <c r="C1044">
        <v>11</v>
      </c>
      <c r="D1044" t="s">
        <v>30</v>
      </c>
      <c r="E1044" t="s">
        <v>5</v>
      </c>
      <c r="F1044" t="s">
        <v>101</v>
      </c>
      <c r="G1044">
        <v>254</v>
      </c>
      <c r="H1044" t="s">
        <v>102</v>
      </c>
      <c r="I1044" t="s">
        <v>216</v>
      </c>
      <c r="J1044" t="s">
        <v>219</v>
      </c>
      <c r="K1044">
        <v>1700</v>
      </c>
      <c r="L1044">
        <v>170080</v>
      </c>
      <c r="M1044" t="s">
        <v>220</v>
      </c>
      <c r="N1044" s="98">
        <v>0</v>
      </c>
      <c r="O1044" s="98">
        <v>0</v>
      </c>
      <c r="P1044" s="98">
        <v>0</v>
      </c>
      <c r="Q1044" s="98">
        <v>0</v>
      </c>
    </row>
    <row r="1045" spans="1:17" x14ac:dyDescent="0.35">
      <c r="A1045" t="s">
        <v>126</v>
      </c>
      <c r="B1045" t="s">
        <v>127</v>
      </c>
      <c r="C1045">
        <v>12</v>
      </c>
      <c r="D1045" t="s">
        <v>30</v>
      </c>
      <c r="E1045" t="s">
        <v>5</v>
      </c>
      <c r="F1045" t="s">
        <v>101</v>
      </c>
      <c r="G1045">
        <v>254</v>
      </c>
      <c r="H1045" t="s">
        <v>102</v>
      </c>
      <c r="I1045" t="s">
        <v>216</v>
      </c>
      <c r="J1045" t="s">
        <v>219</v>
      </c>
      <c r="K1045">
        <v>1700</v>
      </c>
      <c r="L1045">
        <v>170080</v>
      </c>
      <c r="M1045" t="s">
        <v>220</v>
      </c>
      <c r="N1045" s="98">
        <v>0</v>
      </c>
      <c r="O1045" s="98">
        <v>0</v>
      </c>
      <c r="P1045" s="98">
        <v>0</v>
      </c>
      <c r="Q1045" s="98">
        <v>0</v>
      </c>
    </row>
    <row r="1046" spans="1:17" x14ac:dyDescent="0.35">
      <c r="A1046" t="s">
        <v>98</v>
      </c>
      <c r="B1046" t="s">
        <v>99</v>
      </c>
      <c r="C1046">
        <v>1</v>
      </c>
      <c r="D1046" t="s">
        <v>23</v>
      </c>
      <c r="E1046" t="s">
        <v>100</v>
      </c>
      <c r="F1046" t="s">
        <v>101</v>
      </c>
      <c r="G1046">
        <v>254</v>
      </c>
      <c r="H1046" t="s">
        <v>102</v>
      </c>
      <c r="I1046" t="s">
        <v>216</v>
      </c>
      <c r="J1046" t="s">
        <v>219</v>
      </c>
      <c r="K1046">
        <v>1770</v>
      </c>
      <c r="L1046">
        <v>177000</v>
      </c>
      <c r="M1046" t="s">
        <v>221</v>
      </c>
      <c r="N1046" s="98">
        <v>0</v>
      </c>
      <c r="O1046" s="98">
        <v>0</v>
      </c>
      <c r="P1046" s="98">
        <v>0</v>
      </c>
      <c r="Q1046" s="98">
        <v>0</v>
      </c>
    </row>
    <row r="1047" spans="1:17" x14ac:dyDescent="0.35">
      <c r="A1047" t="s">
        <v>106</v>
      </c>
      <c r="B1047" t="s">
        <v>107</v>
      </c>
      <c r="C1047">
        <v>2</v>
      </c>
      <c r="D1047" t="s">
        <v>23</v>
      </c>
      <c r="E1047" t="s">
        <v>100</v>
      </c>
      <c r="F1047" t="s">
        <v>101</v>
      </c>
      <c r="G1047">
        <v>254</v>
      </c>
      <c r="H1047" t="s">
        <v>102</v>
      </c>
      <c r="I1047" t="s">
        <v>216</v>
      </c>
      <c r="J1047" t="s">
        <v>219</v>
      </c>
      <c r="K1047">
        <v>1770</v>
      </c>
      <c r="L1047">
        <v>177000</v>
      </c>
      <c r="M1047" t="s">
        <v>221</v>
      </c>
      <c r="N1047" s="98">
        <v>0</v>
      </c>
      <c r="O1047" s="98">
        <v>0</v>
      </c>
      <c r="P1047" s="98">
        <v>0</v>
      </c>
      <c r="Q1047" s="98">
        <v>0</v>
      </c>
    </row>
    <row r="1048" spans="1:17" x14ac:dyDescent="0.35">
      <c r="A1048" t="s">
        <v>108</v>
      </c>
      <c r="B1048" t="s">
        <v>109</v>
      </c>
      <c r="C1048">
        <v>3</v>
      </c>
      <c r="D1048" t="s">
        <v>23</v>
      </c>
      <c r="E1048" t="s">
        <v>100</v>
      </c>
      <c r="F1048" t="s">
        <v>101</v>
      </c>
      <c r="G1048">
        <v>254</v>
      </c>
      <c r="H1048" t="s">
        <v>102</v>
      </c>
      <c r="I1048" t="s">
        <v>216</v>
      </c>
      <c r="J1048" t="s">
        <v>219</v>
      </c>
      <c r="K1048">
        <v>1770</v>
      </c>
      <c r="L1048">
        <v>177000</v>
      </c>
      <c r="M1048" t="s">
        <v>221</v>
      </c>
      <c r="N1048" s="98">
        <v>0</v>
      </c>
      <c r="O1048" s="98">
        <v>0</v>
      </c>
      <c r="P1048" s="98">
        <v>0</v>
      </c>
      <c r="Q1048" s="98">
        <v>0</v>
      </c>
    </row>
    <row r="1049" spans="1:17" x14ac:dyDescent="0.35">
      <c r="A1049" t="s">
        <v>110</v>
      </c>
      <c r="B1049" t="s">
        <v>111</v>
      </c>
      <c r="C1049">
        <v>4</v>
      </c>
      <c r="D1049" t="s">
        <v>23</v>
      </c>
      <c r="E1049" t="s">
        <v>100</v>
      </c>
      <c r="F1049" t="s">
        <v>101</v>
      </c>
      <c r="G1049">
        <v>254</v>
      </c>
      <c r="H1049" t="s">
        <v>102</v>
      </c>
      <c r="I1049" t="s">
        <v>216</v>
      </c>
      <c r="J1049" t="s">
        <v>219</v>
      </c>
      <c r="K1049">
        <v>1770</v>
      </c>
      <c r="L1049">
        <v>177000</v>
      </c>
      <c r="M1049" t="s">
        <v>221</v>
      </c>
      <c r="N1049" s="98">
        <v>0</v>
      </c>
      <c r="O1049" s="98">
        <v>0</v>
      </c>
      <c r="P1049" s="98">
        <v>0</v>
      </c>
      <c r="Q1049" s="98">
        <v>0</v>
      </c>
    </row>
    <row r="1050" spans="1:17" x14ac:dyDescent="0.35">
      <c r="A1050" t="s">
        <v>112</v>
      </c>
      <c r="B1050" t="s">
        <v>113</v>
      </c>
      <c r="C1050">
        <v>5</v>
      </c>
      <c r="D1050" t="s">
        <v>27</v>
      </c>
      <c r="E1050" t="s">
        <v>100</v>
      </c>
      <c r="F1050" t="s">
        <v>101</v>
      </c>
      <c r="G1050">
        <v>254</v>
      </c>
      <c r="H1050" t="s">
        <v>102</v>
      </c>
      <c r="I1050" t="s">
        <v>216</v>
      </c>
      <c r="J1050" t="s">
        <v>219</v>
      </c>
      <c r="K1050">
        <v>1770</v>
      </c>
      <c r="L1050">
        <v>177000</v>
      </c>
      <c r="M1050" t="s">
        <v>221</v>
      </c>
      <c r="N1050" s="98">
        <v>0</v>
      </c>
      <c r="O1050" s="98">
        <v>0</v>
      </c>
      <c r="P1050" s="98">
        <v>0</v>
      </c>
      <c r="Q1050" s="98">
        <v>0</v>
      </c>
    </row>
    <row r="1051" spans="1:17" x14ac:dyDescent="0.35">
      <c r="A1051" t="s">
        <v>114</v>
      </c>
      <c r="B1051" t="s">
        <v>115</v>
      </c>
      <c r="C1051">
        <v>6</v>
      </c>
      <c r="D1051" t="s">
        <v>27</v>
      </c>
      <c r="E1051" t="s">
        <v>100</v>
      </c>
      <c r="F1051" t="s">
        <v>101</v>
      </c>
      <c r="G1051">
        <v>254</v>
      </c>
      <c r="H1051" t="s">
        <v>102</v>
      </c>
      <c r="I1051" t="s">
        <v>216</v>
      </c>
      <c r="J1051" t="s">
        <v>219</v>
      </c>
      <c r="K1051">
        <v>1770</v>
      </c>
      <c r="L1051">
        <v>177000</v>
      </c>
      <c r="M1051" t="s">
        <v>221</v>
      </c>
      <c r="N1051" s="98">
        <v>0</v>
      </c>
      <c r="O1051" s="98">
        <v>0</v>
      </c>
      <c r="P1051" s="98">
        <v>0</v>
      </c>
      <c r="Q1051" s="98">
        <v>0</v>
      </c>
    </row>
    <row r="1052" spans="1:17" x14ac:dyDescent="0.35">
      <c r="A1052" t="s">
        <v>116</v>
      </c>
      <c r="B1052" t="s">
        <v>117</v>
      </c>
      <c r="C1052">
        <v>7</v>
      </c>
      <c r="D1052" t="s">
        <v>27</v>
      </c>
      <c r="E1052" t="s">
        <v>100</v>
      </c>
      <c r="F1052" t="s">
        <v>101</v>
      </c>
      <c r="G1052">
        <v>254</v>
      </c>
      <c r="H1052" t="s">
        <v>102</v>
      </c>
      <c r="I1052" t="s">
        <v>216</v>
      </c>
      <c r="J1052" t="s">
        <v>219</v>
      </c>
      <c r="K1052">
        <v>1770</v>
      </c>
      <c r="L1052">
        <v>177000</v>
      </c>
      <c r="M1052" t="s">
        <v>221</v>
      </c>
      <c r="N1052" s="98">
        <v>0</v>
      </c>
      <c r="O1052" s="98">
        <v>0</v>
      </c>
      <c r="P1052" s="98">
        <v>0</v>
      </c>
      <c r="Q1052" s="98">
        <v>0</v>
      </c>
    </row>
    <row r="1053" spans="1:17" x14ac:dyDescent="0.35">
      <c r="A1053" t="s">
        <v>118</v>
      </c>
      <c r="B1053" t="s">
        <v>119</v>
      </c>
      <c r="C1053">
        <v>8</v>
      </c>
      <c r="D1053" t="s">
        <v>27</v>
      </c>
      <c r="E1053" t="s">
        <v>100</v>
      </c>
      <c r="F1053" t="s">
        <v>101</v>
      </c>
      <c r="G1053">
        <v>254</v>
      </c>
      <c r="H1053" t="s">
        <v>102</v>
      </c>
      <c r="I1053" t="s">
        <v>216</v>
      </c>
      <c r="J1053" t="s">
        <v>219</v>
      </c>
      <c r="K1053">
        <v>1770</v>
      </c>
      <c r="L1053">
        <v>177000</v>
      </c>
      <c r="M1053" t="s">
        <v>221</v>
      </c>
      <c r="N1053" s="98">
        <v>0</v>
      </c>
      <c r="O1053" s="98">
        <v>-960</v>
      </c>
      <c r="P1053" s="98">
        <v>960</v>
      </c>
      <c r="Q1053" s="98">
        <v>-960</v>
      </c>
    </row>
    <row r="1054" spans="1:17" x14ac:dyDescent="0.35">
      <c r="A1054" t="s">
        <v>120</v>
      </c>
      <c r="B1054" t="s">
        <v>121</v>
      </c>
      <c r="C1054">
        <v>9</v>
      </c>
      <c r="D1054" t="s">
        <v>30</v>
      </c>
      <c r="E1054" t="s">
        <v>5</v>
      </c>
      <c r="F1054" t="s">
        <v>101</v>
      </c>
      <c r="G1054">
        <v>254</v>
      </c>
      <c r="H1054" t="s">
        <v>102</v>
      </c>
      <c r="I1054" t="s">
        <v>216</v>
      </c>
      <c r="J1054" t="s">
        <v>219</v>
      </c>
      <c r="K1054">
        <v>1770</v>
      </c>
      <c r="L1054">
        <v>177000</v>
      </c>
      <c r="M1054" t="s">
        <v>221</v>
      </c>
      <c r="N1054" s="98">
        <v>0</v>
      </c>
      <c r="O1054" s="98">
        <v>0</v>
      </c>
      <c r="P1054" s="98">
        <v>0</v>
      </c>
      <c r="Q1054" s="98">
        <v>0</v>
      </c>
    </row>
    <row r="1055" spans="1:17" x14ac:dyDescent="0.35">
      <c r="A1055" t="s">
        <v>122</v>
      </c>
      <c r="B1055" t="s">
        <v>123</v>
      </c>
      <c r="C1055">
        <v>10</v>
      </c>
      <c r="D1055" t="s">
        <v>30</v>
      </c>
      <c r="E1055" t="s">
        <v>5</v>
      </c>
      <c r="F1055" t="s">
        <v>101</v>
      </c>
      <c r="G1055">
        <v>254</v>
      </c>
      <c r="H1055" t="s">
        <v>102</v>
      </c>
      <c r="I1055" t="s">
        <v>216</v>
      </c>
      <c r="J1055" t="s">
        <v>219</v>
      </c>
      <c r="K1055">
        <v>1770</v>
      </c>
      <c r="L1055">
        <v>177000</v>
      </c>
      <c r="M1055" t="s">
        <v>221</v>
      </c>
      <c r="N1055" s="98">
        <v>0</v>
      </c>
      <c r="O1055" s="98">
        <v>0</v>
      </c>
      <c r="P1055" s="98">
        <v>0</v>
      </c>
      <c r="Q1055" s="98">
        <v>0</v>
      </c>
    </row>
    <row r="1056" spans="1:17" x14ac:dyDescent="0.35">
      <c r="A1056" t="s">
        <v>124</v>
      </c>
      <c r="B1056" t="s">
        <v>125</v>
      </c>
      <c r="C1056">
        <v>11</v>
      </c>
      <c r="D1056" t="s">
        <v>30</v>
      </c>
      <c r="E1056" t="s">
        <v>5</v>
      </c>
      <c r="F1056" t="s">
        <v>101</v>
      </c>
      <c r="G1056">
        <v>254</v>
      </c>
      <c r="H1056" t="s">
        <v>102</v>
      </c>
      <c r="I1056" t="s">
        <v>216</v>
      </c>
      <c r="J1056" t="s">
        <v>219</v>
      </c>
      <c r="K1056">
        <v>1770</v>
      </c>
      <c r="L1056">
        <v>177000</v>
      </c>
      <c r="M1056" t="s">
        <v>221</v>
      </c>
      <c r="N1056" s="98">
        <v>0</v>
      </c>
      <c r="O1056" s="98">
        <v>0</v>
      </c>
      <c r="P1056" s="98">
        <v>0</v>
      </c>
      <c r="Q1056" s="98">
        <v>0</v>
      </c>
    </row>
    <row r="1057" spans="1:17" x14ac:dyDescent="0.35">
      <c r="A1057" t="s">
        <v>126</v>
      </c>
      <c r="B1057" t="s">
        <v>127</v>
      </c>
      <c r="C1057">
        <v>12</v>
      </c>
      <c r="D1057" t="s">
        <v>30</v>
      </c>
      <c r="E1057" t="s">
        <v>5</v>
      </c>
      <c r="F1057" t="s">
        <v>101</v>
      </c>
      <c r="G1057">
        <v>254</v>
      </c>
      <c r="H1057" t="s">
        <v>102</v>
      </c>
      <c r="I1057" t="s">
        <v>216</v>
      </c>
      <c r="J1057" t="s">
        <v>219</v>
      </c>
      <c r="K1057">
        <v>1770</v>
      </c>
      <c r="L1057">
        <v>177000</v>
      </c>
      <c r="M1057" t="s">
        <v>221</v>
      </c>
      <c r="N1057" s="98">
        <v>0</v>
      </c>
      <c r="O1057" s="98">
        <v>0</v>
      </c>
      <c r="P1057" s="98">
        <v>0</v>
      </c>
      <c r="Q1057" s="98">
        <v>0</v>
      </c>
    </row>
  </sheetData>
  <conditionalFormatting sqref="Q2:Q1057">
    <cfRule type="expression" dxfId="32" priority="1">
      <formula>AND($E2="Bokført",ISNUMBER($Q2),$Q2&gt;0)</formula>
    </cfRule>
  </conditionalFormatting>
  <conditionalFormatting sqref="Q2:Q1057">
    <cfRule type="expression" dxfId="31" priority="2">
      <formula>AND($E2="Bokført",ISNUMBER($Q2),$Q2&lt;0)</formula>
    </cfRule>
  </conditionalFormatting>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2FA9A-6DB7-4C71-8980-3CD9B04E0E72}">
  <dimension ref="A1:AC89"/>
  <sheetViews>
    <sheetView workbookViewId="0"/>
  </sheetViews>
  <sheetFormatPr defaultRowHeight="14.5" x14ac:dyDescent="0.35"/>
  <cols>
    <col min="1" max="1" width="15.90625" bestFit="1" customWidth="1"/>
    <col min="2" max="2" width="14.1796875" bestFit="1" customWidth="1"/>
    <col min="4" max="4" width="7.6328125" bestFit="1" customWidth="1"/>
    <col min="5" max="5" width="11.453125" bestFit="1" customWidth="1"/>
    <col min="6" max="6" width="12.54296875" bestFit="1" customWidth="1"/>
    <col min="7" max="7" width="14.1796875" bestFit="1" customWidth="1"/>
    <col min="9" max="9" width="7.6328125" bestFit="1" customWidth="1"/>
    <col min="10" max="10" width="14.1796875" bestFit="1" customWidth="1"/>
    <col min="12" max="12" width="12.54296875" bestFit="1" customWidth="1"/>
    <col min="13" max="13" width="14.1796875" bestFit="1" customWidth="1"/>
  </cols>
  <sheetData>
    <row r="1" spans="1:29" x14ac:dyDescent="0.35">
      <c r="A1" t="s">
        <v>90</v>
      </c>
      <c r="B1" t="s">
        <v>335</v>
      </c>
      <c r="C1" t="s">
        <v>436</v>
      </c>
      <c r="D1" t="s">
        <v>81</v>
      </c>
      <c r="E1" t="s">
        <v>336</v>
      </c>
      <c r="F1" t="s">
        <v>337</v>
      </c>
      <c r="G1" t="s">
        <v>335</v>
      </c>
      <c r="I1" t="s">
        <v>81</v>
      </c>
      <c r="J1" t="s">
        <v>335</v>
      </c>
      <c r="L1" t="s">
        <v>89</v>
      </c>
      <c r="M1" t="s">
        <v>335</v>
      </c>
      <c r="N1" t="s">
        <v>437</v>
      </c>
      <c r="O1" t="s">
        <v>343</v>
      </c>
      <c r="P1" t="s">
        <v>335</v>
      </c>
      <c r="Q1" t="s">
        <v>344</v>
      </c>
      <c r="S1" t="s">
        <v>433</v>
      </c>
      <c r="T1" t="s">
        <v>335</v>
      </c>
      <c r="V1" t="s">
        <v>438</v>
      </c>
      <c r="W1" t="s">
        <v>335</v>
      </c>
      <c r="X1" t="s">
        <v>439</v>
      </c>
      <c r="Y1" t="s">
        <v>335</v>
      </c>
      <c r="AA1" t="s">
        <v>81</v>
      </c>
      <c r="AB1" t="s">
        <v>443</v>
      </c>
      <c r="AC1" t="s">
        <v>444</v>
      </c>
    </row>
    <row r="2" spans="1:29" x14ac:dyDescent="0.35">
      <c r="A2" t="s">
        <v>104</v>
      </c>
      <c r="B2" s="16">
        <f>IFERROR(GETPIVOTDATA("Sum Merforbruk",'Pivot - kontoplan'!$B$22,"Undergruppe",A2),0)</f>
        <v>1165992.3400000005</v>
      </c>
      <c r="C2" s="16">
        <f>COUNTIF($B$2:$B$7,"&gt;"&amp;B2)+COUNTIF($B$2:B2,B2)</f>
        <v>1</v>
      </c>
      <c r="D2" t="s">
        <v>98</v>
      </c>
      <c r="E2" s="16">
        <f>IFERROR(GETPIVOTDATA("Sum Budsjett",'Pivot - måned'!$B$9,"Periode",D2),0)</f>
        <v>1403337</v>
      </c>
      <c r="F2" s="16">
        <f>IFERROR(GETPIVOTDATA("Sum Regnskap",'Pivot - måned'!$B$9,"Periode",D2),0)</f>
        <v>1014751.5</v>
      </c>
      <c r="G2" s="16">
        <f>IFERROR(GETPIVOTDATA("Sum Merforbruk",'Pivot - måned'!$B$9,"Periode",D2),0)</f>
        <v>-388585.49999999994</v>
      </c>
      <c r="I2" t="s">
        <v>98</v>
      </c>
      <c r="J2" s="16">
        <f>G2</f>
        <v>-388585.49999999994</v>
      </c>
      <c r="L2" t="s">
        <v>103</v>
      </c>
      <c r="M2" s="16">
        <f>IFERROR(GETPIVOTDATA("Sum Merforbruk",'Pivot - kontoplan'!$B$9,"Hovedgruppe",L2),0)</f>
        <v>1149672.3400000005</v>
      </c>
      <c r="N2" s="16">
        <f>COUNTIF($M$2:$M$4,"&gt;"&amp;M2)+COUNTIF($M$2:M2,M2)</f>
        <v>1</v>
      </c>
      <c r="O2" t="s">
        <v>345</v>
      </c>
      <c r="P2" s="16">
        <f>SUMIFS(tbl_BoMiljo[Merforbruk],tbl_BoMiljo[Status],"Bokført",tbl_BoMiljo[Kontokode],N2)</f>
        <v>0</v>
      </c>
      <c r="Q2" t="str">
        <f>IF(P2&gt;0,COUNTIF($P$2:$P$89,"&gt;"&amp;P2)+COUNTIF($P$2:P2,P2),"")</f>
        <v/>
      </c>
      <c r="S2" t="str">
        <f>IFERROR(INDEX($O$2:$O$89,MATCH(11-ROW(A1),$Q$2:$Q$89,0)),"")</f>
        <v>102013 · Vikar - korttidsfravær</v>
      </c>
      <c r="T2" s="16">
        <f>IFERROR(INDEX($P$2:$P$89,MATCH(11-ROW(A1),$Q$2:$Q$89,0)),0)</f>
        <v>61454.03</v>
      </c>
      <c r="V2" t="str">
        <f>INDEX($L$2:$L$4,MATCH(4-ROWS($V$2:V2),$N$2:$N$4,0))</f>
        <v>3 Inntekter</v>
      </c>
      <c r="W2" s="16">
        <f>INDEX($M$2:$M$4,MATCH(4-ROWS($V$2:V2),$N$2:$N$4,0))</f>
        <v>-8172</v>
      </c>
      <c r="X2" t="str">
        <f>INDEX($A$2:$A$7,MATCH(7-ROWS($X$2:X2),$C$2:$C$7,0))</f>
        <v>17 Refusjoner</v>
      </c>
      <c r="Y2" s="16">
        <f>INDEX($B$2:$B$7,MATCH(7-ROWS($X$2:X2),$C$2:$C$7,0))</f>
        <v>-8060</v>
      </c>
      <c r="AA2" t="str">
        <f>I2</f>
        <v>2024-01</v>
      </c>
      <c r="AB2" s="16">
        <f>MAX(J2,0)</f>
        <v>0</v>
      </c>
      <c r="AC2" s="16">
        <f>MIN(J2,0)</f>
        <v>-388585.49999999994</v>
      </c>
    </row>
    <row r="3" spans="1:29" x14ac:dyDescent="0.35">
      <c r="A3" t="s">
        <v>157</v>
      </c>
      <c r="B3" s="16">
        <f>IFERROR(GETPIVOTDATA("Sum Merforbruk",'Pivot - kontoplan'!$B$22,"Undergruppe",A3),0)</f>
        <v>127784.81000000016</v>
      </c>
      <c r="C3">
        <f>COUNTIF($B$2:$B$7,"&gt;"&amp;B3)+COUNTIF($B$2:B3,B3)</f>
        <v>2</v>
      </c>
      <c r="D3" t="s">
        <v>106</v>
      </c>
      <c r="E3" s="16">
        <f>IFERROR(GETPIVOTDATA("Sum Budsjett",'Pivot - måned'!$B$9,"Periode",D3),0)</f>
        <v>1410893</v>
      </c>
      <c r="F3" s="16">
        <f>IFERROR(GETPIVOTDATA("Sum Regnskap",'Pivot - måned'!$B$9,"Periode",D3),0)</f>
        <v>2082089.7899999998</v>
      </c>
      <c r="G3" s="16">
        <f>IFERROR(GETPIVOTDATA("Sum Merforbruk",'Pivot - måned'!$B$9,"Periode",D3),0)</f>
        <v>671196.79</v>
      </c>
      <c r="I3" t="s">
        <v>106</v>
      </c>
      <c r="J3" s="16">
        <f t="shared" ref="J3:J9" si="0">G3</f>
        <v>671196.79</v>
      </c>
      <c r="L3" t="s">
        <v>160</v>
      </c>
      <c r="M3" s="16">
        <f>IFERROR(GETPIVOTDATA("Sum Merforbruk",'Pivot - kontoplan'!$B$9,"Hovedgruppe",L3),0)</f>
        <v>144114.08000000019</v>
      </c>
      <c r="N3">
        <f>COUNTIF($M$2:$M$4,"&gt;"&amp;M3)+COUNTIF($M$2:M3,M3)</f>
        <v>2</v>
      </c>
      <c r="O3" t="s">
        <v>346</v>
      </c>
      <c r="P3" s="16">
        <f>SUMIFS(tbl_BoMiljo[Merforbruk],tbl_BoMiljo[Status],"Bokført",tbl_BoMiljo[Kontokode],N3)</f>
        <v>0</v>
      </c>
      <c r="Q3" t="str">
        <f>IF(P3&gt;0,COUNTIF($P$2:$P$89,"&gt;"&amp;P3)+COUNTIF($P$2:P3,P3),"")</f>
        <v/>
      </c>
      <c r="S3" t="str">
        <f t="shared" ref="S3:S11" si="1">IFERROR(INDEX($O$2:$O$89,MATCH(11-ROW(A2),$Q$2:$Q$89,0)),"")</f>
        <v>105000 · Lærlinger</v>
      </c>
      <c r="T3" s="16">
        <f t="shared" ref="T3:T11" si="2">IFERROR(INDEX($P$2:$P$89,MATCH(11-ROW(A2),$Q$2:$Q$89,0)),0)</f>
        <v>69677.58</v>
      </c>
      <c r="V3" t="str">
        <f>INDEX($L$2:$L$4,MATCH(4-ROWS($V$2:V3),$N$2:$N$4,0))</f>
        <v>2 Utgifter</v>
      </c>
      <c r="W3" s="16">
        <f>INDEX($M$2:$M$4,MATCH(4-ROWS($V$2:V3),$N$2:$N$4,0))</f>
        <v>144114.08000000019</v>
      </c>
      <c r="X3" t="str">
        <f>INDEX($A$2:$A$7,MATCH(7-ROWS($X$2:X3),$C$2:$C$7,0))</f>
        <v>16 Brukerbetaling</v>
      </c>
      <c r="Y3" s="16">
        <f>INDEX($B$2:$B$7,MATCH(7-ROWS($X$2:X3),$C$2:$C$7,0))</f>
        <v>-112</v>
      </c>
      <c r="AA3" t="str">
        <f t="shared" ref="AA3:AA9" si="3">I3</f>
        <v>2024-02</v>
      </c>
      <c r="AB3" s="16">
        <f t="shared" ref="AB3:AB9" si="4">MAX(J3,0)</f>
        <v>671196.79</v>
      </c>
      <c r="AC3" s="16">
        <f t="shared" ref="AC3:AC9" si="5">MIN(J3,0)</f>
        <v>0</v>
      </c>
    </row>
    <row r="4" spans="1:29" x14ac:dyDescent="0.35">
      <c r="A4" t="s">
        <v>211</v>
      </c>
      <c r="B4" s="16">
        <f>IFERROR(GETPIVOTDATA("Sum Merforbruk",'Pivot - kontoplan'!$B$22,"Undergruppe",A4),0)</f>
        <v>0</v>
      </c>
      <c r="C4">
        <f>COUNTIF($B$2:$B$7,"&gt;"&amp;B4)+COUNTIF($B$2:B4,B4)</f>
        <v>4</v>
      </c>
      <c r="D4" t="s">
        <v>108</v>
      </c>
      <c r="E4" s="16">
        <f>IFERROR(GETPIVOTDATA("Sum Budsjett",'Pivot - måned'!$B$9,"Periode",D4),0)</f>
        <v>1342381</v>
      </c>
      <c r="F4" s="16">
        <f>IFERROR(GETPIVOTDATA("Sum Regnskap",'Pivot - måned'!$B$9,"Periode",D4),0)</f>
        <v>1541248.5099999995</v>
      </c>
      <c r="G4" s="16">
        <f>IFERROR(GETPIVOTDATA("Sum Merforbruk",'Pivot - måned'!$B$9,"Periode",D4),0)</f>
        <v>198867.50999999998</v>
      </c>
      <c r="I4" t="s">
        <v>108</v>
      </c>
      <c r="J4" s="16">
        <f t="shared" si="0"/>
        <v>198867.50999999998</v>
      </c>
      <c r="L4" t="s">
        <v>216</v>
      </c>
      <c r="M4" s="16">
        <f>IFERROR(GETPIVOTDATA("Sum Merforbruk",'Pivot - kontoplan'!$B$9,"Hovedgruppe",L4),0)</f>
        <v>-8172</v>
      </c>
      <c r="N4">
        <f>COUNTIF($M$2:$M$4,"&gt;"&amp;M4)+COUNTIF($M$2:M4,M4)</f>
        <v>3</v>
      </c>
      <c r="O4" t="s">
        <v>347</v>
      </c>
      <c r="P4" s="16">
        <f>SUMIFS(tbl_BoMiljo[Merforbruk],tbl_BoMiljo[Status],"Bokført",tbl_BoMiljo[Kontokode],N4)</f>
        <v>0</v>
      </c>
      <c r="Q4" t="str">
        <f>IF(P4&gt;0,COUNTIF($P$2:$P$89,"&gt;"&amp;P4)+COUNTIF($P$2:P4,P4),"")</f>
        <v/>
      </c>
      <c r="S4" t="str">
        <f t="shared" si="1"/>
        <v>102000 · Vikar - sykefravær - med refusjon</v>
      </c>
      <c r="T4" s="16">
        <f t="shared" si="2"/>
        <v>79100.030000000013</v>
      </c>
      <c r="V4" t="str">
        <f>INDEX($L$2:$L$4,MATCH(4-ROWS($V$2:V4),$N$2:$N$4,0))</f>
        <v>1 Lønn</v>
      </c>
      <c r="W4" s="16">
        <f>INDEX($M$2:$M$4,MATCH(4-ROWS($V$2:V4),$N$2:$N$4,0))</f>
        <v>1149672.3400000005</v>
      </c>
      <c r="X4" t="str">
        <f>INDEX($A$2:$A$7,MATCH(7-ROWS($X$2:X4),$C$2:$C$7,0))</f>
        <v>14 Overføringer</v>
      </c>
      <c r="Y4" s="16">
        <f>INDEX($B$2:$B$7,MATCH(7-ROWS($X$2:X4),$C$2:$C$7,0))</f>
        <v>0</v>
      </c>
      <c r="AA4" t="str">
        <f t="shared" si="3"/>
        <v>2024-03</v>
      </c>
      <c r="AB4" s="16">
        <f t="shared" si="4"/>
        <v>198867.50999999998</v>
      </c>
      <c r="AC4" s="16">
        <f t="shared" si="5"/>
        <v>0</v>
      </c>
    </row>
    <row r="5" spans="1:29" x14ac:dyDescent="0.35">
      <c r="A5" t="s">
        <v>214</v>
      </c>
      <c r="B5" s="16">
        <f>IFERROR(GETPIVOTDATA("Sum Merforbruk",'Pivot - kontoplan'!$B$22,"Undergruppe",A5),0)</f>
        <v>9.27</v>
      </c>
      <c r="C5">
        <f>COUNTIF($B$2:$B$7,"&gt;"&amp;B5)+COUNTIF($B$2:B5,B5)</f>
        <v>3</v>
      </c>
      <c r="D5" t="s">
        <v>110</v>
      </c>
      <c r="E5" s="16">
        <f>IFERROR(GETPIVOTDATA("Sum Budsjett",'Pivot - måned'!$B$9,"Periode",D5),0)</f>
        <v>2357359</v>
      </c>
      <c r="F5" s="16">
        <f>IFERROR(GETPIVOTDATA("Sum Regnskap",'Pivot - måned'!$B$9,"Periode",D5),0)</f>
        <v>2256715.6599999997</v>
      </c>
      <c r="G5" s="16">
        <f>IFERROR(GETPIVOTDATA("Sum Merforbruk",'Pivot - måned'!$B$9,"Periode",D5),0)</f>
        <v>-100643.34000000001</v>
      </c>
      <c r="I5" t="s">
        <v>110</v>
      </c>
      <c r="J5" s="16">
        <f t="shared" si="0"/>
        <v>-100643.34000000001</v>
      </c>
      <c r="N5">
        <v>101032</v>
      </c>
      <c r="O5" t="s">
        <v>348</v>
      </c>
      <c r="P5" s="16">
        <f>SUMIFS(tbl_BoMiljo[Merforbruk],tbl_BoMiljo[Status],"Bokført",tbl_BoMiljo[Kontokode],N5)</f>
        <v>-63484.95</v>
      </c>
      <c r="Q5" t="str">
        <f>IF(P5&gt;0,COUNTIF($P$2:$P$89,"&gt;"&amp;P5)+COUNTIF($P$2:P5,P5),"")</f>
        <v/>
      </c>
      <c r="S5" t="str">
        <f t="shared" si="1"/>
        <v>102032 · Vikar - helligdagstillegg</v>
      </c>
      <c r="T5" s="16">
        <f t="shared" si="2"/>
        <v>93469.76999999999</v>
      </c>
      <c r="X5" t="str">
        <f>INDEX($A$2:$A$7,MATCH(7-ROWS($X$2:X5),$C$2:$C$7,0))</f>
        <v>15 Finansutgifter</v>
      </c>
      <c r="Y5" s="16">
        <f>INDEX($B$2:$B$7,MATCH(7-ROWS($X$2:X5),$C$2:$C$7,0))</f>
        <v>9.27</v>
      </c>
      <c r="AA5" t="str">
        <f t="shared" si="3"/>
        <v>2024-04</v>
      </c>
      <c r="AB5" s="16">
        <f t="shared" si="4"/>
        <v>0</v>
      </c>
      <c r="AC5" s="16">
        <f t="shared" si="5"/>
        <v>-100643.34000000001</v>
      </c>
    </row>
    <row r="6" spans="1:29" x14ac:dyDescent="0.35">
      <c r="A6" t="s">
        <v>217</v>
      </c>
      <c r="B6" s="16">
        <f>IFERROR(GETPIVOTDATA("Sum Merforbruk",'Pivot - kontoplan'!$B$22,"Undergruppe",A6),0)</f>
        <v>-112</v>
      </c>
      <c r="C6">
        <f>COUNTIF($B$2:$B$7,"&gt;"&amp;B6)+COUNTIF($B$2:B6,B6)</f>
        <v>5</v>
      </c>
      <c r="D6" t="s">
        <v>112</v>
      </c>
      <c r="E6" s="16">
        <f>IFERROR(GETPIVOTDATA("Sum Budsjett",'Pivot - måned'!$B$9,"Periode",D6),0)</f>
        <v>1544215</v>
      </c>
      <c r="F6" s="16">
        <f>IFERROR(GETPIVOTDATA("Sum Regnskap",'Pivot - måned'!$B$9,"Periode",D6),0)</f>
        <v>1613436.8400000003</v>
      </c>
      <c r="G6" s="16">
        <f>IFERROR(GETPIVOTDATA("Sum Merforbruk",'Pivot - måned'!$B$9,"Periode",D6),0)</f>
        <v>69221.839999999938</v>
      </c>
      <c r="I6" t="s">
        <v>112</v>
      </c>
      <c r="J6" s="16">
        <f t="shared" si="0"/>
        <v>69221.839999999938</v>
      </c>
      <c r="N6">
        <v>101040</v>
      </c>
      <c r="O6" t="s">
        <v>349</v>
      </c>
      <c r="P6" s="16">
        <f>SUMIFS(tbl_BoMiljo[Merforbruk],tbl_BoMiljo[Status],"Bokført",tbl_BoMiljo[Kontokode],N6)</f>
        <v>-5341.8600000000006</v>
      </c>
      <c r="Q6" t="str">
        <f>IF(P6&gt;0,COUNTIF($P$2:$P$89,"&gt;"&amp;P6)+COUNTIF($P$2:P6,P6),"")</f>
        <v/>
      </c>
      <c r="S6" t="str">
        <f t="shared" si="1"/>
        <v>109999 · Arbeidsgiveravgift</v>
      </c>
      <c r="T6" s="16">
        <f t="shared" si="2"/>
        <v>101614.13</v>
      </c>
      <c r="X6" t="str">
        <f>INDEX($A$2:$A$7,MATCH(7-ROWS($X$2:X6),$C$2:$C$7,0))</f>
        <v>11 Refusjon lønn</v>
      </c>
      <c r="Y6" s="16">
        <f>INDEX($B$2:$B$7,MATCH(7-ROWS($X$2:X6),$C$2:$C$7,0))</f>
        <v>127784.81000000016</v>
      </c>
      <c r="AA6" t="str">
        <f t="shared" si="3"/>
        <v>2024-05</v>
      </c>
      <c r="AB6" s="16">
        <f t="shared" si="4"/>
        <v>69221.839999999938</v>
      </c>
      <c r="AC6" s="16">
        <f t="shared" si="5"/>
        <v>0</v>
      </c>
    </row>
    <row r="7" spans="1:29" x14ac:dyDescent="0.35">
      <c r="A7" t="s">
        <v>219</v>
      </c>
      <c r="B7" s="16">
        <f>IFERROR(GETPIVOTDATA("Sum Merforbruk",'Pivot - kontoplan'!$B$22,"Undergruppe",A7),0)</f>
        <v>-8060</v>
      </c>
      <c r="C7">
        <f>COUNTIF($B$2:$B$7,"&gt;"&amp;B7)+COUNTIF($B$2:B7,B7)</f>
        <v>6</v>
      </c>
      <c r="D7" t="s">
        <v>114</v>
      </c>
      <c r="E7" s="16">
        <f>IFERROR(GETPIVOTDATA("Sum Budsjett",'Pivot - måned'!$B$9,"Periode",D7),0)</f>
        <v>241681</v>
      </c>
      <c r="F7" s="16">
        <f>IFERROR(GETPIVOTDATA("Sum Regnskap",'Pivot - måned'!$B$9,"Periode",D7),0)</f>
        <v>519336.23</v>
      </c>
      <c r="G7" s="16">
        <f>IFERROR(GETPIVOTDATA("Sum Merforbruk",'Pivot - måned'!$B$9,"Periode",D7),0)</f>
        <v>277655.23</v>
      </c>
      <c r="I7" t="s">
        <v>114</v>
      </c>
      <c r="J7" s="16">
        <f t="shared" si="0"/>
        <v>277655.23</v>
      </c>
      <c r="N7">
        <v>102000</v>
      </c>
      <c r="O7" t="s">
        <v>350</v>
      </c>
      <c r="P7" s="16">
        <f>SUMIFS(tbl_BoMiljo[Merforbruk],tbl_BoMiljo[Status],"Bokført",tbl_BoMiljo[Kontokode],N7)</f>
        <v>79100.030000000013</v>
      </c>
      <c r="Q7">
        <f>IF(P7&gt;0,COUNTIF($P$2:$P$89,"&gt;"&amp;P7)+COUNTIF($P$2:P7,P7),"")</f>
        <v>8</v>
      </c>
      <c r="S7" t="str">
        <f t="shared" si="1"/>
        <v>102030 · Vikar - lørdags- og søndagstillegg</v>
      </c>
      <c r="T7" s="16">
        <f t="shared" si="2"/>
        <v>140747.32</v>
      </c>
      <c r="X7" t="str">
        <f>INDEX($A$2:$A$7,MATCH(7-ROWS($X$2:X7),$C$2:$C$7,0))</f>
        <v>10 Lønn</v>
      </c>
      <c r="Y7" s="16">
        <f>INDEX($B$2:$B$7,MATCH(7-ROWS($X$2:X7),$C$2:$C$7,0))</f>
        <v>1165992.3400000005</v>
      </c>
      <c r="AA7" t="str">
        <f t="shared" si="3"/>
        <v>2024-06</v>
      </c>
      <c r="AB7" s="16">
        <f t="shared" si="4"/>
        <v>277655.23</v>
      </c>
      <c r="AC7" s="16">
        <f t="shared" si="5"/>
        <v>0</v>
      </c>
    </row>
    <row r="8" spans="1:29" x14ac:dyDescent="0.35">
      <c r="D8" t="s">
        <v>116</v>
      </c>
      <c r="E8" s="16">
        <f>IFERROR(GETPIVOTDATA("Sum Budsjett",'Pivot - måned'!$B$9,"Periode",D8),0)</f>
        <v>1512209</v>
      </c>
      <c r="F8" s="16">
        <f>IFERROR(GETPIVOTDATA("Sum Regnskap",'Pivot - måned'!$B$9,"Periode",D8),0)</f>
        <v>1837523.07</v>
      </c>
      <c r="G8" s="16">
        <f>IFERROR(GETPIVOTDATA("Sum Merforbruk",'Pivot - måned'!$B$9,"Periode",D8),0)</f>
        <v>325314.07000000012</v>
      </c>
      <c r="I8" t="s">
        <v>116</v>
      </c>
      <c r="J8" s="16">
        <f t="shared" si="0"/>
        <v>325314.07000000012</v>
      </c>
      <c r="N8">
        <v>102001</v>
      </c>
      <c r="O8" t="s">
        <v>351</v>
      </c>
      <c r="P8" s="16">
        <f>SUMIFS(tbl_BoMiljo[Merforbruk],tbl_BoMiljo[Status],"Bokført",tbl_BoMiljo[Kontokode],N8)</f>
        <v>-45256.959999999999</v>
      </c>
      <c r="Q8" t="str">
        <f>IF(P8&gt;0,COUNTIF($P$2:$P$89,"&gt;"&amp;P8)+COUNTIF($P$2:P8,P8),"")</f>
        <v/>
      </c>
      <c r="S8" t="str">
        <f t="shared" si="1"/>
        <v>103000 · Ekstrahjelp</v>
      </c>
      <c r="T8" s="16">
        <f t="shared" si="2"/>
        <v>141648.70000000001</v>
      </c>
      <c r="AA8" t="str">
        <f t="shared" si="3"/>
        <v>2024-07</v>
      </c>
      <c r="AB8" s="16">
        <f t="shared" si="4"/>
        <v>325314.07000000012</v>
      </c>
      <c r="AC8" s="16">
        <f t="shared" si="5"/>
        <v>0</v>
      </c>
    </row>
    <row r="9" spans="1:29" x14ac:dyDescent="0.35">
      <c r="D9" t="s">
        <v>118</v>
      </c>
      <c r="E9" s="16">
        <f>IFERROR(GETPIVOTDATA("Sum Budsjett",'Pivot - måned'!$B$9,"Periode",D9),0)</f>
        <v>1525162</v>
      </c>
      <c r="F9" s="16">
        <f>IFERROR(GETPIVOTDATA("Sum Regnskap",'Pivot - måned'!$B$9,"Periode",D9),0)</f>
        <v>1757749.82</v>
      </c>
      <c r="G9" s="16">
        <f>IFERROR(GETPIVOTDATA("Sum Merforbruk",'Pivot - måned'!$B$9,"Periode",D9),0)</f>
        <v>232587.82000000004</v>
      </c>
      <c r="I9" t="s">
        <v>118</v>
      </c>
      <c r="J9" s="16">
        <f t="shared" si="0"/>
        <v>232587.82000000004</v>
      </c>
      <c r="N9">
        <v>102002</v>
      </c>
      <c r="O9" t="s">
        <v>352</v>
      </c>
      <c r="P9" s="16">
        <f>SUMIFS(tbl_BoMiljo[Merforbruk],tbl_BoMiljo[Status],"Bokført",tbl_BoMiljo[Kontokode],N9)</f>
        <v>-189928</v>
      </c>
      <c r="Q9" t="str">
        <f>IF(P9&gt;0,COUNTIF($P$2:$P$89,"&gt;"&amp;P9)+COUNTIF($P$2:P9,P9),"")</f>
        <v/>
      </c>
      <c r="S9" t="str">
        <f t="shared" si="1"/>
        <v>104000 · Overtidslønn</v>
      </c>
      <c r="T9" s="16">
        <f t="shared" si="2"/>
        <v>185571.85</v>
      </c>
      <c r="AA9" t="str">
        <f t="shared" si="3"/>
        <v>2024-08</v>
      </c>
      <c r="AB9" s="16">
        <f t="shared" si="4"/>
        <v>232587.82000000004</v>
      </c>
      <c r="AC9" s="16">
        <f t="shared" si="5"/>
        <v>0</v>
      </c>
    </row>
    <row r="10" spans="1:29" x14ac:dyDescent="0.35">
      <c r="N10">
        <v>102010</v>
      </c>
      <c r="O10" t="s">
        <v>353</v>
      </c>
      <c r="P10" s="16">
        <f>SUMIFS(tbl_BoMiljo[Merforbruk],tbl_BoMiljo[Status],"Bokført",tbl_BoMiljo[Kontokode],N10)</f>
        <v>-13495.420000000002</v>
      </c>
      <c r="Q10" t="str">
        <f>IF(P10&gt;0,COUNTIF($P$2:$P$89,"&gt;"&amp;P10)+COUNTIF($P$2:P10,P10),"")</f>
        <v/>
      </c>
      <c r="S10" t="str">
        <f t="shared" si="1"/>
        <v>102031 · Vikar - kvelds- og nattillegg</v>
      </c>
      <c r="T10" s="16">
        <f t="shared" si="2"/>
        <v>259304.09000000003</v>
      </c>
    </row>
    <row r="11" spans="1:29" x14ac:dyDescent="0.35">
      <c r="N11">
        <v>102011</v>
      </c>
      <c r="O11" t="s">
        <v>354</v>
      </c>
      <c r="P11" s="16">
        <f>SUMIFS(tbl_BoMiljo[Merforbruk],tbl_BoMiljo[Status],"Bokført",tbl_BoMiljo[Kontokode],N11)</f>
        <v>-17126.569999999992</v>
      </c>
      <c r="Q11" t="str">
        <f>IF(P11&gt;0,COUNTIF($P$2:$P$89,"&gt;"&amp;P11)+COUNTIF($P$2:P11,P11),"")</f>
        <v/>
      </c>
      <c r="S11" t="str">
        <f t="shared" si="1"/>
        <v>127040 · Kjøp av vikarbyråtjenester</v>
      </c>
      <c r="T11" s="16">
        <f t="shared" si="2"/>
        <v>382656</v>
      </c>
    </row>
    <row r="12" spans="1:29" x14ac:dyDescent="0.35">
      <c r="N12">
        <v>102013</v>
      </c>
      <c r="O12" t="s">
        <v>355</v>
      </c>
      <c r="P12" s="16">
        <f>SUMIFS(tbl_BoMiljo[Merforbruk],tbl_BoMiljo[Status],"Bokført",tbl_BoMiljo[Kontokode],N12)</f>
        <v>61454.03</v>
      </c>
      <c r="Q12">
        <f>IF(P12&gt;0,COUNTIF($P$2:$P$89,"&gt;"&amp;P12)+COUNTIF($P$2:P12,P12),"")</f>
        <v>10</v>
      </c>
    </row>
    <row r="13" spans="1:29" x14ac:dyDescent="0.35">
      <c r="N13">
        <v>102030</v>
      </c>
      <c r="O13" t="s">
        <v>356</v>
      </c>
      <c r="P13" s="16">
        <f>SUMIFS(tbl_BoMiljo[Merforbruk],tbl_BoMiljo[Status],"Bokført",tbl_BoMiljo[Kontokode],N13)</f>
        <v>140747.32</v>
      </c>
      <c r="Q13">
        <f>IF(P13&gt;0,COUNTIF($P$2:$P$89,"&gt;"&amp;P13)+COUNTIF($P$2:P13,P13),"")</f>
        <v>5</v>
      </c>
    </row>
    <row r="14" spans="1:29" x14ac:dyDescent="0.35">
      <c r="N14">
        <v>102031</v>
      </c>
      <c r="O14" t="s">
        <v>357</v>
      </c>
      <c r="P14" s="16">
        <f>SUMIFS(tbl_BoMiljo[Merforbruk],tbl_BoMiljo[Status],"Bokført",tbl_BoMiljo[Kontokode],N14)</f>
        <v>259304.09000000003</v>
      </c>
      <c r="Q14">
        <f>IF(P14&gt;0,COUNTIF($P$2:$P$89,"&gt;"&amp;P14)+COUNTIF($P$2:P14,P14),"")</f>
        <v>2</v>
      </c>
    </row>
    <row r="15" spans="1:29" x14ac:dyDescent="0.35">
      <c r="N15">
        <v>102032</v>
      </c>
      <c r="O15" t="s">
        <v>358</v>
      </c>
      <c r="P15" s="16">
        <f>SUMIFS(tbl_BoMiljo[Merforbruk],tbl_BoMiljo[Status],"Bokført",tbl_BoMiljo[Kontokode],N15)</f>
        <v>93469.76999999999</v>
      </c>
      <c r="Q15">
        <f>IF(P15&gt;0,COUNTIF($P$2:$P$89,"&gt;"&amp;P15)+COUNTIF($P$2:P15,P15),"")</f>
        <v>7</v>
      </c>
    </row>
    <row r="16" spans="1:29" x14ac:dyDescent="0.35">
      <c r="N16">
        <v>103000</v>
      </c>
      <c r="O16" t="s">
        <v>359</v>
      </c>
      <c r="P16" s="16">
        <f>SUMIFS(tbl_BoMiljo[Merforbruk],tbl_BoMiljo[Status],"Bokført",tbl_BoMiljo[Kontokode],N16)</f>
        <v>141648.70000000001</v>
      </c>
      <c r="Q16">
        <f>IF(P16&gt;0,COUNTIF($P$2:$P$89,"&gt;"&amp;P16)+COUNTIF($P$2:P16,P16),"")</f>
        <v>4</v>
      </c>
    </row>
    <row r="17" spans="14:17" x14ac:dyDescent="0.35">
      <c r="N17">
        <v>103030</v>
      </c>
      <c r="O17" t="s">
        <v>360</v>
      </c>
      <c r="P17" s="16">
        <f>SUMIFS(tbl_BoMiljo[Merforbruk],tbl_BoMiljo[Status],"Bokført",tbl_BoMiljo[Kontokode],N17)</f>
        <v>5380.0599999999995</v>
      </c>
      <c r="Q17">
        <f>IF(P17&gt;0,COUNTIF($P$2:$P$89,"&gt;"&amp;P17)+COUNTIF($P$2:P17,P17),"")</f>
        <v>23</v>
      </c>
    </row>
    <row r="18" spans="14:17" x14ac:dyDescent="0.35">
      <c r="N18">
        <v>103031</v>
      </c>
      <c r="O18" t="s">
        <v>361</v>
      </c>
      <c r="P18" s="16">
        <f>SUMIFS(tbl_BoMiljo[Merforbruk],tbl_BoMiljo[Status],"Bokført",tbl_BoMiljo[Kontokode],N18)</f>
        <v>6584.52</v>
      </c>
      <c r="Q18">
        <f>IF(P18&gt;0,COUNTIF($P$2:$P$89,"&gt;"&amp;P18)+COUNTIF($P$2:P18,P18),"")</f>
        <v>20</v>
      </c>
    </row>
    <row r="19" spans="14:17" x14ac:dyDescent="0.35">
      <c r="N19">
        <v>103032</v>
      </c>
      <c r="O19" t="s">
        <v>362</v>
      </c>
      <c r="P19" s="16">
        <f>SUMIFS(tbl_BoMiljo[Merforbruk],tbl_BoMiljo[Status],"Bokført",tbl_BoMiljo[Kontokode],N19)</f>
        <v>6609.2999999999993</v>
      </c>
      <c r="Q19">
        <f>IF(P19&gt;0,COUNTIF($P$2:$P$89,"&gt;"&amp;P19)+COUNTIF($P$2:P19,P19),"")</f>
        <v>19</v>
      </c>
    </row>
    <row r="20" spans="14:17" x14ac:dyDescent="0.35">
      <c r="N20">
        <v>103040</v>
      </c>
      <c r="O20" t="s">
        <v>363</v>
      </c>
      <c r="P20" s="16">
        <f>SUMIFS(tbl_BoMiljo[Merforbruk],tbl_BoMiljo[Status],"Bokført",tbl_BoMiljo[Kontokode],N20)</f>
        <v>19282.89</v>
      </c>
      <c r="Q20">
        <f>IF(P20&gt;0,COUNTIF($P$2:$P$89,"&gt;"&amp;P20)+COUNTIF($P$2:P20,P20),"")</f>
        <v>17</v>
      </c>
    </row>
    <row r="21" spans="14:17" x14ac:dyDescent="0.35">
      <c r="N21">
        <v>103050</v>
      </c>
      <c r="O21" t="s">
        <v>364</v>
      </c>
      <c r="P21" s="16">
        <f>SUMIFS(tbl_BoMiljo[Merforbruk],tbl_BoMiljo[Status],"Bokført",tbl_BoMiljo[Kontokode],N21)</f>
        <v>30034.190000000002</v>
      </c>
      <c r="Q21">
        <f>IF(P21&gt;0,COUNTIF($P$2:$P$89,"&gt;"&amp;P21)+COUNTIF($P$2:P21,P21),"")</f>
        <v>13</v>
      </c>
    </row>
    <row r="22" spans="14:17" x14ac:dyDescent="0.35">
      <c r="N22">
        <v>104000</v>
      </c>
      <c r="O22" t="s">
        <v>365</v>
      </c>
      <c r="P22" s="16">
        <f>SUMIFS(tbl_BoMiljo[Merforbruk],tbl_BoMiljo[Status],"Bokført",tbl_BoMiljo[Kontokode],N22)</f>
        <v>185571.85</v>
      </c>
      <c r="Q22">
        <f>IF(P22&gt;0,COUNTIF($P$2:$P$89,"&gt;"&amp;P22)+COUNTIF($P$2:P22,P22),"")</f>
        <v>3</v>
      </c>
    </row>
    <row r="23" spans="14:17" x14ac:dyDescent="0.35">
      <c r="N23">
        <v>105000</v>
      </c>
      <c r="O23" t="s">
        <v>366</v>
      </c>
      <c r="P23" s="16">
        <f>SUMIFS(tbl_BoMiljo[Merforbruk],tbl_BoMiljo[Status],"Bokført",tbl_BoMiljo[Kontokode],N23)</f>
        <v>69677.58</v>
      </c>
      <c r="Q23">
        <f>IF(P23&gt;0,COUNTIF($P$2:$P$89,"&gt;"&amp;P23)+COUNTIF($P$2:P23,P23),"")</f>
        <v>9</v>
      </c>
    </row>
    <row r="24" spans="14:17" x14ac:dyDescent="0.35">
      <c r="N24">
        <v>105042</v>
      </c>
      <c r="O24" t="s">
        <v>367</v>
      </c>
      <c r="P24" s="16">
        <f>SUMIFS(tbl_BoMiljo[Merforbruk],tbl_BoMiljo[Status],"Bokført",tbl_BoMiljo[Kontokode],N24)</f>
        <v>0</v>
      </c>
      <c r="Q24" t="str">
        <f>IF(P24&gt;0,COUNTIF($P$2:$P$89,"&gt;"&amp;P24)+COUNTIF($P$2:P24,P24),"")</f>
        <v/>
      </c>
    </row>
    <row r="25" spans="14:17" x14ac:dyDescent="0.35">
      <c r="N25">
        <v>105045</v>
      </c>
      <c r="O25" t="s">
        <v>368</v>
      </c>
      <c r="P25" s="16">
        <f>SUMIFS(tbl_BoMiljo[Merforbruk],tbl_BoMiljo[Status],"Bokført",tbl_BoMiljo[Kontokode],N25)</f>
        <v>25786.46</v>
      </c>
      <c r="Q25">
        <f>IF(P25&gt;0,COUNTIF($P$2:$P$89,"&gt;"&amp;P25)+COUNTIF($P$2:P25,P25),"")</f>
        <v>14</v>
      </c>
    </row>
    <row r="26" spans="14:17" x14ac:dyDescent="0.35">
      <c r="N26">
        <v>105046</v>
      </c>
      <c r="O26" t="s">
        <v>369</v>
      </c>
      <c r="P26" s="16">
        <f>SUMIFS(tbl_BoMiljo[Merforbruk],tbl_BoMiljo[Status],"Bokført",tbl_BoMiljo[Kontokode],N26)</f>
        <v>20342.71</v>
      </c>
      <c r="Q26">
        <f>IF(P26&gt;0,COUNTIF($P$2:$P$89,"&gt;"&amp;P26)+COUNTIF($P$2:P26,P26),"")</f>
        <v>16</v>
      </c>
    </row>
    <row r="27" spans="14:17" x14ac:dyDescent="0.35">
      <c r="N27">
        <v>105060</v>
      </c>
      <c r="O27" t="s">
        <v>370</v>
      </c>
      <c r="P27" s="16">
        <f>SUMIFS(tbl_BoMiljo[Merforbruk],tbl_BoMiljo[Status],"Bokført",tbl_BoMiljo[Kontokode],N27)</f>
        <v>-2664</v>
      </c>
      <c r="Q27" t="str">
        <f>IF(P27&gt;0,COUNTIF($P$2:$P$89,"&gt;"&amp;P27)+COUNTIF($P$2:P27,P27),"")</f>
        <v/>
      </c>
    </row>
    <row r="28" spans="14:17" x14ac:dyDescent="0.35">
      <c r="N28">
        <v>105064</v>
      </c>
      <c r="O28" t="s">
        <v>371</v>
      </c>
      <c r="P28" s="16">
        <f>SUMIFS(tbl_BoMiljo[Merforbruk],tbl_BoMiljo[Status],"Bokført",tbl_BoMiljo[Kontokode],N28)</f>
        <v>-2581.5</v>
      </c>
      <c r="Q28" t="str">
        <f>IF(P28&gt;0,COUNTIF($P$2:$P$89,"&gt;"&amp;P28)+COUNTIF($P$2:P28,P28),"")</f>
        <v/>
      </c>
    </row>
    <row r="29" spans="14:17" x14ac:dyDescent="0.35">
      <c r="N29">
        <v>105065</v>
      </c>
      <c r="O29" t="s">
        <v>372</v>
      </c>
      <c r="P29" s="16">
        <f>SUMIFS(tbl_BoMiljo[Merforbruk],tbl_BoMiljo[Status],"Bokført",tbl_BoMiljo[Kontokode],N29)</f>
        <v>493.03</v>
      </c>
      <c r="Q29">
        <f>IF(P29&gt;0,COUNTIF($P$2:$P$89,"&gt;"&amp;P29)+COUNTIF($P$2:P29,P29),"")</f>
        <v>33</v>
      </c>
    </row>
    <row r="30" spans="14:17" x14ac:dyDescent="0.35">
      <c r="N30">
        <v>109000</v>
      </c>
      <c r="O30" t="s">
        <v>373</v>
      </c>
      <c r="P30" s="16">
        <f>SUMIFS(tbl_BoMiljo[Merforbruk],tbl_BoMiljo[Status],"Bokført",tbl_BoMiljo[Kontokode],N30)</f>
        <v>-5211.3799999999974</v>
      </c>
      <c r="Q30" t="str">
        <f>IF(P30&gt;0,COUNTIF($P$2:$P$89,"&gt;"&amp;P30)+COUNTIF($P$2:P30,P30),"")</f>
        <v/>
      </c>
    </row>
    <row r="31" spans="14:17" x14ac:dyDescent="0.35">
      <c r="N31">
        <v>109999</v>
      </c>
      <c r="O31" t="s">
        <v>374</v>
      </c>
      <c r="P31" s="16">
        <f>SUMIFS(tbl_BoMiljo[Merforbruk],tbl_BoMiljo[Status],"Bokført",tbl_BoMiljo[Kontokode],N31)</f>
        <v>101614.13</v>
      </c>
      <c r="Q31">
        <f>IF(P31&gt;0,COUNTIF($P$2:$P$89,"&gt;"&amp;P31)+COUNTIF($P$2:P31,P31),"")</f>
        <v>6</v>
      </c>
    </row>
    <row r="32" spans="14:17" x14ac:dyDescent="0.35">
      <c r="N32">
        <v>110000</v>
      </c>
      <c r="O32" t="s">
        <v>375</v>
      </c>
      <c r="P32" s="16">
        <f>SUMIFS(tbl_BoMiljo[Merforbruk],tbl_BoMiljo[Status],"Bokført",tbl_BoMiljo[Kontokode],N32)</f>
        <v>-4041.79</v>
      </c>
      <c r="Q32" t="str">
        <f>IF(P32&gt;0,COUNTIF($P$2:$P$89,"&gt;"&amp;P32)+COUNTIF($P$2:P32,P32),"")</f>
        <v/>
      </c>
    </row>
    <row r="33" spans="14:17" x14ac:dyDescent="0.35">
      <c r="N33">
        <v>110020</v>
      </c>
      <c r="O33" t="s">
        <v>376</v>
      </c>
      <c r="P33" s="16">
        <f>SUMIFS(tbl_BoMiljo[Merforbruk],tbl_BoMiljo[Status],"Bokført",tbl_BoMiljo[Kontokode],N33)</f>
        <v>-2160</v>
      </c>
      <c r="Q33" t="str">
        <f>IF(P33&gt;0,COUNTIF($P$2:$P$89,"&gt;"&amp;P33)+COUNTIF($P$2:P33,P33),"")</f>
        <v/>
      </c>
    </row>
    <row r="34" spans="14:17" x14ac:dyDescent="0.35">
      <c r="N34">
        <v>111000</v>
      </c>
      <c r="O34" t="s">
        <v>377</v>
      </c>
      <c r="P34" s="16">
        <f>SUMIFS(tbl_BoMiljo[Merforbruk],tbl_BoMiljo[Status],"Bokført",tbl_BoMiljo[Kontokode],N34)</f>
        <v>-5806.71</v>
      </c>
      <c r="Q34" t="str">
        <f>IF(P34&gt;0,COUNTIF($P$2:$P$89,"&gt;"&amp;P34)+COUNTIF($P$2:P34,P34),"")</f>
        <v/>
      </c>
    </row>
    <row r="35" spans="14:17" x14ac:dyDescent="0.35">
      <c r="N35">
        <v>111400</v>
      </c>
      <c r="O35" t="s">
        <v>378</v>
      </c>
      <c r="P35" s="16">
        <f>SUMIFS(tbl_BoMiljo[Merforbruk],tbl_BoMiljo[Status],"Bokført",tbl_BoMiljo[Kontokode],N35)</f>
        <v>-4237.95</v>
      </c>
      <c r="Q35" t="str">
        <f>IF(P35&gt;0,COUNTIF($P$2:$P$89,"&gt;"&amp;P35)+COUNTIF($P$2:P35,P35),"")</f>
        <v/>
      </c>
    </row>
    <row r="36" spans="14:17" x14ac:dyDescent="0.35">
      <c r="N36">
        <v>111500</v>
      </c>
      <c r="O36" t="s">
        <v>379</v>
      </c>
      <c r="P36" s="16">
        <f>SUMIFS(tbl_BoMiljo[Merforbruk],tbl_BoMiljo[Status],"Bokført",tbl_BoMiljo[Kontokode],N36)</f>
        <v>2286.1200000000003</v>
      </c>
      <c r="Q36">
        <f>IF(P36&gt;0,COUNTIF($P$2:$P$89,"&gt;"&amp;P36)+COUNTIF($P$2:P36,P36),"")</f>
        <v>28</v>
      </c>
    </row>
    <row r="37" spans="14:17" x14ac:dyDescent="0.35">
      <c r="N37">
        <v>111502</v>
      </c>
      <c r="O37" t="s">
        <v>380</v>
      </c>
      <c r="P37" s="16">
        <f>SUMIFS(tbl_BoMiljo[Merforbruk],tbl_BoMiljo[Status],"Bokført",tbl_BoMiljo[Kontokode],N37)</f>
        <v>-9214.1299999999992</v>
      </c>
      <c r="Q37" t="str">
        <f>IF(P37&gt;0,COUNTIF($P$2:$P$89,"&gt;"&amp;P37)+COUNTIF($P$2:P37,P37),"")</f>
        <v/>
      </c>
    </row>
    <row r="38" spans="14:17" x14ac:dyDescent="0.35">
      <c r="N38">
        <v>111509</v>
      </c>
      <c r="O38" t="s">
        <v>381</v>
      </c>
      <c r="P38" s="16">
        <f>SUMIFS(tbl_BoMiljo[Merforbruk],tbl_BoMiljo[Status],"Bokført",tbl_BoMiljo[Kontokode],N38)</f>
        <v>57</v>
      </c>
      <c r="Q38">
        <f>IF(P38&gt;0,COUNTIF($P$2:$P$89,"&gt;"&amp;P38)+COUNTIF($P$2:P38,P38),"")</f>
        <v>39</v>
      </c>
    </row>
    <row r="39" spans="14:17" x14ac:dyDescent="0.35">
      <c r="N39">
        <v>112000</v>
      </c>
      <c r="O39" t="s">
        <v>382</v>
      </c>
      <c r="P39" s="16">
        <f>SUMIFS(tbl_BoMiljo[Merforbruk],tbl_BoMiljo[Status],"Bokført",tbl_BoMiljo[Kontokode],N39)</f>
        <v>-14357</v>
      </c>
      <c r="Q39" t="str">
        <f>IF(P39&gt;0,COUNTIF($P$2:$P$89,"&gt;"&amp;P39)+COUNTIF($P$2:P39,P39),"")</f>
        <v/>
      </c>
    </row>
    <row r="40" spans="14:17" x14ac:dyDescent="0.35">
      <c r="N40">
        <v>112002</v>
      </c>
      <c r="O40" t="s">
        <v>383</v>
      </c>
      <c r="P40" s="16">
        <f>SUMIFS(tbl_BoMiljo[Merforbruk],tbl_BoMiljo[Status],"Bokført",tbl_BoMiljo[Kontokode],N40)</f>
        <v>-2228.85</v>
      </c>
      <c r="Q40" t="str">
        <f>IF(P40&gt;0,COUNTIF($P$2:$P$89,"&gt;"&amp;P40)+COUNTIF($P$2:P40,P40),"")</f>
        <v/>
      </c>
    </row>
    <row r="41" spans="14:17" x14ac:dyDescent="0.35">
      <c r="N41">
        <v>112010</v>
      </c>
      <c r="O41" t="s">
        <v>384</v>
      </c>
      <c r="P41" s="16">
        <f>SUMIFS(tbl_BoMiljo[Merforbruk],tbl_BoMiljo[Status],"Bokført",tbl_BoMiljo[Kontokode],N41)</f>
        <v>4314.5</v>
      </c>
      <c r="Q41">
        <f>IF(P41&gt;0,COUNTIF($P$2:$P$89,"&gt;"&amp;P41)+COUNTIF($P$2:P41,P41),"")</f>
        <v>24</v>
      </c>
    </row>
    <row r="42" spans="14:17" x14ac:dyDescent="0.35">
      <c r="N42">
        <v>112012</v>
      </c>
      <c r="O42" t="s">
        <v>385</v>
      </c>
      <c r="P42" s="16">
        <f>SUMIFS(tbl_BoMiljo[Merforbruk],tbl_BoMiljo[Status],"Bokført",tbl_BoMiljo[Kontokode],N42)</f>
        <v>2928</v>
      </c>
      <c r="Q42">
        <f>IF(P42&gt;0,COUNTIF($P$2:$P$89,"&gt;"&amp;P42)+COUNTIF($P$2:P42,P42),"")</f>
        <v>27</v>
      </c>
    </row>
    <row r="43" spans="14:17" x14ac:dyDescent="0.35">
      <c r="N43">
        <v>112013</v>
      </c>
      <c r="O43" t="s">
        <v>386</v>
      </c>
      <c r="P43" s="16">
        <f>SUMIFS(tbl_BoMiljo[Merforbruk],tbl_BoMiljo[Status],"Bokført",tbl_BoMiljo[Kontokode],N43)</f>
        <v>-2928</v>
      </c>
      <c r="Q43" t="str">
        <f>IF(P43&gt;0,COUNTIF($P$2:$P$89,"&gt;"&amp;P43)+COUNTIF($P$2:P43,P43),"")</f>
        <v/>
      </c>
    </row>
    <row r="44" spans="14:17" x14ac:dyDescent="0.35">
      <c r="N44">
        <v>112020</v>
      </c>
      <c r="O44" t="s">
        <v>387</v>
      </c>
      <c r="P44" s="16">
        <f>SUMIFS(tbl_BoMiljo[Merforbruk],tbl_BoMiljo[Status],"Bokført",tbl_BoMiljo[Kontokode],N44)</f>
        <v>786.64</v>
      </c>
      <c r="Q44">
        <f>IF(P44&gt;0,COUNTIF($P$2:$P$89,"&gt;"&amp;P44)+COUNTIF($P$2:P44,P44),"")</f>
        <v>30</v>
      </c>
    </row>
    <row r="45" spans="14:17" x14ac:dyDescent="0.35">
      <c r="N45">
        <v>112021</v>
      </c>
      <c r="O45" t="s">
        <v>388</v>
      </c>
      <c r="P45" s="16">
        <f>SUMIFS(tbl_BoMiljo[Merforbruk],tbl_BoMiljo[Status],"Bokført",tbl_BoMiljo[Kontokode],N45)</f>
        <v>-4987.1399999999994</v>
      </c>
      <c r="Q45" t="str">
        <f>IF(P45&gt;0,COUNTIF($P$2:$P$89,"&gt;"&amp;P45)+COUNTIF($P$2:P45,P45),"")</f>
        <v/>
      </c>
    </row>
    <row r="46" spans="14:17" x14ac:dyDescent="0.35">
      <c r="N46">
        <v>112022</v>
      </c>
      <c r="O46" t="s">
        <v>389</v>
      </c>
      <c r="P46" s="16">
        <f>SUMIFS(tbl_BoMiljo[Merforbruk],tbl_BoMiljo[Status],"Bokført",tbl_BoMiljo[Kontokode],N46)</f>
        <v>332.56999999999971</v>
      </c>
      <c r="Q46">
        <f>IF(P46&gt;0,COUNTIF($P$2:$P$89,"&gt;"&amp;P46)+COUNTIF($P$2:P46,P46),"")</f>
        <v>36</v>
      </c>
    </row>
    <row r="47" spans="14:17" x14ac:dyDescent="0.35">
      <c r="N47">
        <v>112024</v>
      </c>
      <c r="O47" t="s">
        <v>390</v>
      </c>
      <c r="P47" s="16">
        <f>SUMIFS(tbl_BoMiljo[Merforbruk],tbl_BoMiljo[Status],"Bokført",tbl_BoMiljo[Kontokode],N47)</f>
        <v>600</v>
      </c>
      <c r="Q47">
        <f>IF(P47&gt;0,COUNTIF($P$2:$P$89,"&gt;"&amp;P47)+COUNTIF($P$2:P47,P47),"")</f>
        <v>32</v>
      </c>
    </row>
    <row r="48" spans="14:17" x14ac:dyDescent="0.35">
      <c r="N48">
        <v>112025</v>
      </c>
      <c r="O48" t="s">
        <v>391</v>
      </c>
      <c r="P48" s="16">
        <f>SUMIFS(tbl_BoMiljo[Merforbruk],tbl_BoMiljo[Status],"Bokført",tbl_BoMiljo[Kontokode],N48)</f>
        <v>3486</v>
      </c>
      <c r="Q48">
        <f>IF(P48&gt;0,COUNTIF($P$2:$P$89,"&gt;"&amp;P48)+COUNTIF($P$2:P48,P48),"")</f>
        <v>25</v>
      </c>
    </row>
    <row r="49" spans="14:17" x14ac:dyDescent="0.35">
      <c r="N49">
        <v>112060</v>
      </c>
      <c r="O49" t="s">
        <v>392</v>
      </c>
      <c r="P49" s="16">
        <f>SUMIFS(tbl_BoMiljo[Merforbruk],tbl_BoMiljo[Status],"Bokført",tbl_BoMiljo[Kontokode],N49)</f>
        <v>-1360</v>
      </c>
      <c r="Q49" t="str">
        <f>IF(P49&gt;0,COUNTIF($P$2:$P$89,"&gt;"&amp;P49)+COUNTIF($P$2:P49,P49),"")</f>
        <v/>
      </c>
    </row>
    <row r="50" spans="14:17" x14ac:dyDescent="0.35">
      <c r="N50">
        <v>112090</v>
      </c>
      <c r="O50" t="s">
        <v>393</v>
      </c>
      <c r="P50" s="16">
        <f>SUMIFS(tbl_BoMiljo[Merforbruk],tbl_BoMiljo[Status],"Bokført",tbl_BoMiljo[Kontokode],N50)</f>
        <v>1171.7100000000014</v>
      </c>
      <c r="Q50">
        <f>IF(P50&gt;0,COUNTIF($P$2:$P$89,"&gt;"&amp;P50)+COUNTIF($P$2:P50,P50),"")</f>
        <v>29</v>
      </c>
    </row>
    <row r="51" spans="14:17" x14ac:dyDescent="0.35">
      <c r="N51">
        <v>112098</v>
      </c>
      <c r="O51" t="s">
        <v>394</v>
      </c>
      <c r="P51" s="16">
        <f>SUMIFS(tbl_BoMiljo[Merforbruk],tbl_BoMiljo[Status],"Bokført",tbl_BoMiljo[Kontokode],N51)</f>
        <v>-160447</v>
      </c>
      <c r="Q51" t="str">
        <f>IF(P51&gt;0,COUNTIF($P$2:$P$89,"&gt;"&amp;P51)+COUNTIF($P$2:P51,P51),"")</f>
        <v/>
      </c>
    </row>
    <row r="52" spans="14:17" x14ac:dyDescent="0.35">
      <c r="N52">
        <v>112099</v>
      </c>
      <c r="O52" t="s">
        <v>395</v>
      </c>
      <c r="P52" s="16">
        <f>SUMIFS(tbl_BoMiljo[Merforbruk],tbl_BoMiljo[Status],"Bokført",tbl_BoMiljo[Kontokode],N52)</f>
        <v>613</v>
      </c>
      <c r="Q52">
        <f>IF(P52&gt;0,COUNTIF($P$2:$P$89,"&gt;"&amp;P52)+COUNTIF($P$2:P52,P52),"")</f>
        <v>31</v>
      </c>
    </row>
    <row r="53" spans="14:17" x14ac:dyDescent="0.35">
      <c r="N53">
        <v>113000</v>
      </c>
      <c r="O53" t="s">
        <v>396</v>
      </c>
      <c r="P53" s="16">
        <f>SUMIFS(tbl_BoMiljo[Merforbruk],tbl_BoMiljo[Status],"Bokført",tbl_BoMiljo[Kontokode],N53)</f>
        <v>-4940.3300000000008</v>
      </c>
      <c r="Q53" t="str">
        <f>IF(P53&gt;0,COUNTIF($P$2:$P$89,"&gt;"&amp;P53)+COUNTIF($P$2:P53,P53),"")</f>
        <v/>
      </c>
    </row>
    <row r="54" spans="14:17" x14ac:dyDescent="0.35">
      <c r="N54">
        <v>113004</v>
      </c>
      <c r="O54" t="s">
        <v>397</v>
      </c>
      <c r="P54" s="16">
        <f>SUMIFS(tbl_BoMiljo[Merforbruk],tbl_BoMiljo[Status],"Bokført",tbl_BoMiljo[Kontokode],N54)</f>
        <v>295</v>
      </c>
      <c r="Q54">
        <f>IF(P54&gt;0,COUNTIF($P$2:$P$89,"&gt;"&amp;P54)+COUNTIF($P$2:P54,P54),"")</f>
        <v>37</v>
      </c>
    </row>
    <row r="55" spans="14:17" x14ac:dyDescent="0.35">
      <c r="N55">
        <v>114000</v>
      </c>
      <c r="O55" t="s">
        <v>398</v>
      </c>
      <c r="P55" s="16">
        <f>SUMIFS(tbl_BoMiljo[Merforbruk],tbl_BoMiljo[Status],"Bokført",tbl_BoMiljo[Kontokode],N55)</f>
        <v>-10087.5</v>
      </c>
      <c r="Q55" t="str">
        <f>IF(P55&gt;0,COUNTIF($P$2:$P$89,"&gt;"&amp;P55)+COUNTIF($P$2:P55,P55),"")</f>
        <v/>
      </c>
    </row>
    <row r="56" spans="14:17" x14ac:dyDescent="0.35">
      <c r="N56">
        <v>115000</v>
      </c>
      <c r="O56" t="s">
        <v>399</v>
      </c>
      <c r="P56" s="16">
        <f>SUMIFS(tbl_BoMiljo[Merforbruk],tbl_BoMiljo[Status],"Bokført",tbl_BoMiljo[Kontokode],N56)</f>
        <v>-34096.82</v>
      </c>
      <c r="Q56" t="str">
        <f>IF(P56&gt;0,COUNTIF($P$2:$P$89,"&gt;"&amp;P56)+COUNTIF($P$2:P56,P56),"")</f>
        <v/>
      </c>
    </row>
    <row r="57" spans="14:17" x14ac:dyDescent="0.35">
      <c r="N57">
        <v>116000</v>
      </c>
      <c r="O57" t="s">
        <v>400</v>
      </c>
      <c r="P57" s="16">
        <f>SUMIFS(tbl_BoMiljo[Merforbruk],tbl_BoMiljo[Status],"Bokført",tbl_BoMiljo[Kontokode],N57)</f>
        <v>-4790.75</v>
      </c>
      <c r="Q57" t="str">
        <f>IF(P57&gt;0,COUNTIF($P$2:$P$89,"&gt;"&amp;P57)+COUNTIF($P$2:P57,P57),"")</f>
        <v/>
      </c>
    </row>
    <row r="58" spans="14:17" x14ac:dyDescent="0.35">
      <c r="N58">
        <v>117000</v>
      </c>
      <c r="O58" t="s">
        <v>401</v>
      </c>
      <c r="P58" s="16">
        <f>SUMIFS(tbl_BoMiljo[Merforbruk],tbl_BoMiljo[Status],"Bokført",tbl_BoMiljo[Kontokode],N58)</f>
        <v>-21345.49</v>
      </c>
      <c r="Q58" t="str">
        <f>IF(P58&gt;0,COUNTIF($P$2:$P$89,"&gt;"&amp;P58)+COUNTIF($P$2:P58,P58),"")</f>
        <v/>
      </c>
    </row>
    <row r="59" spans="14:17" x14ac:dyDescent="0.35">
      <c r="N59">
        <v>117002</v>
      </c>
      <c r="O59" t="s">
        <v>402</v>
      </c>
      <c r="P59" s="16">
        <f>SUMIFS(tbl_BoMiljo[Merforbruk],tbl_BoMiljo[Status],"Bokført",tbl_BoMiljo[Kontokode],N59)</f>
        <v>400</v>
      </c>
      <c r="Q59">
        <f>IF(P59&gt;0,COUNTIF($P$2:$P$89,"&gt;"&amp;P59)+COUNTIF($P$2:P59,P59),"")</f>
        <v>34</v>
      </c>
    </row>
    <row r="60" spans="14:17" x14ac:dyDescent="0.35">
      <c r="N60">
        <v>117004</v>
      </c>
      <c r="O60" t="s">
        <v>403</v>
      </c>
      <c r="P60" s="16">
        <f>SUMIFS(tbl_BoMiljo[Merforbruk],tbl_BoMiljo[Status],"Bokført",tbl_BoMiljo[Kontokode],N60)</f>
        <v>0</v>
      </c>
      <c r="Q60" t="str">
        <f>IF(P60&gt;0,COUNTIF($P$2:$P$89,"&gt;"&amp;P60)+COUNTIF($P$2:P60,P60),"")</f>
        <v/>
      </c>
    </row>
    <row r="61" spans="14:17" x14ac:dyDescent="0.35">
      <c r="N61">
        <v>117030</v>
      </c>
      <c r="O61" t="s">
        <v>404</v>
      </c>
      <c r="P61" s="16">
        <f>SUMIFS(tbl_BoMiljo[Merforbruk],tbl_BoMiljo[Status],"Bokført",tbl_BoMiljo[Kontokode],N61)</f>
        <v>32685.72</v>
      </c>
      <c r="Q61">
        <f>IF(P61&gt;0,COUNTIF($P$2:$P$89,"&gt;"&amp;P61)+COUNTIF($P$2:P61,P61),"")</f>
        <v>12</v>
      </c>
    </row>
    <row r="62" spans="14:17" x14ac:dyDescent="0.35">
      <c r="N62">
        <v>117040</v>
      </c>
      <c r="O62" t="s">
        <v>405</v>
      </c>
      <c r="P62" s="16">
        <f>SUMIFS(tbl_BoMiljo[Merforbruk],tbl_BoMiljo[Status],"Bokført",tbl_BoMiljo[Kontokode],N62)</f>
        <v>0</v>
      </c>
      <c r="Q62" t="str">
        <f>IF(P62&gt;0,COUNTIF($P$2:$P$89,"&gt;"&amp;P62)+COUNTIF($P$2:P62,P62),"")</f>
        <v/>
      </c>
    </row>
    <row r="63" spans="14:17" x14ac:dyDescent="0.35">
      <c r="N63">
        <v>119520</v>
      </c>
      <c r="O63" t="s">
        <v>406</v>
      </c>
      <c r="P63" s="16">
        <f>SUMIFS(tbl_BoMiljo[Merforbruk],tbl_BoMiljo[Status],"Bokført",tbl_BoMiljo[Kontokode],N63)</f>
        <v>-6800</v>
      </c>
      <c r="Q63" t="str">
        <f>IF(P63&gt;0,COUNTIF($P$2:$P$89,"&gt;"&amp;P63)+COUNTIF($P$2:P63,P63),"")</f>
        <v/>
      </c>
    </row>
    <row r="64" spans="14:17" x14ac:dyDescent="0.35">
      <c r="N64">
        <v>119550</v>
      </c>
      <c r="O64" t="s">
        <v>407</v>
      </c>
      <c r="P64" s="16">
        <f>SUMIFS(tbl_BoMiljo[Merforbruk],tbl_BoMiljo[Status],"Bokført",tbl_BoMiljo[Kontokode],N64)</f>
        <v>161.94999999999999</v>
      </c>
      <c r="Q64">
        <f>IF(P64&gt;0,COUNTIF($P$2:$P$89,"&gt;"&amp;P64)+COUNTIF($P$2:P64,P64),"")</f>
        <v>38</v>
      </c>
    </row>
    <row r="65" spans="14:17" x14ac:dyDescent="0.35">
      <c r="N65">
        <v>119590</v>
      </c>
      <c r="O65" t="s">
        <v>408</v>
      </c>
      <c r="P65" s="16">
        <f>SUMIFS(tbl_BoMiljo[Merforbruk],tbl_BoMiljo[Status],"Bokført",tbl_BoMiljo[Kontokode],N65)</f>
        <v>0</v>
      </c>
      <c r="Q65" t="str">
        <f>IF(P65&gt;0,COUNTIF($P$2:$P$89,"&gt;"&amp;P65)+COUNTIF($P$2:P65,P65),"")</f>
        <v/>
      </c>
    </row>
    <row r="66" spans="14:17" x14ac:dyDescent="0.35">
      <c r="N66">
        <v>120000</v>
      </c>
      <c r="O66" t="s">
        <v>409</v>
      </c>
      <c r="P66" s="16">
        <f>SUMIFS(tbl_BoMiljo[Merforbruk],tbl_BoMiljo[Status],"Bokført",tbl_BoMiljo[Kontokode],N66)</f>
        <v>-32624</v>
      </c>
      <c r="Q66" t="str">
        <f>IF(P66&gt;0,COUNTIF($P$2:$P$89,"&gt;"&amp;P66)+COUNTIF($P$2:P66,P66),"")</f>
        <v/>
      </c>
    </row>
    <row r="67" spans="14:17" x14ac:dyDescent="0.35">
      <c r="N67">
        <v>120010</v>
      </c>
      <c r="O67" t="s">
        <v>410</v>
      </c>
      <c r="P67" s="16">
        <f>SUMIFS(tbl_BoMiljo[Merforbruk],tbl_BoMiljo[Status],"Bokført",tbl_BoMiljo[Kontokode],N67)</f>
        <v>5760.27</v>
      </c>
      <c r="Q67">
        <f>IF(P67&gt;0,COUNTIF($P$2:$P$89,"&gt;"&amp;P67)+COUNTIF($P$2:P67,P67),"")</f>
        <v>21</v>
      </c>
    </row>
    <row r="68" spans="14:17" x14ac:dyDescent="0.35">
      <c r="N68">
        <v>120015</v>
      </c>
      <c r="O68" t="s">
        <v>411</v>
      </c>
      <c r="P68" s="16">
        <f>SUMIFS(tbl_BoMiljo[Merforbruk],tbl_BoMiljo[Status],"Bokført",tbl_BoMiljo[Kontokode],N68)</f>
        <v>-4157.8</v>
      </c>
      <c r="Q68" t="str">
        <f>IF(P68&gt;0,COUNTIF($P$2:$P$89,"&gt;"&amp;P68)+COUNTIF($P$2:P68,P68),"")</f>
        <v/>
      </c>
    </row>
    <row r="69" spans="14:17" x14ac:dyDescent="0.35">
      <c r="N69">
        <v>120030</v>
      </c>
      <c r="O69" t="s">
        <v>412</v>
      </c>
      <c r="P69" s="16">
        <f>SUMIFS(tbl_BoMiljo[Merforbruk],tbl_BoMiljo[Status],"Bokført",tbl_BoMiljo[Kontokode],N69)</f>
        <v>0</v>
      </c>
      <c r="Q69" t="str">
        <f>IF(P69&gt;0,COUNTIF($P$2:$P$89,"&gt;"&amp;P69)+COUNTIF($P$2:P69,P69),"")</f>
        <v/>
      </c>
    </row>
    <row r="70" spans="14:17" x14ac:dyDescent="0.35">
      <c r="N70">
        <v>120045</v>
      </c>
      <c r="O70" t="s">
        <v>413</v>
      </c>
      <c r="P70" s="16">
        <f>SUMIFS(tbl_BoMiljo[Merforbruk],tbl_BoMiljo[Status],"Bokført",tbl_BoMiljo[Kontokode],N70)</f>
        <v>3314.4</v>
      </c>
      <c r="Q70">
        <f>IF(P70&gt;0,COUNTIF($P$2:$P$89,"&gt;"&amp;P70)+COUNTIF($P$2:P70,P70),"")</f>
        <v>26</v>
      </c>
    </row>
    <row r="71" spans="14:17" x14ac:dyDescent="0.35">
      <c r="N71">
        <v>120090</v>
      </c>
      <c r="O71" t="s">
        <v>414</v>
      </c>
      <c r="P71" s="16">
        <f>SUMIFS(tbl_BoMiljo[Merforbruk],tbl_BoMiljo[Status],"Bokført",tbl_BoMiljo[Kontokode],N71)</f>
        <v>0</v>
      </c>
      <c r="Q71" t="str">
        <f>IF(P71&gt;0,COUNTIF($P$2:$P$89,"&gt;"&amp;P71)+COUNTIF($P$2:P71,P71),"")</f>
        <v/>
      </c>
    </row>
    <row r="72" spans="14:17" x14ac:dyDescent="0.35">
      <c r="N72">
        <v>121010</v>
      </c>
      <c r="O72" t="s">
        <v>415</v>
      </c>
      <c r="P72" s="16">
        <f>SUMIFS(tbl_BoMiljo[Merforbruk],tbl_BoMiljo[Status],"Bokført",tbl_BoMiljo[Kontokode],N72)</f>
        <v>21655.120000000003</v>
      </c>
      <c r="Q72">
        <f>IF(P72&gt;0,COUNTIF($P$2:$P$89,"&gt;"&amp;P72)+COUNTIF($P$2:P72,P72),"")</f>
        <v>15</v>
      </c>
    </row>
    <row r="73" spans="14:17" x14ac:dyDescent="0.35">
      <c r="N73">
        <v>122000</v>
      </c>
      <c r="O73" t="s">
        <v>416</v>
      </c>
      <c r="P73" s="16">
        <f>SUMIFS(tbl_BoMiljo[Merforbruk],tbl_BoMiljo[Status],"Bokført",tbl_BoMiljo[Kontokode],N73)</f>
        <v>-5626</v>
      </c>
      <c r="Q73" t="str">
        <f>IF(P73&gt;0,COUNTIF($P$2:$P$89,"&gt;"&amp;P73)+COUNTIF($P$2:P73,P73),"")</f>
        <v/>
      </c>
    </row>
    <row r="74" spans="14:17" x14ac:dyDescent="0.35">
      <c r="N74">
        <v>123020</v>
      </c>
      <c r="O74" t="s">
        <v>417</v>
      </c>
      <c r="P74" s="16">
        <f>SUMIFS(tbl_BoMiljo[Merforbruk],tbl_BoMiljo[Status],"Bokført",tbl_BoMiljo[Kontokode],N74)</f>
        <v>0</v>
      </c>
      <c r="Q74" t="str">
        <f>IF(P74&gt;0,COUNTIF($P$2:$P$89,"&gt;"&amp;P74)+COUNTIF($P$2:P74,P74),"")</f>
        <v/>
      </c>
    </row>
    <row r="75" spans="14:17" x14ac:dyDescent="0.35">
      <c r="N75">
        <v>123022</v>
      </c>
      <c r="O75" t="s">
        <v>418</v>
      </c>
      <c r="P75" s="16">
        <f>SUMIFS(tbl_BoMiljo[Merforbruk],tbl_BoMiljo[Status],"Bokført",tbl_BoMiljo[Kontokode],N75)</f>
        <v>10902.57</v>
      </c>
      <c r="Q75">
        <f>IF(P75&gt;0,COUNTIF($P$2:$P$89,"&gt;"&amp;P75)+COUNTIF($P$2:P75,P75),"")</f>
        <v>18</v>
      </c>
    </row>
    <row r="76" spans="14:17" x14ac:dyDescent="0.35">
      <c r="N76">
        <v>124010</v>
      </c>
      <c r="O76" t="s">
        <v>419</v>
      </c>
      <c r="P76" s="16">
        <f>SUMIFS(tbl_BoMiljo[Merforbruk],tbl_BoMiljo[Status],"Bokført",tbl_BoMiljo[Kontokode],N76)</f>
        <v>5535.5</v>
      </c>
      <c r="Q76">
        <f>IF(P76&gt;0,COUNTIF($P$2:$P$89,"&gt;"&amp;P76)+COUNTIF($P$2:P76,P76),"")</f>
        <v>22</v>
      </c>
    </row>
    <row r="77" spans="14:17" x14ac:dyDescent="0.35">
      <c r="N77">
        <v>124023</v>
      </c>
      <c r="O77" t="s">
        <v>420</v>
      </c>
      <c r="P77" s="16">
        <f>SUMIFS(tbl_BoMiljo[Merforbruk],tbl_BoMiljo[Status],"Bokført",tbl_BoMiljo[Kontokode],N77)</f>
        <v>0</v>
      </c>
      <c r="Q77" t="str">
        <f>IF(P77&gt;0,COUNTIF($P$2:$P$89,"&gt;"&amp;P77)+COUNTIF($P$2:P77,P77),"")</f>
        <v/>
      </c>
    </row>
    <row r="78" spans="14:17" x14ac:dyDescent="0.35">
      <c r="N78">
        <v>125000</v>
      </c>
      <c r="O78" t="s">
        <v>421</v>
      </c>
      <c r="P78" s="16">
        <f>SUMIFS(tbl_BoMiljo[Merforbruk],tbl_BoMiljo[Status],"Bokført",tbl_BoMiljo[Kontokode],N78)</f>
        <v>0</v>
      </c>
      <c r="Q78" t="str">
        <f>IF(P78&gt;0,COUNTIF($P$2:$P$89,"&gt;"&amp;P78)+COUNTIF($P$2:P78,P78),"")</f>
        <v/>
      </c>
    </row>
    <row r="79" spans="14:17" x14ac:dyDescent="0.35">
      <c r="N79">
        <v>126000</v>
      </c>
      <c r="O79" t="s">
        <v>422</v>
      </c>
      <c r="P79" s="16">
        <f>SUMIFS(tbl_BoMiljo[Merforbruk],tbl_BoMiljo[Status],"Bokført",tbl_BoMiljo[Kontokode],N79)</f>
        <v>400</v>
      </c>
      <c r="Q79">
        <f>IF(P79&gt;0,COUNTIF($P$2:$P$89,"&gt;"&amp;P79)+COUNTIF($P$2:P79,P79),"")</f>
        <v>35</v>
      </c>
    </row>
    <row r="80" spans="14:17" x14ac:dyDescent="0.35">
      <c r="N80">
        <v>127040</v>
      </c>
      <c r="O80" t="s">
        <v>423</v>
      </c>
      <c r="P80" s="16">
        <f>SUMIFS(tbl_BoMiljo[Merforbruk],tbl_BoMiljo[Status],"Bokført",tbl_BoMiljo[Kontokode],N80)</f>
        <v>382656</v>
      </c>
      <c r="Q80">
        <f>IF(P80&gt;0,COUNTIF($P$2:$P$89,"&gt;"&amp;P80)+COUNTIF($P$2:P80,P80),"")</f>
        <v>1</v>
      </c>
    </row>
    <row r="81" spans="14:17" x14ac:dyDescent="0.35">
      <c r="N81">
        <v>127050</v>
      </c>
      <c r="O81" t="s">
        <v>424</v>
      </c>
      <c r="P81" s="16">
        <f>SUMIFS(tbl_BoMiljo[Merforbruk],tbl_BoMiljo[Status],"Bokført",tbl_BoMiljo[Kontokode],N81)</f>
        <v>0</v>
      </c>
      <c r="Q81" t="str">
        <f>IF(P81&gt;0,COUNTIF($P$2:$P$89,"&gt;"&amp;P81)+COUNTIF($P$2:P81,P81),"")</f>
        <v/>
      </c>
    </row>
    <row r="82" spans="14:17" x14ac:dyDescent="0.35">
      <c r="N82">
        <v>142900</v>
      </c>
      <c r="O82" t="s">
        <v>425</v>
      </c>
      <c r="P82" s="16">
        <f>SUMIFS(tbl_BoMiljo[Merforbruk],tbl_BoMiljo[Status],"Bokført",tbl_BoMiljo[Kontokode],N82)</f>
        <v>-58078.719999999994</v>
      </c>
      <c r="Q82" t="str">
        <f>IF(P82&gt;0,COUNTIF($P$2:$P$89,"&gt;"&amp;P82)+COUNTIF($P$2:P82,P82),"")</f>
        <v/>
      </c>
    </row>
    <row r="83" spans="14:17" x14ac:dyDescent="0.35">
      <c r="N83">
        <v>150010</v>
      </c>
      <c r="O83" t="s">
        <v>426</v>
      </c>
      <c r="P83" s="16">
        <f>SUMIFS(tbl_BoMiljo[Merforbruk],tbl_BoMiljo[Status],"Bokført",tbl_BoMiljo[Kontokode],N83)</f>
        <v>9.27</v>
      </c>
      <c r="Q83">
        <f>IF(P83&gt;0,COUNTIF($P$2:$P$89,"&gt;"&amp;P83)+COUNTIF($P$2:P83,P83),"")</f>
        <v>40</v>
      </c>
    </row>
    <row r="84" spans="14:17" x14ac:dyDescent="0.35">
      <c r="N84">
        <v>160000</v>
      </c>
      <c r="O84" t="s">
        <v>427</v>
      </c>
      <c r="P84" s="16">
        <f>SUMIFS(tbl_BoMiljo[Merforbruk],tbl_BoMiljo[Status],"Bokført",tbl_BoMiljo[Kontokode],N84)</f>
        <v>-112</v>
      </c>
      <c r="Q84" t="str">
        <f>IF(P84&gt;0,COUNTIF($P$2:$P$89,"&gt;"&amp;P84)+COUNTIF($P$2:P84,P84),"")</f>
        <v/>
      </c>
    </row>
    <row r="85" spans="14:17" x14ac:dyDescent="0.35">
      <c r="N85">
        <v>170080</v>
      </c>
      <c r="O85" t="s">
        <v>428</v>
      </c>
      <c r="P85" s="16">
        <f>SUMIFS(tbl_BoMiljo[Merforbruk],tbl_BoMiljo[Status],"Bokført",tbl_BoMiljo[Kontokode],N85)</f>
        <v>-7100</v>
      </c>
      <c r="Q85" t="str">
        <f>IF(P85&gt;0,COUNTIF($P$2:$P$89,"&gt;"&amp;P85)+COUNTIF($P$2:P85,P85),"")</f>
        <v/>
      </c>
    </row>
    <row r="86" spans="14:17" x14ac:dyDescent="0.35">
      <c r="N86">
        <v>171000</v>
      </c>
      <c r="O86" t="s">
        <v>429</v>
      </c>
      <c r="P86" s="16">
        <f>SUMIFS(tbl_BoMiljo[Merforbruk],tbl_BoMiljo[Status],"Bokført",tbl_BoMiljo[Kontokode],N86)</f>
        <v>-8201</v>
      </c>
      <c r="Q86" t="str">
        <f>IF(P86&gt;0,COUNTIF($P$2:$P$89,"&gt;"&amp;P86)+COUNTIF($P$2:P86,P86),"")</f>
        <v/>
      </c>
    </row>
    <row r="87" spans="14:17" x14ac:dyDescent="0.35">
      <c r="N87">
        <v>171005</v>
      </c>
      <c r="O87" t="s">
        <v>430</v>
      </c>
      <c r="P87" s="16">
        <f>SUMIFS(tbl_BoMiljo[Merforbruk],tbl_BoMiljo[Status],"Bokført",tbl_BoMiljo[Kontokode],N87)</f>
        <v>-8119</v>
      </c>
      <c r="Q87" t="str">
        <f>IF(P87&gt;0,COUNTIF($P$2:$P$89,"&gt;"&amp;P87)+COUNTIF($P$2:P87,P87),"")</f>
        <v/>
      </c>
    </row>
    <row r="88" spans="14:17" x14ac:dyDescent="0.35">
      <c r="N88">
        <v>172900</v>
      </c>
      <c r="O88" t="s">
        <v>431</v>
      </c>
      <c r="P88" s="16">
        <f>SUMIFS(tbl_BoMiljo[Merforbruk],tbl_BoMiljo[Status],"Bokført",tbl_BoMiljo[Kontokode],N88)</f>
        <v>58078.719999999994</v>
      </c>
      <c r="Q88">
        <f>IF(P88&gt;0,COUNTIF($P$2:$P$89,"&gt;"&amp;P88)+COUNTIF($P$2:P88,P88),"")</f>
        <v>11</v>
      </c>
    </row>
    <row r="89" spans="14:17" x14ac:dyDescent="0.35">
      <c r="N89">
        <v>177000</v>
      </c>
      <c r="O89" t="s">
        <v>432</v>
      </c>
      <c r="P89" s="16">
        <f>SUMIFS(tbl_BoMiljo[Merforbruk],tbl_BoMiljo[Status],"Bokført",tbl_BoMiljo[Kontokode],N89)</f>
        <v>-960</v>
      </c>
      <c r="Q89" t="str">
        <f>IF(P89&gt;0,COUNTIF($P$2:$P$89,"&gt;"&amp;P89)+COUNTIF($P$2:P89,P89),"")</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Workflow</vt:lpstr>
      <vt:lpstr>1 Nåsituasjon</vt:lpstr>
      <vt:lpstr>2 Prognose EOY</vt:lpstr>
      <vt:lpstr>3 AI tiltak og effekt</vt:lpstr>
      <vt:lpstr>4 Ny Prognose EOY</vt:lpstr>
      <vt:lpstr>5 Langsiktig effekt</vt:lpstr>
      <vt:lpstr>Styringsoversikt</vt:lpstr>
      <vt:lpstr>Pivot - måned</vt:lpstr>
      <vt:lpstr>Pivot - kontoplan</vt:lpstr>
      <vt:lpstr>Metode og kontroll</vt:lpstr>
      <vt:lpstr>Datamodell</vt:lpstr>
      <vt:lpstr>Rådata BoEnhet pr 2tertial</vt:lpstr>
      <vt:lpstr>Chart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M365 Copilot</dc:creator>
  <cp:lastModifiedBy>Frank Ellingsen</cp:lastModifiedBy>
  <dcterms:created xsi:type="dcterms:W3CDTF">2026-10-12T18:44:42Z</dcterms:created>
  <dcterms:modified xsi:type="dcterms:W3CDTF">2026-10-12T20:51:27Z</dcterms:modified>
</cp:coreProperties>
</file>