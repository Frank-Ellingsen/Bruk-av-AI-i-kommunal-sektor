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9.xml" ContentType="application/vnd.openxmlformats-officedocument.spreadsheetml.worksheet+xml"/>
  <Override PartName="/xl/pivotTables/pivotTable2.xml" ContentType="application/vnd.openxmlformats-officedocument.spreadsheetml.pivotTable+xml"/>
  <Override PartName="/xl/pivotTables/pivotTable3.xml" ContentType="application/vnd.openxmlformats-officedocument.spreadsheetml.pivot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6320" windowWidth="29040" windowHeight="15720" tabRatio="601" firstSheet="0" activeTab="0" autoFilterDateGrouping="1"/>
  </bookViews>
  <sheets>
    <sheet xmlns:r="http://schemas.openxmlformats.org/officeDocument/2006/relationships" name="Workflow" sheetId="1" state="visible" r:id="rId1"/>
    <sheet xmlns:r="http://schemas.openxmlformats.org/officeDocument/2006/relationships" name="1 Nåsituasjon" sheetId="2" state="visible" r:id="rId2"/>
    <sheet xmlns:r="http://schemas.openxmlformats.org/officeDocument/2006/relationships" name="2 Prognose EOY" sheetId="3" state="visible" r:id="rId3"/>
    <sheet xmlns:r="http://schemas.openxmlformats.org/officeDocument/2006/relationships" name="3 AI tiltak og effekt" sheetId="4" state="visible" r:id="rId4"/>
    <sheet xmlns:r="http://schemas.openxmlformats.org/officeDocument/2006/relationships" name="4 Ny Prognose EOY" sheetId="5" state="visible" r:id="rId5"/>
    <sheet xmlns:r="http://schemas.openxmlformats.org/officeDocument/2006/relationships" name="5 Langsiktig effekt" sheetId="6" state="visible" r:id="rId6"/>
    <sheet xmlns:r="http://schemas.openxmlformats.org/officeDocument/2006/relationships" name="Styringsoversikt" sheetId="7" state="visible" r:id="rId7"/>
    <sheet xmlns:r="http://schemas.openxmlformats.org/officeDocument/2006/relationships" name="Pivot - måned" sheetId="8" state="visible" r:id="rId8"/>
    <sheet xmlns:r="http://schemas.openxmlformats.org/officeDocument/2006/relationships" name="Pivot - kontoplan" sheetId="9" state="visible" r:id="rId9"/>
    <sheet xmlns:r="http://schemas.openxmlformats.org/officeDocument/2006/relationships" name="Metode og kontroll" sheetId="10" state="visible" r:id="rId10"/>
    <sheet xmlns:r="http://schemas.openxmlformats.org/officeDocument/2006/relationships" name="Datamodell" sheetId="11" state="visible" r:id="rId11"/>
    <sheet xmlns:r="http://schemas.openxmlformats.org/officeDocument/2006/relationships" name="Rådata BoEnhet pr 2tertial" sheetId="12" state="visible" r:id="rId12"/>
    <sheet xmlns:r="http://schemas.openxmlformats.org/officeDocument/2006/relationships" name="Chart Data" sheetId="13" state="hidden" r:id="rId13"/>
  </sheets>
  <definedNames>
    <definedName name="Slicer_Hovedgruppe">#N/A</definedName>
    <definedName name="Slicer_Undergruppe">#N/A</definedName>
  </definedNames>
  <calcPr calcId="191029" fullCalcOnLoad="1" forceFullCalc="1"/>
  <pivotCaches>
    <pivotCache xmlns:r="http://schemas.openxmlformats.org/officeDocument/2006/relationships" cacheId="8" r:id="rId14"/>
  </pivotCaches>
</workbook>
</file>

<file path=xl/styles.xml><?xml version="1.0" encoding="utf-8"?>
<styleSheet xmlns="http://schemas.openxmlformats.org/spreadsheetml/2006/main">
  <numFmts count="6">
    <numFmt numFmtId="164" formatCode="0.0%"/>
    <numFmt numFmtId="165" formatCode="#,##0;[Red]\(#,##0\);\-"/>
    <numFmt numFmtId="166" formatCode="#,##0;[Red]\(#,##0\);\–"/>
    <numFmt numFmtId="167" formatCode="#,##0;\(#,##0\);\–"/>
    <numFmt numFmtId="168" formatCode="0.00&quot;×&quot;"/>
    <numFmt numFmtId="169" formatCode="#,##0&quot; kr&quot;"/>
  </numFmts>
  <fonts count="46">
    <font>
      <name val="Calibri"/>
      <family val="2"/>
      <color theme="1"/>
      <sz val="11"/>
      <scheme val="minor"/>
    </font>
    <font>
      <name val="Calibri"/>
      <b val="1"/>
      <color rgb="FF667085"/>
      <sz val="11"/>
    </font>
    <font>
      <name val="Calibri"/>
      <b val="1"/>
      <color rgb="FF17365D"/>
      <sz val="15"/>
    </font>
    <font>
      <name val="Calibri"/>
      <b val="1"/>
      <color rgb="FFE52521"/>
      <sz val="15"/>
    </font>
    <font>
      <name val="Calibri"/>
      <b val="1"/>
      <color rgb="FF17365D"/>
      <sz val="11"/>
    </font>
    <font>
      <name val="Calibri"/>
      <b val="1"/>
      <color rgb="FFFFFFFF"/>
      <sz val="9"/>
    </font>
    <font>
      <name val="Calibri"/>
      <b val="1"/>
      <color rgb="FFFFFFFF"/>
      <sz val="12"/>
    </font>
    <font>
      <name val="Calibri"/>
      <b val="1"/>
      <color rgb="FF17365D"/>
      <sz val="18"/>
    </font>
    <font>
      <name val="Calibri"/>
      <b val="1"/>
      <color rgb="FFFFFFFF"/>
      <sz val="11"/>
    </font>
    <font>
      <name val="Calibri"/>
      <family val="2"/>
      <b val="1"/>
      <color theme="1"/>
      <sz val="11"/>
      <scheme val="minor"/>
    </font>
    <font>
      <name val="Calibri"/>
      <family val="2"/>
      <b val="1"/>
      <color rgb="FFFFFFFF"/>
      <sz val="17"/>
      <scheme val="minor"/>
    </font>
    <font>
      <name val="Calibri"/>
      <family val="2"/>
      <color rgb="FF486176"/>
      <sz val="11"/>
      <scheme val="minor"/>
    </font>
    <font>
      <name val="Calibri"/>
      <family val="2"/>
      <color rgb="FFFFFFFF"/>
      <sz val="11"/>
      <scheme val="minor"/>
    </font>
    <font>
      <name val="Calibri"/>
      <family val="2"/>
      <b val="1"/>
      <color rgb="FF19364B"/>
      <sz val="11"/>
      <scheme val="minor"/>
    </font>
    <font>
      <name val="Calibri"/>
      <family val="2"/>
      <b val="1"/>
      <color rgb="FFFFFFFF"/>
      <sz val="11"/>
      <scheme val="minor"/>
    </font>
    <font>
      <name val="Calibri"/>
      <family val="2"/>
      <color rgb="FF1455A0"/>
      <sz val="11"/>
      <scheme val="minor"/>
    </font>
    <font>
      <name val="Calibri"/>
      <family val="2"/>
      <color rgb="FF294859"/>
      <sz val="11"/>
      <scheme val="minor"/>
    </font>
    <font>
      <name val="Calibri"/>
      <family val="2"/>
      <b val="1"/>
      <color rgb="FF294859"/>
      <sz val="11"/>
      <scheme val="minor"/>
    </font>
    <font>
      <name val="Calibri"/>
      <family val="2"/>
      <b val="1"/>
      <color rgb="FFFFFFFF"/>
      <sz val="18"/>
      <scheme val="minor"/>
    </font>
    <font>
      <name val="Calibri"/>
      <family val="2"/>
      <b val="1"/>
      <color theme="1"/>
      <sz val="15"/>
      <scheme val="minor"/>
    </font>
    <font>
      <name val="Calibri"/>
      <family val="2"/>
      <color rgb="FF8C2424"/>
      <sz val="11"/>
      <scheme val="minor"/>
    </font>
    <font>
      <name val="Calibri"/>
      <b val="1"/>
      <color rgb="FF8C2424"/>
      <sz val="15"/>
    </font>
    <font>
      <name val="Calibri"/>
      <family val="2"/>
      <b val="1"/>
      <color rgb="FF28566D"/>
      <sz val="11"/>
      <scheme val="minor"/>
    </font>
    <font>
      <name val="Calibri"/>
      <family val="2"/>
      <b val="1"/>
      <color rgb="FF486176"/>
      <sz val="10"/>
      <scheme val="minor"/>
    </font>
    <font>
      <name val="Calibri"/>
      <family val="2"/>
      <b val="1"/>
      <color rgb="FF19364B"/>
      <sz val="18"/>
      <scheme val="minor"/>
    </font>
    <font>
      <name val="Calibri"/>
      <family val="2"/>
      <b val="1"/>
      <color rgb="FFA74630"/>
      <sz val="18"/>
      <scheme val="minor"/>
    </font>
    <font>
      <name val="Calibri"/>
      <family val="2"/>
      <color rgb="FFA74630"/>
      <sz val="11"/>
      <scheme val="minor"/>
    </font>
    <font>
      <name val="Calibri"/>
      <family val="2"/>
      <b val="1"/>
      <color rgb="FFFFFFFF"/>
      <sz val="13"/>
      <scheme val="minor"/>
    </font>
    <font>
      <name val="Calibri"/>
      <family val="2"/>
      <color rgb="FF14643C"/>
      <sz val="11"/>
      <scheme val="minor"/>
    </font>
    <font>
      <name val="Calibri"/>
      <family val="2"/>
      <b val="1"/>
      <color rgb="FFFFFFFF"/>
      <sz val="10"/>
      <scheme val="minor"/>
    </font>
    <font>
      <name val="Calibri"/>
      <b val="1"/>
      <color rgb="FFFFFFFF"/>
      <sz val="17"/>
    </font>
    <font>
      <name val="Calibri"/>
      <b val="1"/>
      <color rgb="FF486176"/>
      <sz val="11"/>
    </font>
    <font>
      <name val="Calibri"/>
      <b val="1"/>
      <color rgb="FF19364B"/>
      <sz val="15"/>
    </font>
    <font>
      <name val="Calibri"/>
      <b val="1"/>
      <color rgb="FF526A7B"/>
      <sz val="15"/>
    </font>
    <font>
      <name val="Calibri"/>
      <b val="1"/>
      <color rgb="FF087D91"/>
      <sz val="15"/>
    </font>
    <font>
      <name val="Calibri"/>
      <family val="2"/>
      <color rgb="FF19364B"/>
      <sz val="11"/>
      <scheme val="minor"/>
    </font>
    <font>
      <name val="Calibri"/>
      <family val="2"/>
      <color rgb="FF526A7B"/>
      <sz val="11"/>
      <scheme val="minor"/>
    </font>
    <font>
      <name val="Calibri"/>
      <family val="2"/>
      <b val="1"/>
      <color rgb="FF526A7B"/>
      <sz val="11"/>
      <scheme val="minor"/>
    </font>
    <font>
      <name val="Calibri"/>
      <family val="2"/>
      <color rgb="FF087D91"/>
      <sz val="11"/>
      <scheme val="minor"/>
    </font>
    <font>
      <name val="Calibri"/>
      <family val="2"/>
      <b val="1"/>
      <color rgb="FF087D91"/>
      <sz val="11"/>
      <scheme val="minor"/>
    </font>
    <font>
      <name val="Calibri"/>
      <family val="2"/>
      <color rgb="FF986148"/>
      <sz val="11"/>
      <scheme val="minor"/>
    </font>
    <font>
      <name val="Calibri"/>
      <family val="2"/>
      <b val="1"/>
      <color rgb="FF17365D"/>
      <sz val="11"/>
    </font>
    <font>
      <name val="Calibri"/>
      <family val="2"/>
      <b val="1"/>
      <color rgb="FF183B50"/>
      <sz val="11"/>
      <scheme val="minor"/>
    </font>
    <font>
      <name val="Calibri"/>
      <family val="2"/>
      <b val="1"/>
      <color rgb="FF183B50"/>
      <sz val="20"/>
      <scheme val="minor"/>
    </font>
    <font>
      <name val="Calibri"/>
      <family val="2"/>
      <color rgb="FF7C4D30"/>
      <sz val="11"/>
      <scheme val="minor"/>
    </font>
    <font>
      <name val="Aptos"/>
      <family val="2"/>
      <b val="1"/>
      <color rgb="FF424242"/>
      <sz val="11"/>
    </font>
  </fonts>
  <fills count="36">
    <fill>
      <patternFill/>
    </fill>
    <fill>
      <patternFill patternType="gray125"/>
    </fill>
    <fill>
      <patternFill patternType="solid">
        <fgColor rgb="FFEAF0F4"/>
      </patternFill>
    </fill>
    <fill>
      <patternFill patternType="solid">
        <fgColor rgb="FFE2F0D9"/>
      </patternFill>
    </fill>
    <fill>
      <patternFill patternType="solid">
        <fgColor rgb="FFFCE4D6"/>
      </patternFill>
    </fill>
    <fill>
      <patternFill patternType="solid">
        <fgColor rgb="FF19364B"/>
        <bgColor indexed="64"/>
      </patternFill>
    </fill>
    <fill>
      <patternFill patternType="solid">
        <fgColor rgb="FFE9F1F5"/>
        <bgColor indexed="64"/>
      </patternFill>
    </fill>
    <fill>
      <patternFill patternType="solid">
        <fgColor rgb="FFDCEAF6"/>
        <bgColor indexed="64"/>
      </patternFill>
    </fill>
    <fill>
      <patternFill patternType="solid">
        <fgColor rgb="FFE6F0F4"/>
        <bgColor indexed="64"/>
      </patternFill>
    </fill>
    <fill>
      <patternFill patternType="solid">
        <fgColor rgb="FFF0F5F7"/>
        <bgColor indexed="64"/>
      </patternFill>
    </fill>
    <fill>
      <patternFill patternType="solid">
        <fgColor rgb="FFFAF0E7"/>
        <bgColor indexed="64"/>
      </patternFill>
    </fill>
    <fill>
      <patternFill patternType="solid">
        <fgColor rgb="FFE2EFF1"/>
        <bgColor indexed="64"/>
      </patternFill>
    </fill>
    <fill>
      <patternFill patternType="solid">
        <fgColor rgb="FFDDF1E4"/>
        <bgColor indexed="64"/>
      </patternFill>
    </fill>
    <fill>
      <patternFill patternType="solid">
        <fgColor rgb="FFF8BFC0"/>
        <bgColor indexed="64"/>
      </patternFill>
    </fill>
    <fill>
      <patternFill patternType="solid">
        <fgColor rgb="FF526A7B"/>
        <bgColor indexed="64"/>
      </patternFill>
    </fill>
    <fill>
      <patternFill patternType="solid">
        <fgColor rgb="FF087D91"/>
        <bgColor indexed="64"/>
      </patternFill>
    </fill>
    <fill>
      <patternFill patternType="solid">
        <fgColor rgb="FFE6EDF1"/>
        <bgColor indexed="64"/>
      </patternFill>
    </fill>
    <fill>
      <patternFill patternType="solid">
        <fgColor rgb="FFDDF1F0"/>
        <bgColor indexed="64"/>
      </patternFill>
    </fill>
    <fill>
      <patternFill patternType="solid">
        <fgColor rgb="FFE7F5EE"/>
        <bgColor indexed="64"/>
      </patternFill>
    </fill>
    <fill>
      <patternFill patternType="solid">
        <fgColor rgb="FFF5E7D8"/>
        <bgColor indexed="64"/>
      </patternFill>
    </fill>
    <fill>
      <patternFill patternType="solid">
        <fgColor rgb="FF0F6B78"/>
        <bgColor indexed="64"/>
      </patternFill>
    </fill>
    <fill>
      <patternFill patternType="solid">
        <fgColor rgb="FF286D55"/>
        <bgColor indexed="64"/>
      </patternFill>
    </fill>
    <fill>
      <patternFill patternType="solid">
        <fgColor rgb="FF584974"/>
        <bgColor indexed="64"/>
      </patternFill>
    </fill>
    <fill>
      <patternFill patternType="solid">
        <fgColor rgb="FF885A38"/>
        <bgColor indexed="64"/>
      </patternFill>
    </fill>
    <fill>
      <patternFill patternType="solid">
        <fgColor theme="0"/>
        <bgColor indexed="64"/>
      </patternFill>
    </fill>
    <fill>
      <patternFill patternType="solid">
        <fgColor rgb="FF244A61"/>
        <bgColor indexed="64"/>
      </patternFill>
    </fill>
    <fill>
      <patternFill patternType="solid">
        <fgColor rgb="FFE8F2F4"/>
        <bgColor indexed="64"/>
      </patternFill>
    </fill>
    <fill>
      <patternFill patternType="solid">
        <fgColor rgb="FF183B50"/>
        <bgColor indexed="64"/>
      </patternFill>
    </fill>
    <fill>
      <patternFill patternType="solid">
        <fgColor rgb="FF28576B"/>
        <bgColor indexed="64"/>
      </patternFill>
    </fill>
    <fill>
      <patternFill patternType="solid">
        <fgColor rgb="FFF7EEE1"/>
        <bgColor indexed="64"/>
      </patternFill>
    </fill>
    <fill>
      <patternFill patternType="solid">
        <fgColor rgb="FFE6F2F2"/>
        <bgColor indexed="64"/>
      </patternFill>
    </fill>
    <fill>
      <patternFill patternType="solid">
        <fgColor rgb="FFECF4F5"/>
        <bgColor indexed="64"/>
      </patternFill>
    </fill>
    <fill>
      <patternFill patternType="solid">
        <fgColor rgb="FFDDE9ED"/>
        <bgColor indexed="64"/>
      </patternFill>
    </fill>
    <fill>
      <patternFill patternType="solid">
        <fgColor rgb="FFF2E8DF"/>
        <bgColor indexed="64"/>
      </patternFill>
    </fill>
    <fill>
      <patternFill patternType="solid">
        <fgColor rgb="FFEFF5F5"/>
        <bgColor indexed="64"/>
      </patternFill>
    </fill>
    <fill>
      <patternFill patternType="solid">
        <fgColor rgb="FFE0EAED"/>
        <bgColor indexed="64"/>
      </patternFill>
    </fill>
  </fills>
  <borders count="2">
    <border>
      <left/>
      <right/>
      <top/>
      <bottom/>
      <diagonal/>
    </border>
    <border>
      <left/>
      <right/>
      <top/>
      <bottom style="thin">
        <color rgb="FFD9E2F3"/>
      </bottom>
      <diagonal/>
    </border>
  </borders>
  <cellStyleXfs count="1">
    <xf numFmtId="0" fontId="0" fillId="0" borderId="0"/>
  </cellStyleXfs>
  <cellXfs count="173">
    <xf numFmtId="0" fontId="0" fillId="0" borderId="0" pivotButton="0" quotePrefix="0" xfId="0"/>
    <xf numFmtId="0" fontId="0" fillId="0" borderId="1" applyAlignment="1" pivotButton="0" quotePrefix="0" xfId="0">
      <alignment vertical="center" wrapText="1"/>
    </xf>
    <xf numFmtId="164" fontId="0" fillId="0" borderId="1" applyAlignment="1" pivotButton="0" quotePrefix="0" xfId="0">
      <alignment vertical="center" wrapText="1"/>
    </xf>
    <xf numFmtId="0" fontId="0" fillId="4" borderId="1" applyAlignment="1" pivotButton="0" quotePrefix="0" xfId="0">
      <alignment vertical="center" wrapText="1"/>
    </xf>
    <xf numFmtId="0" fontId="7" fillId="0" borderId="0" applyAlignment="1" pivotButton="0" quotePrefix="0" xfId="0">
      <alignment horizontal="center"/>
    </xf>
    <xf numFmtId="0" fontId="0" fillId="0" borderId="0" pivotButton="0" quotePrefix="0" xfId="0"/>
    <xf numFmtId="165" fontId="3" fillId="0" borderId="0" applyAlignment="1" pivotButton="0" quotePrefix="0" xfId="0">
      <alignment vertical="center"/>
    </xf>
    <xf numFmtId="0" fontId="1" fillId="2" borderId="0" pivotButton="0" quotePrefix="0" xfId="0"/>
    <xf numFmtId="0" fontId="4" fillId="4" borderId="0" applyAlignment="1" pivotButton="0" quotePrefix="0" xfId="0">
      <alignment vertical="center" wrapText="1"/>
    </xf>
    <xf numFmtId="0" fontId="4" fillId="3" borderId="0" applyAlignment="1" pivotButton="0" quotePrefix="0" xfId="0">
      <alignment vertical="center" wrapText="1"/>
    </xf>
    <xf numFmtId="0" fontId="7" fillId="0" borderId="0" applyAlignment="1" pivotButton="0" quotePrefix="0" xfId="0">
      <alignment horizontal="center"/>
    </xf>
    <xf numFmtId="0" fontId="0" fillId="0" borderId="0" pivotButton="1" quotePrefix="0" xfId="0"/>
    <xf numFmtId="0" fontId="9" fillId="0" borderId="0" pivotButton="0" quotePrefix="0" xfId="0"/>
    <xf numFmtId="0" fontId="10" fillId="5" borderId="0" pivotButton="0" quotePrefix="0" xfId="0"/>
    <xf numFmtId="0" fontId="0" fillId="5" borderId="0" pivotButton="0" quotePrefix="0" xfId="0"/>
    <xf numFmtId="0" fontId="11" fillId="0" borderId="0" pivotButton="0" quotePrefix="0" xfId="0"/>
    <xf numFmtId="166" fontId="0" fillId="0" borderId="0" pivotButton="0" quotePrefix="0" xfId="0"/>
    <xf numFmtId="0" fontId="0" fillId="0" borderId="0" applyAlignment="1" pivotButton="0" quotePrefix="0" xfId="0">
      <alignment wrapText="1"/>
    </xf>
    <xf numFmtId="0" fontId="11" fillId="0" borderId="0" applyAlignment="1" pivotButton="0" quotePrefix="0" xfId="0">
      <alignment wrapText="1"/>
    </xf>
    <xf numFmtId="164" fontId="0" fillId="0" borderId="0" pivotButton="0" quotePrefix="0" xfId="0"/>
    <xf numFmtId="0" fontId="12" fillId="5" borderId="0" pivotButton="0" quotePrefix="0" xfId="0"/>
    <xf numFmtId="0" fontId="0" fillId="6" borderId="0" pivotButton="0" quotePrefix="0" xfId="0"/>
    <xf numFmtId="0" fontId="13" fillId="6" borderId="0" pivotButton="0" quotePrefix="0" xfId="0"/>
    <xf numFmtId="0" fontId="16" fillId="0" borderId="0" pivotButton="0" quotePrefix="0" xfId="0"/>
    <xf numFmtId="0" fontId="16" fillId="0" borderId="0" pivotButton="0" quotePrefix="0" xfId="0"/>
    <xf numFmtId="9" fontId="16" fillId="7" borderId="0" pivotButton="0" quotePrefix="0" xfId="0"/>
    <xf numFmtId="0" fontId="16" fillId="8" borderId="0" pivotButton="0" quotePrefix="0" xfId="0"/>
    <xf numFmtId="0" fontId="17" fillId="8" borderId="0" pivotButton="0" quotePrefix="0" xfId="0"/>
    <xf numFmtId="166" fontId="0" fillId="0" borderId="0" pivotButton="0" quotePrefix="0" xfId="0"/>
    <xf numFmtId="0" fontId="15" fillId="7" borderId="0" pivotButton="0" quotePrefix="0" xfId="0"/>
    <xf numFmtId="0" fontId="9" fillId="9" borderId="0" pivotButton="0" quotePrefix="0" xfId="0"/>
    <xf numFmtId="0" fontId="0" fillId="9" borderId="0" pivotButton="0" quotePrefix="0" xfId="0"/>
    <xf numFmtId="0" fontId="9" fillId="10" borderId="0" pivotButton="0" quotePrefix="0" xfId="0"/>
    <xf numFmtId="0" fontId="0" fillId="10" borderId="0" pivotButton="0" quotePrefix="0" xfId="0"/>
    <xf numFmtId="0" fontId="9" fillId="11" borderId="0" pivotButton="0" quotePrefix="0" xfId="0"/>
    <xf numFmtId="0" fontId="0" fillId="11" borderId="0" pivotButton="0" quotePrefix="0" xfId="0"/>
    <xf numFmtId="0" fontId="14" fillId="5" borderId="0" pivotButton="0" quotePrefix="0" xfId="0"/>
    <xf numFmtId="0" fontId="22" fillId="0" borderId="0" pivotButton="0" quotePrefix="0" xfId="0"/>
    <xf numFmtId="0" fontId="23" fillId="6" borderId="0" pivotButton="0" quotePrefix="0" xfId="0"/>
    <xf numFmtId="164" fontId="24" fillId="6" borderId="0" pivotButton="0" quotePrefix="0" xfId="0"/>
    <xf numFmtId="0" fontId="26" fillId="0" borderId="0" pivotButton="0" quotePrefix="0" xfId="0"/>
    <xf numFmtId="0" fontId="27" fillId="5" borderId="0" pivotButton="0" quotePrefix="0" xfId="0"/>
    <xf numFmtId="0" fontId="29" fillId="14" borderId="0" pivotButton="0" quotePrefix="0" xfId="0"/>
    <xf numFmtId="0" fontId="12" fillId="14" borderId="0" pivotButton="0" quotePrefix="0" xfId="0"/>
    <xf numFmtId="166" fontId="12" fillId="14" borderId="0" pivotButton="0" quotePrefix="0" xfId="0"/>
    <xf numFmtId="0" fontId="29" fillId="15" borderId="0" pivotButton="0" quotePrefix="0" xfId="0"/>
    <xf numFmtId="0" fontId="12" fillId="15" borderId="0" pivotButton="0" quotePrefix="0" xfId="0"/>
    <xf numFmtId="166" fontId="12" fillId="15" borderId="0" pivotButton="0" quotePrefix="0" xfId="0"/>
    <xf numFmtId="0" fontId="0" fillId="5" borderId="0" pivotButton="0" quotePrefix="0" xfId="0"/>
    <xf numFmtId="0" fontId="30" fillId="5" borderId="0" applyAlignment="1" pivotButton="0" quotePrefix="0" xfId="0">
      <alignment vertical="center"/>
    </xf>
    <xf numFmtId="0" fontId="0" fillId="6" borderId="0" pivotButton="0" quotePrefix="0" xfId="0"/>
    <xf numFmtId="0" fontId="31" fillId="6" borderId="0" pivotButton="0" quotePrefix="0" xfId="0"/>
    <xf numFmtId="164" fontId="32" fillId="6" borderId="0" applyAlignment="1" pivotButton="0" quotePrefix="0" xfId="0">
      <alignment vertical="center"/>
    </xf>
    <xf numFmtId="165" fontId="32" fillId="6" borderId="0" applyAlignment="1" pivotButton="0" quotePrefix="0" xfId="0">
      <alignment vertical="center"/>
    </xf>
    <xf numFmtId="0" fontId="31" fillId="16" borderId="0" pivotButton="0" quotePrefix="0" xfId="0"/>
    <xf numFmtId="0" fontId="0" fillId="16" borderId="0" pivotButton="0" quotePrefix="0" xfId="0"/>
    <xf numFmtId="166" fontId="0" fillId="16" borderId="0" pivotButton="0" quotePrefix="0" xfId="0"/>
    <xf numFmtId="0" fontId="31" fillId="17" borderId="0" pivotButton="0" quotePrefix="0" xfId="0"/>
    <xf numFmtId="0" fontId="0" fillId="17" borderId="0" pivotButton="0" quotePrefix="0" xfId="0"/>
    <xf numFmtId="166" fontId="0" fillId="17" borderId="0" pivotButton="0" quotePrefix="0" xfId="0"/>
    <xf numFmtId="0" fontId="8" fillId="5" borderId="0" pivotButton="0" quotePrefix="0" xfId="0"/>
    <xf numFmtId="0" fontId="36" fillId="5" borderId="0" pivotButton="0" quotePrefix="0" xfId="0"/>
    <xf numFmtId="0" fontId="36" fillId="0" borderId="0" pivotButton="0" quotePrefix="0" xfId="0"/>
    <xf numFmtId="0" fontId="37" fillId="5" borderId="0" pivotButton="0" quotePrefix="0" xfId="0"/>
    <xf numFmtId="166" fontId="36" fillId="0" borderId="0" pivotButton="0" quotePrefix="0" xfId="0"/>
    <xf numFmtId="0" fontId="38" fillId="5" borderId="0" pivotButton="0" quotePrefix="0" xfId="0"/>
    <xf numFmtId="0" fontId="38" fillId="0" borderId="0" pivotButton="0" quotePrefix="0" xfId="0"/>
    <xf numFmtId="0" fontId="39" fillId="5" borderId="0" pivotButton="0" quotePrefix="0" xfId="0"/>
    <xf numFmtId="166" fontId="38" fillId="0" borderId="0" pivotButton="0" quotePrefix="0" xfId="0"/>
    <xf numFmtId="166" fontId="14" fillId="5" borderId="0" pivotButton="0" quotePrefix="0" xfId="0"/>
    <xf numFmtId="166" fontId="37" fillId="5" borderId="0" pivotButton="0" quotePrefix="0" xfId="0"/>
    <xf numFmtId="166" fontId="39" fillId="5" borderId="0" pivotButton="0" quotePrefix="0" xfId="0"/>
    <xf numFmtId="166" fontId="36" fillId="5" borderId="0" pivotButton="0" quotePrefix="0" xfId="0"/>
    <xf numFmtId="166" fontId="38" fillId="5" borderId="0" pivotButton="0" quotePrefix="0" xfId="0"/>
    <xf numFmtId="166" fontId="0" fillId="5" borderId="0" pivotButton="0" quotePrefix="0" xfId="0"/>
    <xf numFmtId="0" fontId="9" fillId="6" borderId="0" pivotButton="0" quotePrefix="0" xfId="0"/>
    <xf numFmtId="0" fontId="5" fillId="5" borderId="0" applyAlignment="1" pivotButton="0" quotePrefix="0" xfId="0">
      <alignment horizontal="center" wrapText="1"/>
    </xf>
    <xf numFmtId="0" fontId="31" fillId="13" borderId="0" pivotButton="0" quotePrefix="0" xfId="0"/>
    <xf numFmtId="0" fontId="0" fillId="13" borderId="0" pivotButton="0" quotePrefix="0" xfId="0"/>
    <xf numFmtId="164" fontId="21" fillId="13" borderId="0" applyAlignment="1" pivotButton="0" quotePrefix="0" xfId="0">
      <alignment vertical="center"/>
    </xf>
    <xf numFmtId="0" fontId="1" fillId="13" borderId="0" pivotButton="0" quotePrefix="0" xfId="0"/>
    <xf numFmtId="0" fontId="31" fillId="19" borderId="0" pivotButton="0" quotePrefix="0" xfId="0"/>
    <xf numFmtId="0" fontId="0" fillId="19" borderId="0" pivotButton="0" quotePrefix="0" xfId="0"/>
    <xf numFmtId="0" fontId="6" fillId="20" borderId="0" applyAlignment="1" pivotButton="0" quotePrefix="0" xfId="0">
      <alignment horizontal="center" vertical="center" wrapText="1"/>
    </xf>
    <xf numFmtId="0" fontId="0" fillId="20" borderId="0" pivotButton="0" quotePrefix="0" xfId="0"/>
    <xf numFmtId="0" fontId="6" fillId="21" borderId="0" applyAlignment="1" pivotButton="0" quotePrefix="0" xfId="0">
      <alignment horizontal="center" vertical="center" wrapText="1"/>
    </xf>
    <xf numFmtId="0" fontId="0" fillId="21" borderId="0" pivotButton="0" quotePrefix="0" xfId="0"/>
    <xf numFmtId="0" fontId="6" fillId="22" borderId="0" applyAlignment="1" pivotButton="0" quotePrefix="0" xfId="0">
      <alignment horizontal="center" vertical="center" wrapText="1"/>
    </xf>
    <xf numFmtId="0" fontId="0" fillId="22" borderId="0" pivotButton="0" quotePrefix="0" xfId="0"/>
    <xf numFmtId="0" fontId="16" fillId="2" borderId="0" applyAlignment="1" pivotButton="0" quotePrefix="0" xfId="0">
      <alignment vertical="center" wrapText="1"/>
    </xf>
    <xf numFmtId="0" fontId="5" fillId="20" borderId="0" applyAlignment="1" pivotButton="0" quotePrefix="0" xfId="0">
      <alignment vertical="top" wrapText="1"/>
    </xf>
    <xf numFmtId="0" fontId="5" fillId="5" borderId="0" applyAlignment="1" pivotButton="0" quotePrefix="0" xfId="0">
      <alignment vertical="top" wrapText="1"/>
    </xf>
    <xf numFmtId="0" fontId="5" fillId="22" borderId="0" applyAlignment="1" pivotButton="0" quotePrefix="0" xfId="0">
      <alignment vertical="top" wrapText="1"/>
    </xf>
    <xf numFmtId="0" fontId="5" fillId="23" borderId="0" applyAlignment="1" pivotButton="0" quotePrefix="0" xfId="0">
      <alignment vertical="top" wrapText="1"/>
    </xf>
    <xf numFmtId="0" fontId="0" fillId="23" borderId="0" pivotButton="0" quotePrefix="0" xfId="0"/>
    <xf numFmtId="0" fontId="5" fillId="21" borderId="0" applyAlignment="1" pivotButton="0" quotePrefix="0" xfId="0">
      <alignment vertical="top" wrapText="1"/>
    </xf>
    <xf numFmtId="0" fontId="14" fillId="5" borderId="0" applyAlignment="1" pivotButton="0" quotePrefix="0" xfId="0">
      <alignment wrapText="1"/>
    </xf>
    <xf numFmtId="166" fontId="12" fillId="5" borderId="0" pivotButton="0" quotePrefix="0" xfId="0"/>
    <xf numFmtId="167" fontId="0" fillId="0" borderId="0" pivotButton="0" quotePrefix="0" xfId="0"/>
    <xf numFmtId="167" fontId="36" fillId="0" borderId="0" pivotButton="0" quotePrefix="0" xfId="0"/>
    <xf numFmtId="167" fontId="38" fillId="0" borderId="0" pivotButton="0" quotePrefix="0" xfId="0"/>
    <xf numFmtId="167" fontId="37" fillId="6" borderId="0" pivotButton="0" quotePrefix="0" xfId="0"/>
    <xf numFmtId="167" fontId="39" fillId="6" borderId="0" pivotButton="0" quotePrefix="0" xfId="0"/>
    <xf numFmtId="167" fontId="13" fillId="6" borderId="0" pivotButton="0" quotePrefix="0" xfId="0"/>
    <xf numFmtId="167" fontId="36" fillId="0" borderId="1" applyAlignment="1" pivotButton="0" quotePrefix="0" xfId="0">
      <alignment vertical="center" wrapText="1"/>
    </xf>
    <xf numFmtId="167" fontId="35" fillId="0" borderId="1" applyAlignment="1" pivotButton="0" quotePrefix="0" xfId="0">
      <alignment vertical="center" wrapText="1"/>
    </xf>
    <xf numFmtId="167" fontId="0" fillId="0" borderId="1" applyAlignment="1" pivotButton="0" quotePrefix="0" xfId="0">
      <alignment vertical="center" wrapText="1"/>
    </xf>
    <xf numFmtId="167" fontId="28" fillId="18" borderId="0" pivotButton="0" quotePrefix="0" xfId="0"/>
    <xf numFmtId="167" fontId="0" fillId="12" borderId="0" pivotButton="0" quotePrefix="0" xfId="0"/>
    <xf numFmtId="167" fontId="33" fillId="16" borderId="0" applyAlignment="1" pivotButton="0" quotePrefix="0" xfId="0">
      <alignment vertical="center"/>
    </xf>
    <xf numFmtId="167" fontId="34" fillId="17" borderId="0" applyAlignment="1" pivotButton="0" quotePrefix="0" xfId="0">
      <alignment vertical="center"/>
    </xf>
    <xf numFmtId="167" fontId="21" fillId="13" borderId="0" applyAlignment="1" pivotButton="0" quotePrefix="0" xfId="0">
      <alignment vertical="center"/>
    </xf>
    <xf numFmtId="167" fontId="2" fillId="0" borderId="0" applyAlignment="1" pivotButton="0" quotePrefix="0" xfId="0">
      <alignment vertical="center"/>
    </xf>
    <xf numFmtId="167" fontId="32" fillId="6" borderId="0" applyAlignment="1" pivotButton="0" quotePrefix="0" xfId="0">
      <alignment vertical="center"/>
    </xf>
    <xf numFmtId="167" fontId="32" fillId="19" borderId="0" applyAlignment="1" pivotButton="0" quotePrefix="0" xfId="0">
      <alignment vertical="center"/>
    </xf>
    <xf numFmtId="167" fontId="20" fillId="13" borderId="0" pivotButton="0" quotePrefix="0" xfId="0"/>
    <xf numFmtId="167" fontId="19" fillId="9" borderId="0" pivotButton="0" quotePrefix="0" xfId="0"/>
    <xf numFmtId="167" fontId="19" fillId="10" borderId="0" pivotButton="0" quotePrefix="0" xfId="0"/>
    <xf numFmtId="167" fontId="19" fillId="11" borderId="0" pivotButton="0" quotePrefix="0" xfId="0"/>
    <xf numFmtId="167" fontId="40" fillId="0" borderId="0" pivotButton="0" quotePrefix="0" xfId="0"/>
    <xf numFmtId="167" fontId="18" fillId="14" borderId="0" pivotButton="0" quotePrefix="0" xfId="0"/>
    <xf numFmtId="167" fontId="18" fillId="15" borderId="0" pivotButton="0" quotePrefix="0" xfId="0"/>
    <xf numFmtId="167" fontId="25" fillId="6" borderId="0" pivotButton="0" quotePrefix="0" xfId="0"/>
    <xf numFmtId="0" fontId="0" fillId="24" borderId="0" pivotButton="0" quotePrefix="0" xfId="0"/>
    <xf numFmtId="0" fontId="41" fillId="2" borderId="0" applyAlignment="1" pivotButton="0" quotePrefix="0" xfId="0">
      <alignment vertical="center" wrapText="1"/>
    </xf>
    <xf numFmtId="0" fontId="0" fillId="25" borderId="0" pivotButton="0" quotePrefix="0" xfId="0"/>
    <xf numFmtId="0" fontId="14" fillId="25" borderId="0" pivotButton="0" quotePrefix="0" xfId="0"/>
    <xf numFmtId="0" fontId="9" fillId="26" borderId="0" pivotButton="0" quotePrefix="0" xfId="0"/>
    <xf numFmtId="166" fontId="9" fillId="26" borderId="0" pivotButton="0" quotePrefix="0" xfId="0"/>
    <xf numFmtId="0" fontId="0" fillId="0" borderId="0" applyAlignment="1" pivotButton="0" quotePrefix="0" xfId="0">
      <alignment wrapText="1"/>
    </xf>
    <xf numFmtId="0" fontId="0" fillId="0" borderId="0" applyAlignment="1" pivotButton="0" quotePrefix="0" xfId="0">
      <alignment wrapText="1"/>
    </xf>
    <xf numFmtId="168" fontId="0" fillId="0" borderId="0" pivotButton="0" quotePrefix="0" xfId="0"/>
    <xf numFmtId="0" fontId="0" fillId="27" borderId="0" pivotButton="0" quotePrefix="0" xfId="0"/>
    <xf numFmtId="0" fontId="14" fillId="27" borderId="0" pivotButton="0" quotePrefix="0" xfId="0"/>
    <xf numFmtId="0" fontId="27" fillId="27" borderId="0" pivotButton="0" quotePrefix="0" xfId="0"/>
    <xf numFmtId="0" fontId="14" fillId="28" borderId="0" pivotButton="0" quotePrefix="0" xfId="0"/>
    <xf numFmtId="0" fontId="0" fillId="29" borderId="0" pivotButton="0" quotePrefix="0" xfId="0"/>
    <xf numFmtId="0" fontId="0" fillId="30" borderId="0" pivotButton="0" quotePrefix="0" xfId="0"/>
    <xf numFmtId="166" fontId="0" fillId="29" borderId="0" pivotButton="0" quotePrefix="0" xfId="0"/>
    <xf numFmtId="166" fontId="0" fillId="30" borderId="0" pivotButton="0" quotePrefix="0" xfId="0"/>
    <xf numFmtId="0" fontId="42" fillId="30" borderId="0" pivotButton="0" quotePrefix="0" xfId="0"/>
    <xf numFmtId="0" fontId="0" fillId="29" borderId="0" pivotButton="0" quotePrefix="0" xfId="0"/>
    <xf numFmtId="164" fontId="43" fillId="29" borderId="0" pivotButton="0" quotePrefix="0" xfId="0"/>
    <xf numFmtId="0" fontId="0" fillId="30" borderId="0" pivotButton="0" quotePrefix="0" xfId="0"/>
    <xf numFmtId="164" fontId="43" fillId="30" borderId="0" pivotButton="0" quotePrefix="0" xfId="0"/>
    <xf numFmtId="0" fontId="9" fillId="29" borderId="0" pivotButton="0" quotePrefix="0" xfId="0"/>
    <xf numFmtId="0" fontId="9" fillId="30" borderId="0" pivotButton="0" quotePrefix="0" xfId="0"/>
    <xf numFmtId="0" fontId="44" fillId="0" borderId="0" pivotButton="0" quotePrefix="0" xfId="0"/>
    <xf numFmtId="0" fontId="0" fillId="31" borderId="0" pivotButton="0" quotePrefix="0" xfId="0"/>
    <xf numFmtId="0" fontId="0" fillId="32" borderId="0" pivotButton="0" quotePrefix="0" xfId="0"/>
    <xf numFmtId="166" fontId="0" fillId="32" borderId="0" pivotButton="0" quotePrefix="0" xfId="0"/>
    <xf numFmtId="166" fontId="0" fillId="31" borderId="0" pivotButton="0" quotePrefix="0" xfId="0"/>
    <xf numFmtId="166" fontId="0" fillId="33" borderId="0" pivotButton="0" quotePrefix="0" xfId="0"/>
    <xf numFmtId="0" fontId="0" fillId="34" borderId="0" pivotButton="0" quotePrefix="0" xfId="0"/>
    <xf numFmtId="166" fontId="0" fillId="34" borderId="0" pivotButton="0" quotePrefix="0" xfId="0"/>
    <xf numFmtId="0" fontId="0" fillId="35" borderId="0" pivotButton="0" quotePrefix="0" xfId="0"/>
    <xf numFmtId="166" fontId="0" fillId="35" borderId="0" pivotButton="0" quotePrefix="0" xfId="0"/>
    <xf numFmtId="169" fontId="0" fillId="0" borderId="0" pivotButton="0" quotePrefix="0" xfId="0"/>
    <xf numFmtId="169" fontId="0" fillId="29" borderId="0" pivotButton="0" quotePrefix="0" xfId="0"/>
    <xf numFmtId="169" fontId="0" fillId="30" borderId="0" pivotButton="0" quotePrefix="0" xfId="0"/>
    <xf numFmtId="164" fontId="24" fillId="6" borderId="0" pivotButton="0" quotePrefix="0" xfId="0"/>
    <xf numFmtId="164" fontId="21" fillId="13" borderId="0" applyAlignment="1" pivotButton="0" quotePrefix="0" xfId="0">
      <alignment vertical="center"/>
    </xf>
    <xf numFmtId="165" fontId="3" fillId="0" borderId="0" applyAlignment="1" pivotButton="0" quotePrefix="0" xfId="0">
      <alignment vertical="center"/>
    </xf>
    <xf numFmtId="164" fontId="0" fillId="0" borderId="1" applyAlignment="1" pivotButton="0" quotePrefix="0" xfId="0">
      <alignment vertical="center" wrapText="1"/>
    </xf>
    <xf numFmtId="164" fontId="32" fillId="6" borderId="0" applyAlignment="1" pivotButton="0" quotePrefix="0" xfId="0">
      <alignment vertical="center"/>
    </xf>
    <xf numFmtId="164" fontId="0" fillId="0" borderId="0" pivotButton="0" quotePrefix="0" xfId="0"/>
    <xf numFmtId="169" fontId="0" fillId="0" borderId="0" pivotButton="0" quotePrefix="0" xfId="0"/>
    <xf numFmtId="164" fontId="43" fillId="29" borderId="0" pivotButton="0" quotePrefix="0" xfId="0"/>
    <xf numFmtId="164" fontId="43" fillId="30" borderId="0" pivotButton="0" quotePrefix="0" xfId="0"/>
    <xf numFmtId="169" fontId="0" fillId="29" borderId="0" pivotButton="0" quotePrefix="0" xfId="0"/>
    <xf numFmtId="169" fontId="0" fillId="30" borderId="0" pivotButton="0" quotePrefix="0" xfId="0"/>
    <xf numFmtId="165" fontId="32" fillId="6" borderId="0" applyAlignment="1" pivotButton="0" quotePrefix="0" xfId="0">
      <alignment vertical="center"/>
    </xf>
    <xf numFmtId="168" fontId="0" fillId="0" borderId="0" pivotButton="0" quotePrefix="0" xfId="0"/>
  </cellXfs>
  <cellStyles count="1">
    <cellStyle name="Normal" xfId="0" builtinId="0"/>
  </cellStyles>
  <dxfs count="112">
    <dxf>
      <font>
        <color rgb="FF14643C"/>
      </font>
      <fill>
        <patternFill patternType="solid">
          <fgColor indexed="64"/>
          <bgColor rgb="FFDDF1E4"/>
        </patternFill>
      </fill>
    </dxf>
    <dxf>
      <font>
        <color rgb="FF8C2424"/>
      </font>
      <fill>
        <patternFill patternType="solid">
          <fgColor indexed="64"/>
          <bgColor rgb="FFF8BFC0"/>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42566A"/>
      </font>
      <fill>
        <patternFill patternType="solid">
          <fgColor indexed="64"/>
          <bgColor rgb="FFE8EDF0"/>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8C2424"/>
      </font>
      <fill>
        <patternFill patternType="solid">
          <fgColor indexed="64"/>
          <bgColor rgb="FFF8BFC0"/>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8C2424"/>
      </font>
      <fill>
        <patternFill patternType="solid">
          <fgColor indexed="64"/>
          <bgColor rgb="FFF8BFC0"/>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735200"/>
      </font>
      <fill>
        <patternFill patternType="solid">
          <fgColor indexed="64"/>
          <bgColor rgb="FFFFF0C2"/>
        </patternFill>
      </fill>
    </dxf>
    <dxf>
      <font>
        <color rgb="FF8C2424"/>
      </font>
      <fill>
        <patternFill patternType="solid">
          <fgColor indexed="64"/>
          <bgColor rgb="FFF8DAD7"/>
        </patternFill>
      </fill>
    </dxf>
    <dxf>
      <font>
        <color rgb="FF8C2424"/>
      </font>
      <fill>
        <patternFill patternType="solid">
          <fgColor indexed="64"/>
          <bgColor rgb="FFF8DAD7"/>
        </patternFill>
      </fill>
    </dxf>
    <dxf>
      <font>
        <color rgb="FF14643C"/>
      </font>
      <fill>
        <patternFill patternType="solid">
          <fgColor indexed="64"/>
          <bgColor rgb="FFDDF1E4"/>
        </patternFill>
      </fill>
    </dxf>
    <dxf>
      <font>
        <color rgb="FF8C2424"/>
      </font>
      <fill>
        <patternFill patternType="solid">
          <fgColor indexed="64"/>
          <bgColor rgb="FFF8BFC0"/>
        </patternFill>
      </fill>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font>
        <color rgb="FF087D91"/>
      </font>
    </dxf>
    <dxf>
      <font>
        <color rgb="FF087D91"/>
      </font>
    </dxf>
    <dxf>
      <font>
        <color rgb="FF087D91"/>
      </font>
    </dxf>
    <dxf>
      <font>
        <color rgb="FF087D91"/>
      </font>
    </dxf>
    <dxf>
      <font>
        <color rgb="FF526A7B"/>
      </font>
    </dxf>
    <dxf>
      <font>
        <color rgb="FF526A7B"/>
      </font>
    </dxf>
    <dxf>
      <font>
        <color rgb="FF526A7B"/>
      </font>
    </dxf>
    <dxf>
      <font>
        <color rgb="FF526A7B"/>
      </font>
    </dxf>
    <dxf>
      <font>
        <color rgb="FF526A7B"/>
      </font>
    </dxf>
    <dxf>
      <font>
        <color rgb="FF526A7B"/>
      </font>
    </dxf>
    <dxf>
      <font>
        <b val="1"/>
      </font>
    </dxf>
    <dxf>
      <font>
        <b val="1"/>
      </font>
    </dxf>
    <dxf>
      <font>
        <color rgb="FF19364B"/>
      </font>
    </dxf>
    <dxf>
      <font>
        <color rgb="FF19364B"/>
      </font>
    </dxf>
    <dxf>
      <fill>
        <patternFill patternType="solid">
          <fgColor indexed="64"/>
          <bgColor rgb="FFE9F1F5"/>
        </patternFill>
      </fill>
    </dxf>
    <dxf>
      <fill>
        <patternFill patternType="solid">
          <fgColor indexed="64"/>
          <bgColor rgb="FFE9F1F5"/>
        </patternFill>
      </fill>
    </dxf>
    <dxf>
      <font>
        <b val="1"/>
      </font>
    </dxf>
    <dxf>
      <font>
        <b val="1"/>
      </font>
    </dxf>
    <dxf>
      <font>
        <color rgb="FF19364B"/>
      </font>
    </dxf>
    <dxf>
      <font>
        <color rgb="FF19364B"/>
      </font>
    </dxf>
    <dxf>
      <fill>
        <patternFill patternType="solid">
          <fgColor indexed="64"/>
          <bgColor rgb="FFE9F1F5"/>
        </patternFill>
      </fill>
    </dxf>
    <dxf>
      <fill>
        <patternFill patternType="solid">
          <fgColor indexed="64"/>
          <bgColor rgb="FFE9F1F5"/>
        </patternFill>
      </fill>
    </dxf>
    <dxf>
      <font>
        <b val="1"/>
      </font>
    </dxf>
    <dxf>
      <font>
        <b val="1"/>
      </font>
    </dxf>
    <dxf>
      <font>
        <color rgb="FFFFFFFF"/>
      </font>
    </dxf>
    <dxf>
      <font>
        <color rgb="FFFFFFFF"/>
      </font>
    </dxf>
    <dxf>
      <fill>
        <patternFill patternType="solid">
          <fgColor indexed="64"/>
          <bgColor rgb="FF19364B"/>
        </patternFill>
      </fill>
    </dxf>
    <dxf>
      <fill>
        <patternFill patternType="solid">
          <fgColor indexed="64"/>
          <bgColor rgb="FF19364B"/>
        </patternFill>
      </fill>
    </dxf>
    <dxf>
      <font>
        <b val="1"/>
      </font>
    </dxf>
    <dxf>
      <font>
        <b val="1"/>
      </font>
    </dxf>
    <dxf>
      <font>
        <color rgb="FFFFFFFF"/>
      </font>
    </dxf>
    <dxf>
      <font>
        <color rgb="FFFFFFFF"/>
      </font>
    </dxf>
    <dxf>
      <fill>
        <patternFill patternType="solid">
          <fgColor indexed="64"/>
          <bgColor rgb="FF19364B"/>
        </patternFill>
      </fill>
    </dxf>
    <dxf>
      <fill>
        <patternFill patternType="solid">
          <fgColor indexed="64"/>
          <bgColor rgb="FF19364B"/>
        </patternFill>
      </fill>
    </dxf>
    <dxf>
      <font>
        <color rgb="FF087D91"/>
      </font>
    </dxf>
    <dxf>
      <font>
        <color rgb="FF087D91"/>
      </font>
    </dxf>
    <dxf>
      <font>
        <color rgb="FF526A7B"/>
      </font>
    </dxf>
    <dxf>
      <font>
        <color rgb="FF526A7B"/>
      </font>
    </dxf>
    <dxf>
      <font>
        <color rgb="FF526A7B"/>
      </font>
    </dxf>
    <dxf>
      <font>
        <b val="1"/>
      </font>
    </dxf>
    <dxf>
      <font>
        <b val="1"/>
      </font>
    </dxf>
    <dxf>
      <font>
        <color rgb="FF19364B"/>
      </font>
    </dxf>
    <dxf>
      <font>
        <color rgb="FF19364B"/>
      </font>
    </dxf>
    <dxf>
      <fill>
        <patternFill patternType="solid">
          <fgColor indexed="64"/>
          <bgColor rgb="FFE9F1F5"/>
        </patternFill>
      </fill>
    </dxf>
    <dxf>
      <fill>
        <patternFill patternType="solid">
          <fgColor indexed="64"/>
          <bgColor rgb="FFE9F1F5"/>
        </patternFill>
      </fill>
    </dxf>
    <dxf>
      <font>
        <b val="1"/>
      </font>
    </dxf>
    <dxf>
      <font>
        <b val="1"/>
      </font>
    </dxf>
    <dxf>
      <font>
        <color rgb="FFFFFFFF"/>
      </font>
    </dxf>
    <dxf>
      <font>
        <color rgb="FFFFFFFF"/>
      </font>
    </dxf>
    <dxf>
      <fill>
        <patternFill patternType="solid">
          <fgColor indexed="64"/>
          <bgColor rgb="FF19364B"/>
        </patternFill>
      </fill>
    </dxf>
    <dxf>
      <fill>
        <patternFill patternType="solid">
          <fgColor indexed="64"/>
          <bgColor rgb="FF19364B"/>
        </patternFill>
      </fill>
    </dxf>
    <dxf>
      <font>
        <b val="1"/>
        <color rgb="FFFFFFFF"/>
      </font>
      <fill>
        <patternFill patternType="solid">
          <fgColor indexed="64"/>
          <bgColor rgb="FF19364B"/>
        </patternFill>
      </fill>
    </dxf>
    <dxf>
      <font>
        <b val="1"/>
      </font>
    </dxf>
    <dxf>
      <font>
        <b val="1"/>
      </font>
    </dxf>
    <dxf>
      <font>
        <color rgb="FFFFFFFF"/>
      </font>
    </dxf>
    <dxf>
      <font>
        <color rgb="FFFFFFFF"/>
      </font>
    </dxf>
    <dxf>
      <fill>
        <patternFill patternType="solid">
          <fgColor indexed="64"/>
          <bgColor rgb="FF28566D"/>
        </patternFill>
      </fill>
    </dxf>
    <dxf>
      <fill>
        <patternFill patternType="solid">
          <fgColor indexed="64"/>
          <bgColor rgb="FF28566D"/>
        </patternFill>
      </fill>
    </dxf>
    <dxf>
      <font>
        <b val="1"/>
      </font>
    </dxf>
    <dxf>
      <font>
        <b val="1"/>
      </font>
    </dxf>
    <dxf>
      <font>
        <color rgb="FFFFFFFF"/>
      </font>
    </dxf>
    <dxf>
      <font>
        <color rgb="FFFFFFFF"/>
      </font>
    </dxf>
    <dxf>
      <fill>
        <patternFill patternType="solid">
          <fgColor indexed="64"/>
          <bgColor rgb="FF28566D"/>
        </patternFill>
      </fill>
    </dxf>
    <dxf>
      <fill>
        <patternFill patternType="solid">
          <fgColor indexed="64"/>
          <bgColor rgb="FF28566D"/>
        </patternFill>
      </fill>
    </dxf>
    <dxf>
      <font>
        <b val="1"/>
      </font>
    </dxf>
    <dxf>
      <font>
        <b val="1"/>
      </font>
    </dxf>
    <dxf>
      <font>
        <color rgb="FFFFFFFF"/>
      </font>
    </dxf>
    <dxf>
      <font>
        <color rgb="FFFFFFFF"/>
      </font>
    </dxf>
    <dxf>
      <fill>
        <patternFill patternType="solid">
          <fgColor indexed="64"/>
          <bgColor rgb="FF28566D"/>
        </patternFill>
      </fill>
    </dxf>
    <dxf>
      <fill>
        <patternFill patternType="solid">
          <fgColor indexed="64"/>
          <bgColor rgb="FF28566D"/>
        </patternFill>
      </fill>
    </dxf>
    <dxf>
      <numFmt numFmtId="166" formatCode="#,##0;[Red]\(#,##0\);\–"/>
    </dxf>
    <dxf>
      <numFmt numFmtId="166" formatCode="#,##0;[Red]\(#,##0\);\–"/>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pivotCacheDefinition" Target="/xl/pivotCache/pivotCacheDefinition1.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US" b="1"/>
              <a:t>Budsjett og regnskap per bokført måned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
          </a:r>
          <a:endParaRPr lang="nb-NO"/>
        </a:p>
      </txPr>
    </title>
    <plotArea>
      <layout>
        <manualLayout>
          <layoutTarget val="inner"/>
          <xMode val="edge"/>
          <yMode val="edge"/>
          <wMode val="factor"/>
          <hMode val="factor"/>
          <x val="0.08024901903801651"/>
          <y val="0.1439689691142927"/>
          <w val="0.9047275053025772"/>
          <h val="0.7013466746662502"/>
        </manualLayout>
      </layout>
      <lineChart>
        <grouping val="standard"/>
        <varyColors val="0"/>
        <ser>
          <idx val="0"/>
          <order val="0"/>
          <tx>
            <strRef>
              <f>'Chart Data'!$E$1</f>
              <strCache>
                <ptCount val="1"/>
                <pt idx="0">
                  <v>Budsjett (kr)</v>
                </pt>
              </strCache>
            </strRef>
          </tx>
          <spPr>
            <a:ln xmlns:a="http://schemas.openxmlformats.org/drawingml/2006/main" w="28575" cap="rnd">
              <a:solidFill>
                <a:srgbClr val="526A7B"/>
              </a:solidFill>
              <a:prstDash val="solid"/>
              <a:round/>
            </a:ln>
          </spPr>
          <marker>
            <symbol val="none"/>
            <spPr>
              <a:ln xmlns:a="http://schemas.openxmlformats.org/drawingml/2006/main">
                <a:prstDash val="solid"/>
              </a:ln>
            </spPr>
          </marker>
          <cat>
            <strRef>
              <f>'Chart Data'!$D$2:$D$9</f>
              <strCache>
                <ptCount val="8"/>
                <pt idx="0">
                  <v>2024-01</v>
                </pt>
                <pt idx="1">
                  <v>2024-02</v>
                </pt>
                <pt idx="2">
                  <v>2024-03</v>
                </pt>
                <pt idx="3">
                  <v>2024-04</v>
                </pt>
                <pt idx="4">
                  <v>2024-05</v>
                </pt>
                <pt idx="5">
                  <v>2024-06</v>
                </pt>
                <pt idx="6">
                  <v>2024-07</v>
                </pt>
                <pt idx="7">
                  <v>2024-08</v>
                </pt>
              </strCache>
            </strRef>
          </cat>
          <val>
            <numRef>
              <f>'Chart Data'!$E$2:$E$9</f>
              <numCache>
                <formatCode>#,##0;[Red]\(#,##0\);\–</formatCode>
                <ptCount val="8"/>
                <pt idx="0">
                  <v>1403337</v>
                </pt>
                <pt idx="1">
                  <v>1410893</v>
                </pt>
                <pt idx="2">
                  <v>1342381</v>
                </pt>
                <pt idx="3">
                  <v>2357359</v>
                </pt>
                <pt idx="4">
                  <v>1544215</v>
                </pt>
                <pt idx="5">
                  <v>241681</v>
                </pt>
                <pt idx="6">
                  <v>1512209</v>
                </pt>
                <pt idx="7">
                  <v>1525162</v>
                </pt>
              </numCache>
            </numRef>
          </val>
          <smooth val="0"/>
        </ser>
        <ser>
          <idx val="1"/>
          <order val="1"/>
          <tx>
            <strRef>
              <f>'Chart Data'!$F$1</f>
              <strCache>
                <ptCount val="1"/>
                <pt idx="0">
                  <v>Regnskap (kr)</v>
                </pt>
              </strCache>
            </strRef>
          </tx>
          <spPr>
            <a:ln xmlns:a="http://schemas.openxmlformats.org/drawingml/2006/main" w="28575" cap="rnd">
              <a:solidFill>
                <a:srgbClr val="087D91"/>
              </a:solidFill>
              <a:prstDash val="solid"/>
              <a:round/>
            </a:ln>
          </spPr>
          <marker>
            <symbol val="none"/>
            <spPr>
              <a:ln xmlns:a="http://schemas.openxmlformats.org/drawingml/2006/main">
                <a:prstDash val="solid"/>
              </a:ln>
            </spPr>
          </marker>
          <cat>
            <strRef>
              <f>'Chart Data'!$D$2:$D$9</f>
              <strCache>
                <ptCount val="8"/>
                <pt idx="0">
                  <v>2024-01</v>
                </pt>
                <pt idx="1">
                  <v>2024-02</v>
                </pt>
                <pt idx="2">
                  <v>2024-03</v>
                </pt>
                <pt idx="3">
                  <v>2024-04</v>
                </pt>
                <pt idx="4">
                  <v>2024-05</v>
                </pt>
                <pt idx="5">
                  <v>2024-06</v>
                </pt>
                <pt idx="6">
                  <v>2024-07</v>
                </pt>
                <pt idx="7">
                  <v>2024-08</v>
                </pt>
              </strCache>
            </strRef>
          </cat>
          <val>
            <numRef>
              <f>'Chart Data'!$F$2:$F$9</f>
              <numCache>
                <formatCode>#,##0;[Red]\(#,##0\);\–</formatCode>
                <ptCount val="8"/>
                <pt idx="0">
                  <v>1014751.5</v>
                </pt>
                <pt idx="1">
                  <v>2082089.79</v>
                </pt>
                <pt idx="2">
                  <v>1541248.51</v>
                </pt>
                <pt idx="3">
                  <v>2256715.66</v>
                </pt>
                <pt idx="4">
                  <v>1613436.84</v>
                </pt>
                <pt idx="5">
                  <v>519336.23</v>
                </pt>
                <pt idx="6">
                  <v>1837523.07</v>
                </pt>
                <pt idx="7">
                  <v>1757749.82</v>
                </pt>
              </numCache>
            </numRef>
          </val>
          <smooth val="0"/>
        </ser>
        <dLbls>
          <showLegendKey val="0"/>
          <showVal val="0"/>
          <showCatName val="0"/>
          <showSerName val="0"/>
          <showPercent val="0"/>
          <showBubbleSize val="0"/>
        </dLbls>
        <smooth val="0"/>
        <axId val="45804704"/>
        <axId val="1896781199"/>
      </lineChart>
      <catAx>
        <axId val="45804704"/>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896781199"/>
        <crosses val="autoZero"/>
        <auto val="1"/>
        <lblAlgn val="ctr"/>
        <lblOffset val="100"/>
        <noMultiLvlLbl val="0"/>
      </catAx>
      <valAx>
        <axId val="1896781199"/>
        <scaling>
          <orientation val="minMax"/>
          <min val="-100000"/>
        </scaling>
        <delete val="0"/>
        <axPos val="l"/>
        <numFmt formatCode="#,##0;[Red]\(#,##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45804704"/>
        <crosses val="autoZero"/>
        <crossBetween val="between"/>
        <dispUnits>
          <builtInUnit val="millions"/>
          <dispUnitsLbl>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nb-NO"/>
              </a:p>
            </txPr>
          </dispUnitsLbl>
        </dispUnits>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legend>
    <plotVisOnly val="0"/>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US" b="1"/>
              <a:t>Topp 10 konti · positivt merforbruk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
          </a:r>
          <a:endParaRPr lang="nb-NO"/>
        </a:p>
      </txPr>
    </title>
    <plotArea>
      <layout>
        <manualLayout>
          <layoutTarget val="inner"/>
          <xMode val="edge"/>
          <yMode val="edge"/>
          <wMode val="factor"/>
          <hMode val="factor"/>
          <x val="0.1191036880936006"/>
          <y val="0.1034949310788878"/>
          <w val="0.5337564416560656"/>
          <h val="0.7726032838953957"/>
        </manualLayout>
      </layout>
      <barChart>
        <barDir val="bar"/>
        <grouping val="clustered"/>
        <varyColors val="0"/>
        <ser>
          <idx val="0"/>
          <order val="0"/>
          <tx>
            <strRef>
              <f>'Chart Data'!$T$1</f>
              <strCache>
                <ptCount val="1"/>
                <pt idx="0">
                  <v>Merforbruk (kr)</v>
                </pt>
              </strCache>
            </strRef>
          </tx>
          <spPr>
            <a:solidFill xmlns:a="http://schemas.openxmlformats.org/drawingml/2006/main">
              <a:schemeClr val="accent1"/>
            </a:solidFill>
            <a:ln xmlns:a="http://schemas.openxmlformats.org/drawingml/2006/main">
              <a:noFill/>
              <a:prstDash val="solid"/>
            </a:ln>
          </spPr>
          <invertIfNegative val="0"/>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nb-NO"/>
              </a:p>
            </txPr>
            <showLegendKey val="0"/>
            <showVal val="1"/>
            <showCatName val="0"/>
            <showSerName val="0"/>
            <showPercent val="0"/>
            <showBubbleSize val="0"/>
            <showLeaderLines val="0"/>
          </dLbls>
          <cat>
            <strRef>
              <f>'Chart Data'!$S$2:$S$11</f>
              <strCache>
                <ptCount val="10"/>
                <pt idx="0">
                  <v>102013 · Vikar - korttidsfravær</v>
                </pt>
                <pt idx="1">
                  <v>105000 · Lærlinger</v>
                </pt>
                <pt idx="2">
                  <v>102000 · Vikar - sykefravær - med refusjon</v>
                </pt>
                <pt idx="3">
                  <v>102032 · Vikar - helligdagstillegg</v>
                </pt>
                <pt idx="4">
                  <v>109999 · Arbeidsgiveravgift</v>
                </pt>
                <pt idx="5">
                  <v>102030 · Vikar - lørdags- og søndagstillegg</v>
                </pt>
                <pt idx="6">
                  <v>103000 · Ekstrahjelp</v>
                </pt>
                <pt idx="7">
                  <v>104000 · Overtidslønn</v>
                </pt>
                <pt idx="8">
                  <v>102031 · Vikar - kvelds- og nattillegg</v>
                </pt>
                <pt idx="9">
                  <v>127040 · Kjøp av vikarbyråtjenester</v>
                </pt>
              </strCache>
            </strRef>
          </cat>
          <val>
            <numRef>
              <f>'Chart Data'!$T$2:$T$11</f>
              <numCache>
                <formatCode>#,##0;[Red]\(#,##0\);\–</formatCode>
                <ptCount val="10"/>
                <pt idx="0">
                  <v>61454.03</v>
                </pt>
                <pt idx="1">
                  <v>69677.58</v>
                </pt>
                <pt idx="2">
                  <v>79100.03000000001</v>
                </pt>
                <pt idx="3">
                  <v>93469.76999999999</v>
                </pt>
                <pt idx="4">
                  <v>101614.13</v>
                </pt>
                <pt idx="5">
                  <v>140747.32</v>
                </pt>
                <pt idx="6">
                  <v>141648.7</v>
                </pt>
                <pt idx="7">
                  <v>185571.85</v>
                </pt>
                <pt idx="8">
                  <v>259304.09</v>
                </pt>
                <pt idx="9">
                  <v>382656</v>
                </pt>
              </numCache>
            </numRef>
          </val>
        </ser>
        <dLbls>
          <showLegendKey val="0"/>
          <showVal val="0"/>
          <showCatName val="0"/>
          <showSerName val="0"/>
          <showPercent val="0"/>
          <showBubbleSize val="0"/>
        </dLbls>
        <gapWidth val="182"/>
        <axId val="1041801583"/>
        <axId val="1896694319"/>
      </barChart>
      <catAx>
        <axId val="1041801583"/>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896694319"/>
        <crosses val="autoZero"/>
        <auto val="1"/>
        <lblAlgn val="ctr"/>
        <lblOffset val="100"/>
        <noMultiLvlLbl val="0"/>
      </catAx>
      <valAx>
        <axId val="1896694319"/>
        <scaling>
          <orientation val="minMax"/>
          <max val="500000"/>
          <min val="0"/>
        </scaling>
        <delete val="0"/>
        <axPos val="b"/>
        <numFmt formatCode="#,##0;[Red]\(#,##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041801583"/>
        <crosses val="autoZero"/>
        <crossBetween val="between"/>
        <dispUnits>
          <builtInUnit val="thousands"/>
          <dispUnits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nb-NO"/>
              </a:p>
            </txPr>
          </dispUnitsLbl>
        </dispUnits>
      </valAx>
    </plotArea>
    <plotVisOnly val="0"/>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US" b="1"/>
              <a:t xml:space="preserve">Avvik etter hovedgruppe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
          </a:r>
          <a:endParaRPr lang="nb-NO"/>
        </a:p>
      </txPr>
    </title>
    <plotArea>
      <layout/>
      <barChart>
        <barDir val="bar"/>
        <grouping val="clustered"/>
        <varyColors val="0"/>
        <ser>
          <idx val="0"/>
          <order val="0"/>
          <tx>
            <strRef>
              <f>'Chart Data'!$W$1</f>
              <strCache>
                <ptCount val="1"/>
                <pt idx="0">
                  <v>Merforbruk (kr)</v>
                </pt>
              </strCache>
            </strRef>
          </tx>
          <spPr>
            <a:solidFill xmlns:a="http://schemas.openxmlformats.org/drawingml/2006/main">
              <a:schemeClr val="accent1"/>
            </a:solidFill>
            <a:ln xmlns:a="http://schemas.openxmlformats.org/drawingml/2006/main">
              <a:noFill/>
              <a:prstDash val="solid"/>
            </a:ln>
          </spPr>
          <invertIfNegative val="0"/>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nb-NO"/>
              </a:p>
            </txPr>
            <showLegendKey val="0"/>
            <showVal val="1"/>
            <showCatName val="0"/>
            <showSerName val="0"/>
            <showPercent val="0"/>
            <showBubbleSize val="0"/>
            <showLeaderLines val="0"/>
          </dLbls>
          <cat>
            <strRef>
              <f>'Chart Data'!$V$2:$V$4</f>
              <strCache>
                <ptCount val="3"/>
                <pt idx="0">
                  <v>3 Inntekter</v>
                </pt>
                <pt idx="1">
                  <v>2 Utgifter</v>
                </pt>
                <pt idx="2">
                  <v>1 Lønn</v>
                </pt>
              </strCache>
            </strRef>
          </cat>
          <val>
            <numRef>
              <f>'Chart Data'!$W$2:$W$4</f>
              <numCache>
                <formatCode>#,##0;[Red]\(#,##0\);\–</formatCode>
                <ptCount val="3"/>
                <pt idx="0">
                  <v>-8172</v>
                </pt>
                <pt idx="1">
                  <v>144114.0800000002</v>
                </pt>
                <pt idx="2">
                  <v>1149672.340000001</v>
                </pt>
              </numCache>
            </numRef>
          </val>
        </ser>
        <dLbls>
          <showLegendKey val="0"/>
          <showVal val="0"/>
          <showCatName val="0"/>
          <showSerName val="0"/>
          <showPercent val="0"/>
          <showBubbleSize val="0"/>
        </dLbls>
        <gapWidth val="182"/>
        <axId val="1041838703"/>
        <axId val="1896702959"/>
      </barChart>
      <catAx>
        <axId val="1041838703"/>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896702959"/>
        <crosses val="autoZero"/>
        <auto val="1"/>
        <lblAlgn val="ctr"/>
        <lblOffset val="100"/>
        <noMultiLvlLbl val="0"/>
      </catAx>
      <valAx>
        <axId val="1896702959"/>
        <scaling>
          <orientation val="minMax"/>
          <max val="1300000"/>
          <min val="-150000"/>
        </scaling>
        <delete val="0"/>
        <axPos val="b"/>
        <numFmt formatCode="#,##0;[Red]\(#,##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041838703"/>
        <crosses val="autoZero"/>
        <crossBetween val="between"/>
        <dispUnits>
          <builtInUnit val="millions"/>
          <dispUnits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nb-NO"/>
              </a:p>
            </txPr>
          </dispUnitsLbl>
        </dispUnits>
      </valAx>
    </plotArea>
    <plotVisOnly val="0"/>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US" b="1"/>
              <a:t xml:space="preserve">Undergruppeavvik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
          </a:r>
          <a:endParaRPr lang="nb-NO"/>
        </a:p>
      </txPr>
    </title>
    <plotArea>
      <layout/>
      <barChart>
        <barDir val="bar"/>
        <grouping val="clustered"/>
        <varyColors val="0"/>
        <ser>
          <idx val="0"/>
          <order val="0"/>
          <tx>
            <strRef>
              <f>'Chart Data'!$Y$1</f>
              <strCache>
                <ptCount val="1"/>
                <pt idx="0">
                  <v>Merforbruk (kr)</v>
                </pt>
              </strCache>
            </strRef>
          </tx>
          <spPr>
            <a:solidFill xmlns:a="http://schemas.openxmlformats.org/drawingml/2006/main">
              <a:schemeClr val="accent1"/>
            </a:solidFill>
            <a:ln xmlns:a="http://schemas.openxmlformats.org/drawingml/2006/main">
              <a:noFill/>
              <a:prstDash val="solid"/>
            </a:ln>
          </spPr>
          <invertIfNegative val="0"/>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nb-NO"/>
              </a:p>
            </txPr>
            <showLegendKey val="0"/>
            <showVal val="1"/>
            <showCatName val="0"/>
            <showSerName val="0"/>
            <showPercent val="0"/>
            <showBubbleSize val="0"/>
            <showLeaderLines val="0"/>
          </dLbls>
          <cat>
            <strRef>
              <f>'Chart Data'!$X$2:$X$7</f>
              <strCache>
                <ptCount val="6"/>
                <pt idx="0">
                  <v>17 Refusjoner</v>
                </pt>
                <pt idx="1">
                  <v>16 Brukerbetaling</v>
                </pt>
                <pt idx="2">
                  <v>14 Overføringer</v>
                </pt>
                <pt idx="3">
                  <v>15 Finansutgifter</v>
                </pt>
                <pt idx="4">
                  <v>11 Refusjon lønn</v>
                </pt>
                <pt idx="5">
                  <v>10 Lønn</v>
                </pt>
              </strCache>
            </strRef>
          </cat>
          <val>
            <numRef>
              <f>'Chart Data'!$Y$2:$Y$7</f>
              <numCache>
                <formatCode>#,##0;[Red]\(#,##0\);\–</formatCode>
                <ptCount val="6"/>
                <pt idx="0">
                  <v>-8060</v>
                </pt>
                <pt idx="1">
                  <v>-112</v>
                </pt>
                <pt idx="2">
                  <v>0</v>
                </pt>
                <pt idx="3">
                  <v>9.27</v>
                </pt>
                <pt idx="4">
                  <v>127784.8100000002</v>
                </pt>
                <pt idx="5">
                  <v>1165992.340000001</v>
                </pt>
              </numCache>
            </numRef>
          </val>
        </ser>
        <dLbls>
          <showLegendKey val="0"/>
          <showVal val="0"/>
          <showCatName val="0"/>
          <showSerName val="0"/>
          <showPercent val="0"/>
          <showBubbleSize val="0"/>
        </dLbls>
        <gapWidth val="182"/>
        <axId val="1794386143"/>
        <axId val="1896704399"/>
      </barChart>
      <catAx>
        <axId val="1794386143"/>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896704399"/>
        <crosses val="autoZero"/>
        <auto val="1"/>
        <lblAlgn val="ctr"/>
        <lblOffset val="100"/>
        <noMultiLvlLbl val="0"/>
      </catAx>
      <valAx>
        <axId val="1896704399"/>
        <scaling>
          <orientation val="minMax"/>
          <max val="1300000"/>
          <min val="-100000"/>
        </scaling>
        <delete val="0"/>
        <axPos val="b"/>
        <numFmt formatCode="#,##0;[Red]\(#,##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794386143"/>
        <crosses val="autoZero"/>
        <crossBetween val="between"/>
        <dispUnits>
          <builtInUnit val="millions"/>
          <dispUnits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nb-NO"/>
              </a:p>
            </txPr>
          </dispUnitsLbl>
        </dispUnits>
      </valAx>
    </plotArea>
    <plotVisOnly val="0"/>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 xml:space="preserve">Månedsavvik </a:t>
            </a:r>
          </a:p>
        </rich>
      </tx>
      <overlay val="0"/>
    </title>
    <plotArea>
      <layout/>
      <barChart>
        <barDir val="col"/>
        <grouping val="stacked"/>
        <varyColors val="0"/>
        <ser>
          <idx val="0"/>
          <order val="0"/>
          <tx>
            <strRef>
              <f>'Chart Data'!$AB$1</f>
              <strCache>
                <ptCount val="1"/>
                <pt idx="0">
                  <v>Merforbruk &gt; 0 (kr)</v>
                </pt>
              </strCache>
            </strRef>
          </tx>
          <spPr>
            <a:solidFill xmlns:a="http://schemas.openxmlformats.org/drawingml/2006/main">
              <a:srgbClr val="F8BFC0"/>
            </a:solidFill>
            <a:ln xmlns:a="http://schemas.openxmlformats.org/drawingml/2006/main">
              <a:noFill/>
              <a:prstDash val="solid"/>
            </a:ln>
          </spPr>
          <invertIfNegative val="0"/>
          <cat>
            <strRef>
              <f>'Chart Data'!$AA$2:$AA$9</f>
              <strCache>
                <ptCount val="8"/>
                <pt idx="0">
                  <v>2024-01</v>
                </pt>
                <pt idx="1">
                  <v>2024-02</v>
                </pt>
                <pt idx="2">
                  <v>2024-03</v>
                </pt>
                <pt idx="3">
                  <v>2024-04</v>
                </pt>
                <pt idx="4">
                  <v>2024-05</v>
                </pt>
                <pt idx="5">
                  <v>2024-06</v>
                </pt>
                <pt idx="6">
                  <v>2024-07</v>
                </pt>
                <pt idx="7">
                  <v>2024-08</v>
                </pt>
              </strCache>
            </strRef>
          </cat>
          <val>
            <numRef>
              <f>'Chart Data'!$AB$2:$AB$9</f>
              <numCache>
                <formatCode>#,##0;[Red]\(#,##0\);\–</formatCode>
                <ptCount val="8"/>
                <pt idx="0">
                  <v>0</v>
                </pt>
                <pt idx="1">
                  <v>671196.79</v>
                </pt>
                <pt idx="2">
                  <v>198867.51</v>
                </pt>
                <pt idx="3">
                  <v>0</v>
                </pt>
                <pt idx="4">
                  <v>69221.83999999994</v>
                </pt>
                <pt idx="5">
                  <v>277655.23</v>
                </pt>
                <pt idx="6">
                  <v>325314.0700000001</v>
                </pt>
                <pt idx="7">
                  <v>232587.82</v>
                </pt>
              </numCache>
            </numRef>
          </val>
        </ser>
        <ser>
          <idx val="1"/>
          <order val="1"/>
          <tx>
            <strRef>
              <f>'Chart Data'!$AC$1</f>
              <strCache>
                <ptCount val="1"/>
                <pt idx="0">
                  <v>Mindreforbruk &lt; 0 (kr)</v>
                </pt>
              </strCache>
            </strRef>
          </tx>
          <spPr>
            <a:solidFill xmlns:a="http://schemas.openxmlformats.org/drawingml/2006/main">
              <a:srgbClr val="A8DCC4"/>
            </a:solidFill>
            <a:ln xmlns:a="http://schemas.openxmlformats.org/drawingml/2006/main">
              <a:noFill/>
              <a:prstDash val="solid"/>
            </a:ln>
          </spPr>
          <invertIfNegative val="0"/>
          <cat>
            <strRef>
              <f>'Chart Data'!$AA$2:$AA$9</f>
              <strCache>
                <ptCount val="8"/>
                <pt idx="0">
                  <v>2024-01</v>
                </pt>
                <pt idx="1">
                  <v>2024-02</v>
                </pt>
                <pt idx="2">
                  <v>2024-03</v>
                </pt>
                <pt idx="3">
                  <v>2024-04</v>
                </pt>
                <pt idx="4">
                  <v>2024-05</v>
                </pt>
                <pt idx="5">
                  <v>2024-06</v>
                </pt>
                <pt idx="6">
                  <v>2024-07</v>
                </pt>
                <pt idx="7">
                  <v>2024-08</v>
                </pt>
              </strCache>
            </strRef>
          </cat>
          <val>
            <numRef>
              <f>'Chart Data'!$AC$2:$AC$9</f>
              <numCache>
                <formatCode>#,##0;[Red]\(#,##0\);\–</formatCode>
                <ptCount val="8"/>
                <pt idx="0">
                  <v>-388585.4999999999</v>
                </pt>
                <pt idx="1">
                  <v>0</v>
                </pt>
                <pt idx="2">
                  <v>0</v>
                </pt>
                <pt idx="3">
                  <v>-100643.34</v>
                </pt>
                <pt idx="4">
                  <v>0</v>
                </pt>
                <pt idx="5">
                  <v>0</v>
                </pt>
                <pt idx="6">
                  <v>0</v>
                </pt>
                <pt idx="7">
                  <v>0</v>
                </pt>
              </numCache>
            </numRef>
          </val>
        </ser>
        <dLbls>
          <showLegendKey val="0"/>
          <showVal val="0"/>
          <showCatName val="0"/>
          <showSerName val="0"/>
          <showPercent val="0"/>
          <showBubbleSize val="0"/>
        </dLbls>
        <gapWidth val="150"/>
        <overlap val="100"/>
        <axId val="1041873503"/>
        <axId val="1896721199"/>
      </barChart>
      <catAx>
        <axId val="1041873503"/>
        <scaling>
          <orientation val="minMax"/>
        </scaling>
        <delete val="0"/>
        <axPos val="b"/>
        <numFmt formatCode="General" sourceLinked="1"/>
        <majorTickMark val="none"/>
        <minorTickMark val="none"/>
        <tickLblPos val="nextTo"/>
        <crossAx val="1896721199"/>
        <crosses val="autoZero"/>
        <auto val="1"/>
        <lblAlgn val="ctr"/>
        <lblOffset val="100"/>
        <noMultiLvlLbl val="0"/>
      </catAx>
      <valAx>
        <axId val="1896721199"/>
        <scaling>
          <orientation val="minMax"/>
          <max val="800000"/>
          <min val="-500000"/>
        </scaling>
        <delete val="0"/>
        <axPos val="l"/>
        <numFmt formatCode="#,##0;[Red]\(#,##0\);\–" sourceLinked="1"/>
        <majorTickMark val="none"/>
        <minorTickMark val="none"/>
        <tickLblPos val="nextTo"/>
        <crossAx val="1041873503"/>
        <crosses val="autoZero"/>
        <crossBetween val="between"/>
        <dispUnits>
          <builtInUnit val="thousands"/>
          <dispUnitsLbl/>
        </dispUnits>
      </valAx>
    </plotArea>
    <legend>
      <legendPos val="b"/>
      <overlay val="0"/>
    </legend>
    <plotVisOnly val="0"/>
    <dispBlanksAs val="gap"/>
  </chart>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 xml:space="preserve">Bokført t.o.m. august • prognose sep–des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nb-NO"/>
        </a:p>
      </txPr>
    </title>
    <plotArea>
      <layout/>
      <lineChart>
        <grouping val="standard"/>
        <varyColors val="0"/>
        <ser>
          <idx val="0"/>
          <order val="0"/>
          <tx>
            <strRef>
              <f>'2 Prognose EOY'!$C$29</f>
              <strCache>
                <ptCount val="1"/>
                <pt idx="0">
                  <v>Budsjett YTD (kr)</v>
                </pt>
              </strCache>
            </strRef>
          </tx>
          <spPr>
            <a:ln xmlns:a="http://schemas.openxmlformats.org/drawingml/2006/main" w="28575" cap="rnd">
              <a:solidFill>
                <a:srgbClr val="8B9DA7"/>
              </a:solidFill>
              <a:prstDash val="solid"/>
              <a:round/>
            </a:ln>
          </spPr>
          <marker>
            <symbol val="none"/>
            <spPr>
              <a:ln xmlns:a="http://schemas.openxmlformats.org/drawingml/2006/main">
                <a:prstDash val="solid"/>
              </a:ln>
            </spPr>
          </marker>
          <cat>
            <strRef>
              <f>'2 Prognose EOY'!$B$30:$B$41</f>
              <strCache>
                <ptCount val="12"/>
                <pt idx="0">
                  <v>2024-01</v>
                </pt>
                <pt idx="1">
                  <v>2024-02</v>
                </pt>
                <pt idx="2">
                  <v>2024-03</v>
                </pt>
                <pt idx="3">
                  <v>2024-04</v>
                </pt>
                <pt idx="4">
                  <v>2024-05</v>
                </pt>
                <pt idx="5">
                  <v>2024-06</v>
                </pt>
                <pt idx="6">
                  <v>2024-07</v>
                </pt>
                <pt idx="7">
                  <v>2024-08</v>
                </pt>
                <pt idx="8">
                  <v>2024-09</v>
                </pt>
                <pt idx="9">
                  <v>2024-10</v>
                </pt>
                <pt idx="10">
                  <v>2024-11</v>
                </pt>
                <pt idx="11">
                  <v>2024-12</v>
                </pt>
              </strCache>
            </strRef>
          </cat>
          <val>
            <numRef>
              <f>'2 Prognose EOY'!$C$30:$C$41</f>
              <numCache>
                <formatCode>#,##0;[Red]\(#,##0\);\–</formatCode>
                <ptCount val="12"/>
                <pt idx="0">
                  <v>1403337</v>
                </pt>
                <pt idx="1">
                  <v>2814230</v>
                </pt>
                <pt idx="2">
                  <v>4156611</v>
                </pt>
                <pt idx="3">
                  <v>6513970</v>
                </pt>
                <pt idx="4">
                  <v>8058185</v>
                </pt>
                <pt idx="5">
                  <v>8299866</v>
                </pt>
                <pt idx="6">
                  <v>9812075</v>
                </pt>
                <pt idx="7">
                  <v>11337237</v>
                </pt>
                <pt idx="8">
                  <v>12841636</v>
                </pt>
                <pt idx="9">
                  <v>14260410</v>
                </pt>
                <pt idx="10">
                  <v>15678950</v>
                </pt>
                <pt idx="11">
                  <v>17233691</v>
                </pt>
              </numCache>
            </numRef>
          </val>
          <smooth val="0"/>
        </ser>
        <ser>
          <idx val="1"/>
          <order val="1"/>
          <tx>
            <strRef>
              <f>'2 Prognose EOY'!$D$29</f>
              <strCache>
                <ptCount val="1"/>
                <pt idx="0">
                  <v>Regnskap YTD (kr)</v>
                </pt>
              </strCache>
            </strRef>
          </tx>
          <spPr>
            <a:ln xmlns:a="http://schemas.openxmlformats.org/drawingml/2006/main" w="28575" cap="rnd">
              <a:solidFill>
                <a:srgbClr val="126F81"/>
              </a:solidFill>
              <a:prstDash val="solid"/>
              <a:round/>
            </a:ln>
          </spPr>
          <marker>
            <symbol val="none"/>
            <spPr>
              <a:ln xmlns:a="http://schemas.openxmlformats.org/drawingml/2006/main">
                <a:prstDash val="solid"/>
              </a:ln>
            </spPr>
          </marker>
          <cat>
            <strRef>
              <f>'2 Prognose EOY'!$B$30:$B$41</f>
              <strCache>
                <ptCount val="12"/>
                <pt idx="0">
                  <v>2024-01</v>
                </pt>
                <pt idx="1">
                  <v>2024-02</v>
                </pt>
                <pt idx="2">
                  <v>2024-03</v>
                </pt>
                <pt idx="3">
                  <v>2024-04</v>
                </pt>
                <pt idx="4">
                  <v>2024-05</v>
                </pt>
                <pt idx="5">
                  <v>2024-06</v>
                </pt>
                <pt idx="6">
                  <v>2024-07</v>
                </pt>
                <pt idx="7">
                  <v>2024-08</v>
                </pt>
                <pt idx="8">
                  <v>2024-09</v>
                </pt>
                <pt idx="9">
                  <v>2024-10</v>
                </pt>
                <pt idx="10">
                  <v>2024-11</v>
                </pt>
                <pt idx="11">
                  <v>2024-12</v>
                </pt>
              </strCache>
            </strRef>
          </cat>
          <val>
            <numRef>
              <f>'2 Prognose EOY'!$D$30:$D$41</f>
              <numCache>
                <formatCode>#,##0;[Red]\(#,##0\);\–</formatCode>
                <ptCount val="12"/>
                <pt idx="0">
                  <v>1014751.5</v>
                </pt>
                <pt idx="1">
                  <v>3096841.29</v>
                </pt>
                <pt idx="2">
                  <v>4638089.799999999</v>
                </pt>
                <pt idx="3">
                  <v>6894805.459999998</v>
                </pt>
                <pt idx="4">
                  <v>8508242.30000001</v>
                </pt>
                <pt idx="5">
                  <v>9027578.530000005</v>
                </pt>
                <pt idx="6">
                  <v>10865101.60000001</v>
                </pt>
                <pt idx="7">
                  <v>12622851.42000002</v>
                </pt>
              </numCache>
            </numRef>
          </val>
          <smooth val="0"/>
        </ser>
        <ser>
          <idx val="2"/>
          <order val="2"/>
          <tx>
            <strRef>
              <f>'2 Prognose EOY'!$E$29</f>
              <strCache>
                <ptCount val="1"/>
                <pt idx="0">
                  <v>Prognose YTD (kr)</v>
                </pt>
              </strCache>
            </strRef>
          </tx>
          <spPr>
            <a:ln xmlns:a="http://schemas.openxmlformats.org/drawingml/2006/main" w="28575" cap="rnd">
              <a:solidFill>
                <a:srgbClr val="C37343"/>
              </a:solidFill>
              <a:prstDash val="solid"/>
              <a:round/>
            </a:ln>
          </spPr>
          <marker>
            <symbol val="none"/>
            <spPr>
              <a:ln xmlns:a="http://schemas.openxmlformats.org/drawingml/2006/main">
                <a:prstDash val="solid"/>
              </a:ln>
            </spPr>
          </marker>
          <dLbls>
            <dLbl>
              <idx val="7"/>
              <showLegendKey val="0"/>
              <showVal val="1"/>
              <showCatName val="0"/>
              <showSerName val="0"/>
              <showPercent val="0"/>
              <showBubbleSize val="0"/>
            </dLbl>
            <dLbl>
              <idx val="8"/>
              <showLegendKey val="0"/>
              <showVal val="1"/>
              <showCatName val="0"/>
              <showSerName val="0"/>
              <showPercent val="0"/>
              <showBubbleSize val="0"/>
            </dLbl>
            <dLbl>
              <idx val="9"/>
              <showLegendKey val="0"/>
              <showVal val="1"/>
              <showCatName val="0"/>
              <showSerName val="0"/>
              <showPercent val="0"/>
              <showBubbleSize val="0"/>
            </dLbl>
            <dLbl>
              <idx val="10"/>
              <showLegendKey val="0"/>
              <showVal val="1"/>
              <showCatName val="0"/>
              <showSerName val="0"/>
              <showPercent val="0"/>
              <showBubbleSize val="0"/>
            </dLbl>
            <dLbl>
              <idx val="11"/>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nb-NO"/>
              </a:p>
            </txPr>
            <showLegendKey val="0"/>
            <showVal val="1"/>
            <showCatName val="0"/>
            <showSerName val="0"/>
            <showPercent val="0"/>
            <showBubbleSize val="0"/>
            <showLeaderLines val="0"/>
          </dLbls>
          <cat>
            <strRef>
              <f>'2 Prognose EOY'!$B$30:$B$41</f>
              <strCache>
                <ptCount val="12"/>
                <pt idx="0">
                  <v>2024-01</v>
                </pt>
                <pt idx="1">
                  <v>2024-02</v>
                </pt>
                <pt idx="2">
                  <v>2024-03</v>
                </pt>
                <pt idx="3">
                  <v>2024-04</v>
                </pt>
                <pt idx="4">
                  <v>2024-05</v>
                </pt>
                <pt idx="5">
                  <v>2024-06</v>
                </pt>
                <pt idx="6">
                  <v>2024-07</v>
                </pt>
                <pt idx="7">
                  <v>2024-08</v>
                </pt>
                <pt idx="8">
                  <v>2024-09</v>
                </pt>
                <pt idx="9">
                  <v>2024-10</v>
                </pt>
                <pt idx="10">
                  <v>2024-11</v>
                </pt>
                <pt idx="11">
                  <v>2024-12</v>
                </pt>
              </strCache>
            </strRef>
          </cat>
          <val>
            <numRef>
              <f>'2 Prognose EOY'!$E$30:$E$41</f>
              <numCache>
                <formatCode>#,##0;[Red]\(#,##0\);\–</formatCode>
                <ptCount val="12"/>
                <pt idx="7">
                  <v>12622851.42000002</v>
                </pt>
                <pt idx="8">
                  <v>14287952.2225</v>
                </pt>
                <pt idx="9">
                  <v>15867428.025</v>
                </pt>
                <pt idx="10">
                  <v>17446669.8275</v>
                </pt>
                <pt idx="11">
                  <v>19162112.63</v>
                </pt>
              </numCache>
            </numRef>
          </val>
          <smooth val="0"/>
        </ser>
        <dLbls>
          <showLegendKey val="0"/>
          <showVal val="0"/>
          <showCatName val="0"/>
          <showSerName val="0"/>
          <showPercent val="0"/>
          <showBubbleSize val="0"/>
        </dLbls>
        <smooth val="0"/>
        <axId val="93345712"/>
        <axId val="1956501199"/>
      </lineChart>
      <catAx>
        <axId val="9334571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956501199"/>
        <crosses val="autoZero"/>
        <auto val="1"/>
        <lblAlgn val="ctr"/>
        <lblOffset val="100"/>
        <noMultiLvlLbl val="0"/>
      </catAx>
      <valAx>
        <axId val="1956501199"/>
        <scaling>
          <orientation val="minMax"/>
          <max val="21000000"/>
          <min val="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Red]\(#,##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93345712"/>
        <crosses val="autoZero"/>
        <crossBetween val="between"/>
        <dispUnits>
          <builtInUnit val="millions"/>
          <dispUnitsLbl>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nb-NO"/>
              </a:p>
            </txPr>
          </dispUnitsLbl>
        </dispUnits>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Restavvik mot årsbudsjett (kr)
Før: uten tiltak  •  Alle: hypotese om full effekt
Godkjent: kun godkjente tiltak med dokumentert kontroll</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nb-NO"/>
        </a:p>
      </txPr>
    </title>
    <plotArea>
      <layout/>
      <barChart>
        <barDir val="bar"/>
        <grouping val="clustered"/>
        <varyColors val="0"/>
        <ser>
          <idx val="2"/>
          <order val="0"/>
          <tx>
            <strRef>
              <f>'4 Ny Prognose EOY'!$E$29</f>
              <strCache>
                <ptCount val="1"/>
                <pt idx="0">
                  <v>Restavvik (kr)</v>
                </pt>
              </strCache>
            </strRef>
          </tx>
          <spPr>
            <a:solidFill xmlns:a="http://schemas.openxmlformats.org/drawingml/2006/main">
              <a:schemeClr val="accent6">
                <a:lumMod val="20000"/>
                <a:lumOff val="80000"/>
              </a:schemeClr>
            </a:solidFill>
            <a:ln xmlns:a="http://schemas.openxmlformats.org/drawingml/2006/main">
              <a:noFill/>
              <a:prstDash val="solid"/>
            </a:l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numFmt formatCode="#,##0&quot; kr&quot;"/>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nb-NO"/>
              </a:p>
            </txPr>
            <showLegendKey val="0"/>
            <showVal val="1"/>
            <showCatName val="0"/>
            <showSerName val="0"/>
            <showPercent val="0"/>
            <showBubbleSize val="0"/>
            <showLeaderLines val="0"/>
          </dLbls>
          <cat>
            <strRef>
              <f>'4 Ny Prognose EOY'!$B$30:$B$32</f>
              <strCache>
                <ptCount val="3"/>
                <pt idx="0">
                  <v>Før nye tiltak</v>
                </pt>
                <pt idx="1">
                  <v>Alle kandidater · hypotese</v>
                </pt>
                <pt idx="2">
                  <v>Kun dokumentert godkjent</v>
                </pt>
              </strCache>
            </strRef>
          </cat>
          <val>
            <numRef>
              <f>'4 Ny Prognose EOY'!$E$30:$E$32</f>
              <numCache>
                <formatCode>#,##0" kr"</formatCode>
                <ptCount val="3"/>
                <pt idx="0">
                  <v>1928421.630000003</v>
                </pt>
                <pt idx="1">
                  <v>1735454.895470001</v>
                </pt>
                <pt idx="2">
                  <v>1928421.630000003</v>
                </pt>
              </numCache>
            </numRef>
          </val>
        </ser>
        <dLbls>
          <showLegendKey val="0"/>
          <showVal val="0"/>
          <showCatName val="0"/>
          <showSerName val="0"/>
          <showPercent val="0"/>
          <showBubbleSize val="0"/>
        </dLbls>
        <gapWidth val="182"/>
        <axId val="2125816735"/>
        <axId val="1956410959"/>
      </barChart>
      <catAx>
        <axId val="2125816735"/>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956410959"/>
        <crosses val="autoZero"/>
        <auto val="1"/>
        <lblAlgn val="ctr"/>
        <lblOffset val="100"/>
        <noMultiLvlLbl val="0"/>
      </catAx>
      <valAx>
        <axId val="1956410959"/>
        <scaling>
          <orientation val="minMax"/>
          <min val="0"/>
        </scaling>
        <delete val="0"/>
        <axPos val="b"/>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2125816735"/>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 xml:space="preserve">Bokført t.o.m. august • ny prognose sep–des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nb-NO"/>
        </a:p>
      </txPr>
    </title>
    <plotArea>
      <layout/>
      <lineChart>
        <grouping val="standard"/>
        <varyColors val="0"/>
        <ser>
          <idx val="0"/>
          <order val="0"/>
          <tx>
            <strRef>
              <f>'4 Ny Prognose EOY'!$E$71</f>
              <strCache>
                <ptCount val="1"/>
                <pt idx="0">
                  <v>Før tiltak</v>
                </pt>
              </strCache>
            </strRef>
          </tx>
          <spPr>
            <a:ln xmlns:a="http://schemas.openxmlformats.org/drawingml/2006/main" w="28575" cap="rnd">
              <a:solidFill>
                <a:srgbClr val="A8B7BF"/>
              </a:solidFill>
              <a:prstDash val="solid"/>
              <a:round/>
            </a:ln>
          </spPr>
          <marker>
            <symbol val="none"/>
            <spPr>
              <a:ln xmlns:a="http://schemas.openxmlformats.org/drawingml/2006/main">
                <a:prstDash val="solid"/>
              </a:ln>
            </spPr>
          </marker>
          <cat>
            <strRef>
              <f>'4 Ny Prognose EOY'!$B$72:$B$83</f>
              <strCache>
                <ptCount val="12"/>
                <pt idx="0">
                  <v>2024-01</v>
                </pt>
                <pt idx="1">
                  <v>2024-02</v>
                </pt>
                <pt idx="2">
                  <v>2024-03</v>
                </pt>
                <pt idx="3">
                  <v>2024-04</v>
                </pt>
                <pt idx="4">
                  <v>2024-05</v>
                </pt>
                <pt idx="5">
                  <v>2024-06</v>
                </pt>
                <pt idx="6">
                  <v>2024-07</v>
                </pt>
                <pt idx="7">
                  <v>2024-08</v>
                </pt>
                <pt idx="8">
                  <v>2024-09</v>
                </pt>
                <pt idx="9">
                  <v>2024-10</v>
                </pt>
                <pt idx="10">
                  <v>2024-11</v>
                </pt>
                <pt idx="11">
                  <v>2024-12</v>
                </pt>
              </strCache>
            </strRef>
          </cat>
          <val>
            <numRef>
              <f>'4 Ny Prognose EOY'!$E$72:$E$83</f>
              <numCache>
                <formatCode>#,##0;[Red]\(#,##0\);\–</formatCode>
                <ptCount val="12"/>
                <pt idx="7">
                  <v>12622851.42000002</v>
                </pt>
                <pt idx="8">
                  <v>14287952.2225</v>
                </pt>
                <pt idx="9">
                  <v>15867428.025</v>
                </pt>
                <pt idx="10">
                  <v>17446669.8275</v>
                </pt>
                <pt idx="11">
                  <v>19162112.63</v>
                </pt>
              </numCache>
            </numRef>
          </val>
          <smooth val="0"/>
        </ser>
        <ser>
          <idx val="1"/>
          <order val="1"/>
          <tx>
            <strRef>
              <f>'4 Ny Prognose EOY'!$F$71</f>
              <strCache>
                <ptCount val="1"/>
                <pt idx="0">
                  <v>Godkjent prognose</v>
                </pt>
              </strCache>
            </strRef>
          </tx>
          <spPr>
            <a:ln xmlns:a="http://schemas.openxmlformats.org/drawingml/2006/main" w="28575" cap="rnd">
              <a:solidFill>
                <a:srgbClr val="C37343"/>
              </a:solidFill>
              <a:prstDash val="solid"/>
              <a:round/>
            </a:ln>
          </spPr>
          <marker>
            <symbol val="none"/>
            <spPr>
              <a:ln xmlns:a="http://schemas.openxmlformats.org/drawingml/2006/main">
                <a:prstDash val="solid"/>
              </a:ln>
            </spPr>
          </marker>
          <dLbls>
            <dLbl>
              <idx val="7"/>
              <showLegendKey val="0"/>
              <showVal val="1"/>
              <showCatName val="0"/>
              <showSerName val="0"/>
              <showPercent val="0"/>
              <showBubbleSize val="0"/>
            </dLbl>
            <dLbl>
              <idx val="8"/>
              <showLegendKey val="0"/>
              <showVal val="1"/>
              <showCatName val="0"/>
              <showSerName val="0"/>
              <showPercent val="0"/>
              <showBubbleSize val="0"/>
            </dLbl>
            <dLbl>
              <idx val="9"/>
              <showLegendKey val="0"/>
              <showVal val="1"/>
              <showCatName val="0"/>
              <showSerName val="0"/>
              <showPercent val="0"/>
              <showBubbleSize val="0"/>
            </dLbl>
            <dLbl>
              <idx val="10"/>
              <showLegendKey val="0"/>
              <showVal val="1"/>
              <showCatName val="0"/>
              <showSerName val="0"/>
              <showPercent val="0"/>
              <showBubbleSize val="0"/>
            </dLbl>
            <dLbl>
              <idx val="11"/>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nb-NO"/>
              </a:p>
            </txPr>
            <showLegendKey val="0"/>
            <showVal val="1"/>
            <showCatName val="0"/>
            <showSerName val="0"/>
            <showPercent val="0"/>
            <showBubbleSize val="0"/>
            <showLeaderLines val="0"/>
          </dLbls>
          <cat>
            <strRef>
              <f>'4 Ny Prognose EOY'!$B$72:$B$83</f>
              <strCache>
                <ptCount val="12"/>
                <pt idx="0">
                  <v>2024-01</v>
                </pt>
                <pt idx="1">
                  <v>2024-02</v>
                </pt>
                <pt idx="2">
                  <v>2024-03</v>
                </pt>
                <pt idx="3">
                  <v>2024-04</v>
                </pt>
                <pt idx="4">
                  <v>2024-05</v>
                </pt>
                <pt idx="5">
                  <v>2024-06</v>
                </pt>
                <pt idx="6">
                  <v>2024-07</v>
                </pt>
                <pt idx="7">
                  <v>2024-08</v>
                </pt>
                <pt idx="8">
                  <v>2024-09</v>
                </pt>
                <pt idx="9">
                  <v>2024-10</v>
                </pt>
                <pt idx="10">
                  <v>2024-11</v>
                </pt>
                <pt idx="11">
                  <v>2024-12</v>
                </pt>
              </strCache>
            </strRef>
          </cat>
          <val>
            <numRef>
              <f>'4 Ny Prognose EOY'!$F$72:$F$83</f>
              <numCache>
                <formatCode>#,##0;[Red]\(#,##0\);\–</formatCode>
                <ptCount val="12"/>
                <pt idx="7">
                  <v>12622851.42000002</v>
                </pt>
                <pt idx="8">
                  <v>14287952.2225</v>
                </pt>
                <pt idx="9">
                  <v>15867428.025</v>
                </pt>
                <pt idx="10">
                  <v>17446669.8275</v>
                </pt>
                <pt idx="11">
                  <v>19162112.63</v>
                </pt>
              </numCache>
            </numRef>
          </val>
          <smooth val="0"/>
        </ser>
        <ser>
          <idx val="2"/>
          <order val="2"/>
          <tx>
            <strRef>
              <f>'4 Ny Prognose EOY'!$G$71</f>
              <strCache>
                <ptCount val="1"/>
                <pt idx="0">
                  <v>Alle kandidater · hypotese</v>
                </pt>
              </strCache>
            </strRef>
          </tx>
          <spPr>
            <a:ln xmlns:a="http://schemas.openxmlformats.org/drawingml/2006/main" w="28575" cap="rnd">
              <a:solidFill>
                <a:srgbClr val="9C836F"/>
              </a:solidFill>
              <a:prstDash val="solid"/>
              <a:round/>
            </a:ln>
          </spPr>
          <marker>
            <symbol val="none"/>
            <spPr>
              <a:ln xmlns:a="http://schemas.openxmlformats.org/drawingml/2006/main">
                <a:prstDash val="solid"/>
              </a:ln>
            </spPr>
          </marker>
          <cat>
            <strRef>
              <f>'4 Ny Prognose EOY'!$B$72:$B$83</f>
              <strCache>
                <ptCount val="12"/>
                <pt idx="0">
                  <v>2024-01</v>
                </pt>
                <pt idx="1">
                  <v>2024-02</v>
                </pt>
                <pt idx="2">
                  <v>2024-03</v>
                </pt>
                <pt idx="3">
                  <v>2024-04</v>
                </pt>
                <pt idx="4">
                  <v>2024-05</v>
                </pt>
                <pt idx="5">
                  <v>2024-06</v>
                </pt>
                <pt idx="6">
                  <v>2024-07</v>
                </pt>
                <pt idx="7">
                  <v>2024-08</v>
                </pt>
                <pt idx="8">
                  <v>2024-09</v>
                </pt>
                <pt idx="9">
                  <v>2024-10</v>
                </pt>
                <pt idx="10">
                  <v>2024-11</v>
                </pt>
                <pt idx="11">
                  <v>2024-12</v>
                </pt>
              </strCache>
            </strRef>
          </cat>
          <val>
            <numRef>
              <f>'4 Ny Prognose EOY'!$G$72:$G$83</f>
              <numCache>
                <formatCode>#,##0;[Red]\(#,##0\);\–</formatCode>
                <ptCount val="12"/>
                <pt idx="7">
                  <v>12622851.42000002</v>
                </pt>
                <pt idx="8">
                  <v>14239710.5388675</v>
                </pt>
                <pt idx="9">
                  <v>15770944.657735</v>
                </pt>
                <pt idx="10">
                  <v>17301944.7766025</v>
                </pt>
                <pt idx="11">
                  <v>18969145.89547</v>
                </pt>
              </numCache>
            </numRef>
          </val>
          <smooth val="0"/>
        </ser>
        <ser>
          <idx val="3"/>
          <order val="3"/>
          <tx>
            <v>Budsjett YTD</v>
          </tx>
          <spPr>
            <a:ln xmlns:a="http://schemas.openxmlformats.org/drawingml/2006/main" w="28575" cap="rnd">
              <a:solidFill>
                <a:srgbClr val="8B9DA7"/>
              </a:solidFill>
              <a:prstDash val="solid"/>
              <a:round/>
            </a:ln>
          </spPr>
          <marker>
            <symbol val="none"/>
            <spPr>
              <a:ln xmlns:a="http://schemas.openxmlformats.org/drawingml/2006/main">
                <a:prstDash val="solid"/>
              </a:ln>
            </spPr>
          </marker>
          <cat>
            <strRef>
              <f>'4 Ny Prognose EOY'!$B$72:$B$83</f>
              <strCache>
                <ptCount val="12"/>
                <pt idx="0">
                  <v>2024-01</v>
                </pt>
                <pt idx="1">
                  <v>2024-02</v>
                </pt>
                <pt idx="2">
                  <v>2024-03</v>
                </pt>
                <pt idx="3">
                  <v>2024-04</v>
                </pt>
                <pt idx="4">
                  <v>2024-05</v>
                </pt>
                <pt idx="5">
                  <v>2024-06</v>
                </pt>
                <pt idx="6">
                  <v>2024-07</v>
                </pt>
                <pt idx="7">
                  <v>2024-08</v>
                </pt>
                <pt idx="8">
                  <v>2024-09</v>
                </pt>
                <pt idx="9">
                  <v>2024-10</v>
                </pt>
                <pt idx="10">
                  <v>2024-11</v>
                </pt>
                <pt idx="11">
                  <v>2024-12</v>
                </pt>
              </strCache>
            </strRef>
          </cat>
          <val>
            <numRef>
              <f>'4 Ny Prognose EOY'!$C$72:$C$83</f>
              <numCache>
                <formatCode>#,##0;[Red]\(#,##0\);\–</formatCode>
                <ptCount val="12"/>
                <pt idx="0">
                  <v>1403337</v>
                </pt>
                <pt idx="1">
                  <v>2814230</v>
                </pt>
                <pt idx="2">
                  <v>4156611</v>
                </pt>
                <pt idx="3">
                  <v>6513970</v>
                </pt>
                <pt idx="4">
                  <v>8058185</v>
                </pt>
                <pt idx="5">
                  <v>8299866</v>
                </pt>
                <pt idx="6">
                  <v>9812075</v>
                </pt>
                <pt idx="7">
                  <v>11337237</v>
                </pt>
                <pt idx="8">
                  <v>12841636</v>
                </pt>
                <pt idx="9">
                  <v>14260410</v>
                </pt>
                <pt idx="10">
                  <v>15678950</v>
                </pt>
                <pt idx="11">
                  <v>17233691</v>
                </pt>
              </numCache>
            </numRef>
          </val>
          <smooth val="0"/>
        </ser>
        <ser>
          <idx val="4"/>
          <order val="4"/>
          <tx>
            <v>Bokført YTD</v>
          </tx>
          <spPr>
            <a:ln xmlns:a="http://schemas.openxmlformats.org/drawingml/2006/main" w="28575" cap="rnd">
              <a:solidFill>
                <a:srgbClr val="126F81"/>
              </a:solidFill>
              <a:prstDash val="solid"/>
              <a:round/>
            </a:ln>
          </spPr>
          <marker>
            <symbol val="none"/>
            <spPr>
              <a:ln xmlns:a="http://schemas.openxmlformats.org/drawingml/2006/main">
                <a:prstDash val="solid"/>
              </a:ln>
            </spPr>
          </marker>
          <cat>
            <strRef>
              <f>'4 Ny Prognose EOY'!$B$72:$B$83</f>
              <strCache>
                <ptCount val="12"/>
                <pt idx="0">
                  <v>2024-01</v>
                </pt>
                <pt idx="1">
                  <v>2024-02</v>
                </pt>
                <pt idx="2">
                  <v>2024-03</v>
                </pt>
                <pt idx="3">
                  <v>2024-04</v>
                </pt>
                <pt idx="4">
                  <v>2024-05</v>
                </pt>
                <pt idx="5">
                  <v>2024-06</v>
                </pt>
                <pt idx="6">
                  <v>2024-07</v>
                </pt>
                <pt idx="7">
                  <v>2024-08</v>
                </pt>
                <pt idx="8">
                  <v>2024-09</v>
                </pt>
                <pt idx="9">
                  <v>2024-10</v>
                </pt>
                <pt idx="10">
                  <v>2024-11</v>
                </pt>
                <pt idx="11">
                  <v>2024-12</v>
                </pt>
              </strCache>
            </strRef>
          </cat>
          <val>
            <numRef>
              <f>'4 Ny Prognose EOY'!$D$72:$D$83</f>
              <numCache>
                <formatCode>#,##0;[Red]\(#,##0\);\–</formatCode>
                <ptCount val="12"/>
                <pt idx="0">
                  <v>1014751.5</v>
                </pt>
                <pt idx="1">
                  <v>3096841.29</v>
                </pt>
                <pt idx="2">
                  <v>4638089.799999999</v>
                </pt>
                <pt idx="3">
                  <v>6894805.459999998</v>
                </pt>
                <pt idx="4">
                  <v>8508242.30000001</v>
                </pt>
                <pt idx="5">
                  <v>9027578.530000005</v>
                </pt>
                <pt idx="6">
                  <v>10865101.60000001</v>
                </pt>
                <pt idx="7">
                  <v>12622851.42000002</v>
                </pt>
              </numCache>
            </numRef>
          </val>
          <smooth val="0"/>
        </ser>
        <dLbls>
          <showLegendKey val="0"/>
          <showVal val="0"/>
          <showCatName val="0"/>
          <showSerName val="0"/>
          <showPercent val="0"/>
          <showBubbleSize val="0"/>
        </dLbls>
        <smooth val="0"/>
        <axId val="93421808"/>
        <axId val="1956409519"/>
      </lineChart>
      <catAx>
        <axId val="9342180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956409519"/>
        <crosses val="autoZero"/>
        <auto val="0"/>
        <lblAlgn val="ctr"/>
        <lblOffset val="100"/>
        <tickLblSkip val="1"/>
        <noMultiLvlLbl val="0"/>
      </catAx>
      <valAx>
        <axId val="1956409519"/>
        <scaling>
          <orientation val="minMax"/>
          <max val="21000000"/>
          <min val="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Red]\(#,##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93421808"/>
        <crosses val="autoZero"/>
        <crossBetween val="between"/>
        <dispUnits>
          <builtInUnit val="millions"/>
          <dispUnitsLbl>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nb-NO"/>
              </a:p>
            </txPr>
          </dispUnitsLbl>
        </dispUnits>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Estimert effekt: 2024 EOY mot helårsnivå</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nb-NO"/>
        </a:p>
      </txPr>
    </title>
    <plotArea>
      <layout/>
      <barChart>
        <barDir val="col"/>
        <grouping val="clustered"/>
        <varyColors val="0"/>
        <ser>
          <idx val="0"/>
          <order val="0"/>
          <tx>
            <strRef>
              <f>'5 Langsiktig effekt'!$C$11</f>
              <strCache>
                <ptCount val="1"/>
                <pt idx="0">
                  <v>EOY-estimat (kr)</v>
                </pt>
              </strCache>
            </strRef>
          </tx>
          <spPr>
            <a:solidFill xmlns:a="http://schemas.openxmlformats.org/drawingml/2006/main">
              <a:schemeClr val="accent1"/>
            </a:solidFill>
            <a:ln xmlns:a="http://schemas.openxmlformats.org/drawingml/2006/main">
              <a:noFill/>
              <a:prstDash val="solid"/>
            </a:ln>
          </spPr>
          <invertIfNegative val="0"/>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nb-NO"/>
              </a:p>
            </txPr>
            <showLegendKey val="0"/>
            <showVal val="1"/>
            <showCatName val="0"/>
            <showSerName val="0"/>
            <showPercent val="0"/>
            <showBubbleSize val="0"/>
            <showLeaderLines val="0"/>
          </dLbls>
          <cat>
            <strRef>
              <f>'5 Langsiktig effekt'!$B$12:$B$13</f>
              <strCache>
                <ptCount val="2"/>
                <pt idx="0">
                  <v>T5 · Turnus/kapasitet</v>
                </pt>
                <pt idx="1">
                  <v>T6 · Digital planprosess</v>
                </pt>
              </strCache>
            </strRef>
          </cat>
          <val>
            <numRef>
              <f>'5 Langsiktig effekt'!$C$12:$C$13</f>
              <numCache>
                <formatCode>#,##0;[Red]\(#,##0\);\–</formatCode>
                <ptCount val="2"/>
                <pt idx="0">
                  <v>27473.74278</v>
                </pt>
                <pt idx="1">
                  <v>30701.073</v>
                </pt>
              </numCache>
            </numRef>
          </val>
        </ser>
        <ser>
          <idx val="1"/>
          <order val="1"/>
          <tx>
            <strRef>
              <f>'5 Langsiktig effekt'!$D$11</f>
              <strCache>
                <ptCount val="1"/>
                <pt idx="0">
                  <v>Helårsestimat (kr)</v>
                </pt>
              </strCache>
            </strRef>
          </tx>
          <spPr>
            <a:solidFill xmlns:a="http://schemas.openxmlformats.org/drawingml/2006/main">
              <a:schemeClr val="accent2"/>
            </a:solidFill>
            <a:ln xmlns:a="http://schemas.openxmlformats.org/drawingml/2006/main">
              <a:noFill/>
              <a:prstDash val="solid"/>
            </a:ln>
          </spPr>
          <invertIfNegative val="0"/>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nb-NO"/>
              </a:p>
            </txPr>
            <showLegendKey val="0"/>
            <showVal val="1"/>
            <showCatName val="0"/>
            <showSerName val="0"/>
            <showPercent val="0"/>
            <showBubbleSize val="0"/>
            <showLeaderLines val="0"/>
          </dLbls>
          <cat>
            <strRef>
              <f>'5 Langsiktig effekt'!$B$12:$B$13</f>
              <strCache>
                <ptCount val="2"/>
                <pt idx="0">
                  <v>T5 · Turnus/kapasitet</v>
                </pt>
                <pt idx="1">
                  <v>T6 · Digital planprosess</v>
                </pt>
              </strCache>
            </strRef>
          </cat>
          <val>
            <numRef>
              <f>'5 Langsiktig effekt'!$D$12:$D$13</f>
              <numCache>
                <formatCode>#,##0;[Red]\(#,##0\);\–</formatCode>
                <ptCount val="2"/>
                <pt idx="0">
                  <v>48079.04986499999</v>
                </pt>
                <pt idx="1">
                  <v>42981.5022</v>
                </pt>
              </numCache>
            </numRef>
          </val>
        </ser>
        <dLbls>
          <showLegendKey val="0"/>
          <showVal val="0"/>
          <showCatName val="0"/>
          <showSerName val="0"/>
          <showPercent val="0"/>
          <showBubbleSize val="0"/>
        </dLbls>
        <gapWidth val="219"/>
        <overlap val="-27"/>
        <axId val="45885904"/>
        <axId val="1956455119"/>
      </barChart>
      <catAx>
        <axId val="45885904"/>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1956455119"/>
        <crosses val="autoZero"/>
        <auto val="1"/>
        <lblAlgn val="ctr"/>
        <lblOffset val="100"/>
        <noMultiLvlLbl val="0"/>
      </catAx>
      <valAx>
        <axId val="1956455119"/>
        <scaling>
          <orientation val="minMax"/>
          <max val="60000"/>
          <min val="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Red]\(#,##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crossAx val="45885904"/>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nb-NO"/>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s>
</file>

<file path=xl/drawings/_rels/drawing3.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_rels/drawing4.xml.rels><Relationships xmlns="http://schemas.openxmlformats.org/package/2006/relationships"><Relationship Type="http://schemas.openxmlformats.org/officeDocument/2006/relationships/chart" Target="/xl/charts/chart9.xml" Id="rId1"/></Relationships>
</file>

<file path=xl/drawings/drawing1.xml><?xml version="1.0" encoding="utf-8"?>
<wsDr xmlns="http://schemas.openxmlformats.org/drawingml/2006/spreadsheetDrawing">
  <twoCellAnchor>
    <from>
      <col>1</col>
      <colOff>0</colOff>
      <row>9</row>
      <rowOff>15875</rowOff>
    </from>
    <to>
      <col>7</col>
      <colOff>523875</colOff>
      <row>27</row>
      <rowOff>73025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538162</colOff>
      <row>58</row>
      <rowOff>30956</rowOff>
    </from>
    <to>
      <col>15</col>
      <colOff>0</colOff>
      <row>83</row>
      <rowOff>114300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2381</colOff>
      <row>36</row>
      <rowOff>85724</rowOff>
    </from>
    <to>
      <col>7</col>
      <colOff>381001</colOff>
      <row>54</row>
      <rowOff>142874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793</colOff>
      <row>36</row>
      <rowOff>65087</rowOff>
    </from>
    <to>
      <col>13</col>
      <colOff>261937</colOff>
      <row>54</row>
      <rowOff>122237</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833437</colOff>
      <row>9</row>
      <rowOff>36511</rowOff>
    </from>
    <to>
      <col>13</col>
      <colOff>1282700</colOff>
      <row>27</row>
      <rowOff>93661</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2.xml><?xml version="1.0" encoding="utf-8"?>
<wsDr xmlns="http://schemas.openxmlformats.org/drawingml/2006/spreadsheetDrawing">
  <twoCellAnchor>
    <from>
      <col>6</col>
      <colOff>17991</colOff>
      <row>28</row>
      <rowOff>0</rowOff>
    </from>
    <to>
      <col>11</col>
      <colOff>941917</colOff>
      <row>41</row>
      <rowOff>42333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1</col>
      <colOff>55561</colOff>
      <row>37</row>
      <rowOff>152400</rowOff>
    </from>
    <to>
      <col>3</col>
      <colOff>1401762</colOff>
      <row>54</row>
      <rowOff>30956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74611</colOff>
      <row>38</row>
      <rowOff>50006</rowOff>
    </from>
    <to>
      <col>12</col>
      <colOff>35718</colOff>
      <row>53</row>
      <rowOff>130969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4.xml><?xml version="1.0" encoding="utf-8"?>
<wsDr xmlns="http://schemas.openxmlformats.org/drawingml/2006/spreadsheetDrawing">
  <twoCellAnchor>
    <from>
      <col>0</col>
      <colOff>981074</colOff>
      <row>16</row>
      <rowOff>47625</rowOff>
    </from>
    <to>
      <col>11</col>
      <colOff>968374</colOff>
      <row>29</row>
      <rowOff>82550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Frank Ellingsen" refreshedDate="46307.8778474537" createdVersion="8" refreshedVersion="8" minRefreshableVersion="3" recordCount="1056" r:id="rId1">
  <cacheSource type="worksheet">
    <worksheetSource name="tbl_BoMiljo"/>
  </cacheSource>
  <cacheFields count="17">
    <cacheField name="Periode" uniqueList="1" numFmtId="0" sqlType="0" hierarchy="0" level="0" databaseField="1">
      <sharedItems count="12">
        <s v="2024-01"/>
        <s v="2024-02"/>
        <s v="2024-03"/>
        <s v="2024-04"/>
        <s v="2024-05"/>
        <s v="2024-06"/>
        <s v="2024-07"/>
        <s v="2024-08"/>
        <s v="2024-09"/>
        <s v="2024-10"/>
        <s v="2024-11"/>
        <s v="2024-12"/>
      </sharedItems>
    </cacheField>
    <cacheField name="Måned" uniqueList="1" numFmtId="0" sqlType="0" hierarchy="0" level="0" databaseField="1">
      <sharedItems count="0"/>
    </cacheField>
    <cacheField name="Måned_Nr" uniqueList="1" numFmtId="0" sqlType="0" hierarchy="0" level="0" databaseField="1">
      <sharedItems count="0" containsInteger="1" containsNumber="1" containsSemiMixedTypes="0" containsString="0" minValue="1" maxValue="12"/>
    </cacheField>
    <cacheField name="Tertial" uniqueList="1" numFmtId="0" sqlType="0" hierarchy="0" level="0" databaseField="1">
      <sharedItems count="0"/>
    </cacheField>
    <cacheField name="Status" uniqueList="1" numFmtId="0" sqlType="0" hierarchy="0" level="0" databaseField="1">
      <sharedItems count="2">
        <s v="Bokført"/>
        <s v="Gjenstående budsjett"/>
      </sharedItems>
    </cacheField>
    <cacheField name="Lokasjon" uniqueList="1" numFmtId="0" sqlType="0" hierarchy="0" level="0" databaseField="1">
      <sharedItems count="0"/>
    </cacheField>
    <cacheField name="KOSTRA_Funksjon" uniqueList="1" numFmtId="0" sqlType="0" hierarchy="0" level="0" databaseField="1">
      <sharedItems count="0" containsInteger="1" containsNumber="1" containsSemiMixedTypes="0" containsString="0" minValue="254" maxValue="254"/>
    </cacheField>
    <cacheField name="Tjenesteområde" uniqueList="1" numFmtId="0" sqlType="0" hierarchy="0" level="0" databaseField="1">
      <sharedItems count="0"/>
    </cacheField>
    <cacheField name="Hovedgruppe" uniqueList="1" numFmtId="0" sqlType="0" hierarchy="0" level="0" databaseField="1">
      <sharedItems count="3">
        <s v="1 Lønn"/>
        <s v="2 Utgifter"/>
        <s v="3 Inntekter"/>
      </sharedItems>
    </cacheField>
    <cacheField name="Undergruppe" uniqueList="1" numFmtId="0" sqlType="0" hierarchy="0" level="0" databaseField="1">
      <sharedItems count="6">
        <s v="10 Lønn"/>
        <s v="11 Refusjon lønn"/>
        <s v="14 Overføringer"/>
        <s v="15 Finansutgifter"/>
        <s v="16 Brukerbetaling"/>
        <s v="17 Refusjoner"/>
      </sharedItems>
    </cacheField>
    <cacheField name="KOSTRA_Art" uniqueList="1" numFmtId="0" sqlType="0" hierarchy="0" level="0" databaseField="1">
      <sharedItems count="0" containsInteger="1" containsNumber="1" containsSemiMixedTypes="0" containsString="0" minValue="1010" maxValue="1770"/>
    </cacheField>
    <cacheField name="Kontokode" uniqueList="1" numFmtId="0" sqlType="0" hierarchy="0" level="0" databaseField="1">
      <sharedItems count="0" containsInteger="1" containsNumber="1" containsSemiMixedTypes="0" containsString="0" minValue="101000" maxValue="177000"/>
    </cacheField>
    <cacheField name="Kontonavn" uniqueList="1" numFmtId="0" sqlType="0" hierarchy="0" level="0" databaseField="1">
      <sharedItems count="0"/>
    </cacheField>
    <cacheField name="Budsjett" uniqueList="1" numFmtId="0" sqlType="0" hierarchy="0" level="0" databaseField="1">
      <sharedItems count="0" containsInteger="1" containsNumber="1" containsSemiMixedTypes="0" containsString="0" minValue="-126322" maxValue="1055848"/>
    </cacheField>
    <cacheField name="Regnskap" uniqueList="1" numFmtId="0" sqlType="0" hierarchy="0" level="0" databaseField="1">
      <sharedItems count="0" containsNumber="1" containsSemiMixedTypes="0" containsString="0" minValue="-99000" maxValue="1034142.89"/>
    </cacheField>
    <cacheField name="Avvik" uniqueList="1" numFmtId="0" sqlType="0" hierarchy="0" level="0" databaseField="1">
      <sharedItems count="0" containsNumber="1" containsSemiMixedTypes="0" containsString="0" minValue="-238180.5" maxValue="253176"/>
    </cacheField>
    <cacheField name="Merforbruk" uniqueList="1" numFmtId="0" sqlType="0" hierarchy="0" level="0" databaseField="1">
      <sharedItems count="0" containsNumber="1" containsSemiMixedTypes="0" containsString="0" minValue="-857364" maxValue="253176"/>
    </cacheField>
  </cacheFields>
</pivotCacheDefinition>
</file>

<file path=xl/pivotCache/pivotCacheRecords1.xml><?xml version="1.0" encoding="utf-8"?>
<pivotCacheRecords xmlns="http://schemas.openxmlformats.org/spreadsheetml/2006/main" count="1056">
  <r>
    <x v="0"/>
    <s v="Januar"/>
    <n v="1"/>
    <s v="T1"/>
    <x v="0"/>
    <s v="Kommunal Boenhet"/>
    <n v="254"/>
    <s v="Helse og mestring"/>
    <x v="0"/>
    <x v="0"/>
    <n v="1010"/>
    <n v="101000"/>
    <s v="Fastlønn - ordinære"/>
    <n v="821676"/>
    <n v="659882.34"/>
    <n v="161793.66"/>
    <n v="-161793.66"/>
  </r>
  <r>
    <x v="1"/>
    <s v="Februar"/>
    <n v="2"/>
    <s v="T1"/>
    <x v="0"/>
    <s v="Kommunal Boenhet"/>
    <n v="254"/>
    <s v="Helse og mestring"/>
    <x v="0"/>
    <x v="0"/>
    <n v="1010"/>
    <n v="101000"/>
    <s v="Fastlønn - ordinære"/>
    <n v="821676"/>
    <n v="956490.83"/>
    <n v="-134814.83"/>
    <n v="134814.83"/>
  </r>
  <r>
    <x v="2"/>
    <s v="Mars"/>
    <n v="3"/>
    <s v="T1"/>
    <x v="0"/>
    <s v="Kommunal Boenhet"/>
    <n v="254"/>
    <s v="Helse og mestring"/>
    <x v="0"/>
    <x v="0"/>
    <n v="1010"/>
    <n v="101000"/>
    <s v="Fastlønn - ordinære"/>
    <n v="821676"/>
    <n v="923021.33"/>
    <n v="-101345.33"/>
    <n v="101345.33"/>
  </r>
  <r>
    <x v="3"/>
    <s v="April"/>
    <n v="4"/>
    <s v="T1"/>
    <x v="0"/>
    <s v="Kommunal Boenhet"/>
    <n v="254"/>
    <s v="Helse og mestring"/>
    <x v="0"/>
    <x v="0"/>
    <n v="1010"/>
    <n v="101000"/>
    <s v="Fastlønn - ordinære"/>
    <n v="821676"/>
    <n v="804796.85"/>
    <n v="16879.15"/>
    <n v="-16879.15"/>
  </r>
  <r>
    <x v="4"/>
    <s v="Mai"/>
    <n v="5"/>
    <s v="T2"/>
    <x v="0"/>
    <s v="Kommunal Boenhet"/>
    <n v="254"/>
    <s v="Helse og mestring"/>
    <x v="0"/>
    <x v="0"/>
    <n v="1010"/>
    <n v="101000"/>
    <s v="Fastlønn - ordinære"/>
    <n v="857162"/>
    <n v="920235.95"/>
    <n v="-63073.95"/>
    <n v="63073.95"/>
  </r>
  <r>
    <x v="5"/>
    <s v="Juni"/>
    <n v="6"/>
    <s v="T2"/>
    <x v="0"/>
    <s v="Kommunal Boenhet"/>
    <n v="254"/>
    <s v="Helse og mestring"/>
    <x v="0"/>
    <x v="0"/>
    <n v="1010"/>
    <n v="101000"/>
    <s v="Fastlønn - ordinære"/>
    <n v="-126322"/>
    <n v="111858.5"/>
    <n v="-238180.5"/>
    <n v="238180.5"/>
  </r>
  <r>
    <x v="6"/>
    <s v="Juli"/>
    <n v="7"/>
    <s v="T2"/>
    <x v="0"/>
    <s v="Kommunal Boenhet"/>
    <n v="254"/>
    <s v="Helse og mestring"/>
    <x v="0"/>
    <x v="0"/>
    <n v="1010"/>
    <n v="101000"/>
    <s v="Fastlønn - ordinære"/>
    <n v="857144"/>
    <n v="953189.12"/>
    <n v="-96045.12"/>
    <n v="96045.12"/>
  </r>
  <r>
    <x v="7"/>
    <s v="August"/>
    <n v="8"/>
    <s v="T2"/>
    <x v="0"/>
    <s v="Kommunal Boenhet"/>
    <n v="254"/>
    <s v="Helse og mestring"/>
    <x v="0"/>
    <x v="0"/>
    <n v="1010"/>
    <n v="101000"/>
    <s v="Fastlønn - ordinære"/>
    <n v="857162"/>
    <n v="877293.6899999999"/>
    <n v="-20131.69"/>
    <n v="20131.69"/>
  </r>
  <r>
    <x v="8"/>
    <s v="September"/>
    <n v="9"/>
    <s v="T3"/>
    <x v="1"/>
    <s v="Kommunal Boenhet"/>
    <n v="254"/>
    <s v="Helse og mestring"/>
    <x v="0"/>
    <x v="0"/>
    <n v="1010"/>
    <n v="101000"/>
    <s v="Fastlønn - ordinære"/>
    <n v="857162"/>
    <n v="0"/>
    <n v="0"/>
    <n v="-857162"/>
  </r>
  <r>
    <x v="9"/>
    <s v="Oktober"/>
    <n v="10"/>
    <s v="T3"/>
    <x v="1"/>
    <s v="Kommunal Boenhet"/>
    <n v="254"/>
    <s v="Helse og mestring"/>
    <x v="0"/>
    <x v="0"/>
    <n v="1010"/>
    <n v="101000"/>
    <s v="Fastlønn - ordinære"/>
    <n v="857162"/>
    <n v="0"/>
    <n v="0"/>
    <n v="-857162"/>
  </r>
  <r>
    <x v="10"/>
    <s v="November"/>
    <n v="11"/>
    <s v="T3"/>
    <x v="1"/>
    <s v="Kommunal Boenhet"/>
    <n v="254"/>
    <s v="Helse og mestring"/>
    <x v="0"/>
    <x v="0"/>
    <n v="1010"/>
    <n v="101000"/>
    <s v="Fastlønn - ordinære"/>
    <n v="857162"/>
    <n v="0"/>
    <n v="0"/>
    <n v="-857162"/>
  </r>
  <r>
    <x v="11"/>
    <s v="Desember"/>
    <n v="12"/>
    <s v="T3"/>
    <x v="1"/>
    <s v="Kommunal Boenhet"/>
    <n v="254"/>
    <s v="Helse og mestring"/>
    <x v="0"/>
    <x v="0"/>
    <n v="1010"/>
    <n v="101000"/>
    <s v="Fastlønn - ordinære"/>
    <n v="857364"/>
    <n v="0"/>
    <n v="0"/>
    <n v="-857364"/>
  </r>
  <r>
    <x v="0"/>
    <s v="Januar"/>
    <n v="1"/>
    <s v="T1"/>
    <x v="0"/>
    <s v="Kommunal Boenhet"/>
    <n v="254"/>
    <s v="Helse og mestring"/>
    <x v="0"/>
    <x v="0"/>
    <n v="1010"/>
    <n v="101030"/>
    <s v="Fastlønn - lørdags- og søndagstillegg"/>
    <n v="56644"/>
    <n v="36599.82"/>
    <n v="20044.18"/>
    <n v="-20044.18"/>
  </r>
  <r>
    <x v="1"/>
    <s v="Februar"/>
    <n v="2"/>
    <s v="T1"/>
    <x v="0"/>
    <s v="Kommunal Boenhet"/>
    <n v="254"/>
    <s v="Helse og mestring"/>
    <x v="0"/>
    <x v="0"/>
    <n v="1010"/>
    <n v="101030"/>
    <s v="Fastlønn - lørdags- og søndagstillegg"/>
    <n v="56644"/>
    <n v="70150.5"/>
    <n v="-13506.5"/>
    <n v="13506.5"/>
  </r>
  <r>
    <x v="2"/>
    <s v="Mars"/>
    <n v="3"/>
    <s v="T1"/>
    <x v="0"/>
    <s v="Kommunal Boenhet"/>
    <n v="254"/>
    <s v="Helse og mestring"/>
    <x v="0"/>
    <x v="0"/>
    <n v="1010"/>
    <n v="101030"/>
    <s v="Fastlønn - lørdags- og søndagstillegg"/>
    <n v="56644"/>
    <n v="39979.31"/>
    <n v="16664.69"/>
    <n v="-16664.69"/>
  </r>
  <r>
    <x v="3"/>
    <s v="April"/>
    <n v="4"/>
    <s v="T1"/>
    <x v="0"/>
    <s v="Kommunal Boenhet"/>
    <n v="254"/>
    <s v="Helse og mestring"/>
    <x v="0"/>
    <x v="0"/>
    <n v="1010"/>
    <n v="101030"/>
    <s v="Fastlønn - lørdags- og søndagstillegg"/>
    <n v="56644"/>
    <n v="48274.93"/>
    <n v="8369.07"/>
    <n v="-8369.07"/>
  </r>
  <r>
    <x v="4"/>
    <s v="Mai"/>
    <n v="5"/>
    <s v="T2"/>
    <x v="0"/>
    <s v="Kommunal Boenhet"/>
    <n v="254"/>
    <s v="Helse og mestring"/>
    <x v="0"/>
    <x v="0"/>
    <n v="1010"/>
    <n v="101030"/>
    <s v="Fastlønn - lørdags- og søndagstillegg"/>
    <n v="56644"/>
    <n v="47870.48"/>
    <n v="8773.52"/>
    <n v="-8773.52"/>
  </r>
  <r>
    <x v="5"/>
    <s v="Juni"/>
    <n v="6"/>
    <s v="T2"/>
    <x v="0"/>
    <s v="Kommunal Boenhet"/>
    <n v="254"/>
    <s v="Helse og mestring"/>
    <x v="0"/>
    <x v="0"/>
    <n v="1010"/>
    <n v="101030"/>
    <s v="Fastlønn - lørdags- og søndagstillegg"/>
    <n v="56644"/>
    <n v="-6962.54"/>
    <n v="63606.54"/>
    <n v="-63606.54"/>
  </r>
  <r>
    <x v="6"/>
    <s v="Juli"/>
    <n v="7"/>
    <s v="T2"/>
    <x v="0"/>
    <s v="Kommunal Boenhet"/>
    <n v="254"/>
    <s v="Helse og mestring"/>
    <x v="0"/>
    <x v="0"/>
    <n v="1010"/>
    <n v="101030"/>
    <s v="Fastlønn - lørdags- og søndagstillegg"/>
    <n v="56644"/>
    <n v="43842.94"/>
    <n v="12801.06"/>
    <n v="-12801.06"/>
  </r>
  <r>
    <x v="7"/>
    <s v="August"/>
    <n v="8"/>
    <s v="T2"/>
    <x v="0"/>
    <s v="Kommunal Boenhet"/>
    <n v="254"/>
    <s v="Helse og mestring"/>
    <x v="0"/>
    <x v="0"/>
    <n v="1010"/>
    <n v="101030"/>
    <s v="Fastlønn - lørdags- og søndagstillegg"/>
    <n v="56644"/>
    <n v="44006.01"/>
    <n v="12637.99"/>
    <n v="-12637.99"/>
  </r>
  <r>
    <x v="8"/>
    <s v="September"/>
    <n v="9"/>
    <s v="T3"/>
    <x v="1"/>
    <s v="Kommunal Boenhet"/>
    <n v="254"/>
    <s v="Helse og mestring"/>
    <x v="0"/>
    <x v="0"/>
    <n v="1010"/>
    <n v="101030"/>
    <s v="Fastlønn - lørdags- og søndagstillegg"/>
    <n v="56644"/>
    <n v="0"/>
    <n v="0"/>
    <n v="-56644"/>
  </r>
  <r>
    <x v="9"/>
    <s v="Oktober"/>
    <n v="10"/>
    <s v="T3"/>
    <x v="1"/>
    <s v="Kommunal Boenhet"/>
    <n v="254"/>
    <s v="Helse og mestring"/>
    <x v="0"/>
    <x v="0"/>
    <n v="1010"/>
    <n v="101030"/>
    <s v="Fastlønn - lørdags- og søndagstillegg"/>
    <n v="56644"/>
    <n v="0"/>
    <n v="0"/>
    <n v="-56644"/>
  </r>
  <r>
    <x v="10"/>
    <s v="November"/>
    <n v="11"/>
    <s v="T3"/>
    <x v="1"/>
    <s v="Kommunal Boenhet"/>
    <n v="254"/>
    <s v="Helse og mestring"/>
    <x v="0"/>
    <x v="0"/>
    <n v="1010"/>
    <n v="101030"/>
    <s v="Fastlønn - lørdags- og søndagstillegg"/>
    <n v="56644"/>
    <n v="0"/>
    <n v="0"/>
    <n v="-56644"/>
  </r>
  <r>
    <x v="11"/>
    <s v="Desember"/>
    <n v="12"/>
    <s v="T3"/>
    <x v="1"/>
    <s v="Kommunal Boenhet"/>
    <n v="254"/>
    <s v="Helse og mestring"/>
    <x v="0"/>
    <x v="0"/>
    <n v="1010"/>
    <n v="101030"/>
    <s v="Fastlønn - lørdags- og søndagstillegg"/>
    <n v="56916"/>
    <n v="0"/>
    <n v="0"/>
    <n v="-56916"/>
  </r>
  <r>
    <x v="0"/>
    <s v="Januar"/>
    <n v="1"/>
    <s v="T1"/>
    <x v="0"/>
    <s v="Kommunal Boenhet"/>
    <n v="254"/>
    <s v="Helse og mestring"/>
    <x v="0"/>
    <x v="0"/>
    <n v="1010"/>
    <n v="101031"/>
    <s v="Fastlønn - kvelds- og nattillegg"/>
    <n v="70447"/>
    <n v="63095.38"/>
    <n v="7351.62"/>
    <n v="-7351.62"/>
  </r>
  <r>
    <x v="1"/>
    <s v="Februar"/>
    <n v="2"/>
    <s v="T1"/>
    <x v="0"/>
    <s v="Kommunal Boenhet"/>
    <n v="254"/>
    <s v="Helse og mestring"/>
    <x v="0"/>
    <x v="0"/>
    <n v="1010"/>
    <n v="101031"/>
    <s v="Fastlønn - kvelds- og nattillegg"/>
    <n v="70447"/>
    <n v="70583.67"/>
    <n v="-136.67"/>
    <n v="136.67"/>
  </r>
  <r>
    <x v="2"/>
    <s v="Mars"/>
    <n v="3"/>
    <s v="T1"/>
    <x v="0"/>
    <s v="Kommunal Boenhet"/>
    <n v="254"/>
    <s v="Helse og mestring"/>
    <x v="0"/>
    <x v="0"/>
    <n v="1010"/>
    <n v="101031"/>
    <s v="Fastlønn - kvelds- og nattillegg"/>
    <n v="70447"/>
    <n v="64251.84"/>
    <n v="6195.16"/>
    <n v="-6195.16"/>
  </r>
  <r>
    <x v="3"/>
    <s v="April"/>
    <n v="4"/>
    <s v="T1"/>
    <x v="0"/>
    <s v="Kommunal Boenhet"/>
    <n v="254"/>
    <s v="Helse og mestring"/>
    <x v="0"/>
    <x v="0"/>
    <n v="1010"/>
    <n v="101031"/>
    <s v="Fastlønn - kvelds- og nattillegg"/>
    <n v="70447"/>
    <n v="84135.94"/>
    <n v="-13688.94"/>
    <n v="13688.94"/>
  </r>
  <r>
    <x v="4"/>
    <s v="Mai"/>
    <n v="5"/>
    <s v="T2"/>
    <x v="0"/>
    <s v="Kommunal Boenhet"/>
    <n v="254"/>
    <s v="Helse og mestring"/>
    <x v="0"/>
    <x v="0"/>
    <n v="1010"/>
    <n v="101031"/>
    <s v="Fastlønn - kvelds- og nattillegg"/>
    <n v="70447"/>
    <n v="79057.96000000001"/>
    <n v="-8610.959999999999"/>
    <n v="8610.959999999999"/>
  </r>
  <r>
    <x v="5"/>
    <s v="Juni"/>
    <n v="6"/>
    <s v="T2"/>
    <x v="0"/>
    <s v="Kommunal Boenhet"/>
    <n v="254"/>
    <s v="Helse og mestring"/>
    <x v="0"/>
    <x v="0"/>
    <n v="1010"/>
    <n v="101031"/>
    <s v="Fastlønn - kvelds- og nattillegg"/>
    <n v="70447"/>
    <n v="-14989.09"/>
    <n v="85436.09"/>
    <n v="-85436.09"/>
  </r>
  <r>
    <x v="6"/>
    <s v="Juli"/>
    <n v="7"/>
    <s v="T2"/>
    <x v="0"/>
    <s v="Kommunal Boenhet"/>
    <n v="254"/>
    <s v="Helse og mestring"/>
    <x v="0"/>
    <x v="0"/>
    <n v="1010"/>
    <n v="101031"/>
    <s v="Fastlønn - kvelds- og nattillegg"/>
    <n v="70447"/>
    <n v="66994.64"/>
    <n v="3452.36"/>
    <n v="-3452.36"/>
  </r>
  <r>
    <x v="7"/>
    <s v="August"/>
    <n v="8"/>
    <s v="T2"/>
    <x v="0"/>
    <s v="Kommunal Boenhet"/>
    <n v="254"/>
    <s v="Helse og mestring"/>
    <x v="0"/>
    <x v="0"/>
    <n v="1010"/>
    <n v="101031"/>
    <s v="Fastlønn - kvelds- og nattillegg"/>
    <n v="70447"/>
    <n v="68899.92"/>
    <n v="1547.08"/>
    <n v="-1547.08"/>
  </r>
  <r>
    <x v="8"/>
    <s v="September"/>
    <n v="9"/>
    <s v="T3"/>
    <x v="1"/>
    <s v="Kommunal Boenhet"/>
    <n v="254"/>
    <s v="Helse og mestring"/>
    <x v="0"/>
    <x v="0"/>
    <n v="1010"/>
    <n v="101031"/>
    <s v="Fastlønn - kvelds- og nattillegg"/>
    <n v="70447"/>
    <n v="0"/>
    <n v="0"/>
    <n v="-70447"/>
  </r>
  <r>
    <x v="9"/>
    <s v="Oktober"/>
    <n v="10"/>
    <s v="T3"/>
    <x v="1"/>
    <s v="Kommunal Boenhet"/>
    <n v="254"/>
    <s v="Helse og mestring"/>
    <x v="0"/>
    <x v="0"/>
    <n v="1010"/>
    <n v="101031"/>
    <s v="Fastlønn - kvelds- og nattillegg"/>
    <n v="70447"/>
    <n v="0"/>
    <n v="0"/>
    <n v="-70447"/>
  </r>
  <r>
    <x v="10"/>
    <s v="November"/>
    <n v="11"/>
    <s v="T3"/>
    <x v="1"/>
    <s v="Kommunal Boenhet"/>
    <n v="254"/>
    <s v="Helse og mestring"/>
    <x v="0"/>
    <x v="0"/>
    <n v="1010"/>
    <n v="101031"/>
    <s v="Fastlønn - kvelds- og nattillegg"/>
    <n v="70447"/>
    <n v="0"/>
    <n v="0"/>
    <n v="-70447"/>
  </r>
  <r>
    <x v="11"/>
    <s v="Desember"/>
    <n v="12"/>
    <s v="T3"/>
    <x v="1"/>
    <s v="Kommunal Boenhet"/>
    <n v="254"/>
    <s v="Helse og mestring"/>
    <x v="0"/>
    <x v="0"/>
    <n v="1010"/>
    <n v="101031"/>
    <s v="Fastlønn - kvelds- og nattillegg"/>
    <n v="70783"/>
    <n v="0"/>
    <n v="0"/>
    <n v="-70783"/>
  </r>
  <r>
    <x v="0"/>
    <s v="Januar"/>
    <n v="1"/>
    <s v="T1"/>
    <x v="0"/>
    <s v="Kommunal Boenhet"/>
    <n v="254"/>
    <s v="Helse og mestring"/>
    <x v="0"/>
    <x v="0"/>
    <n v="1010"/>
    <n v="101032"/>
    <s v="Fastlønn - helligdagstillegg"/>
    <n v="41400"/>
    <n v="0"/>
    <n v="41400"/>
    <n v="-41400"/>
  </r>
  <r>
    <x v="1"/>
    <s v="Februar"/>
    <n v="2"/>
    <s v="T1"/>
    <x v="0"/>
    <s v="Kommunal Boenhet"/>
    <n v="254"/>
    <s v="Helse og mestring"/>
    <x v="0"/>
    <x v="0"/>
    <n v="1010"/>
    <n v="101032"/>
    <s v="Fastlønn - helligdagstillegg"/>
    <n v="69138"/>
    <n v="68846.14999999999"/>
    <n v="291.85"/>
    <n v="-291.85"/>
  </r>
  <r>
    <x v="2"/>
    <s v="Mars"/>
    <n v="3"/>
    <s v="T1"/>
    <x v="0"/>
    <s v="Kommunal Boenhet"/>
    <n v="254"/>
    <s v="Helse og mestring"/>
    <x v="0"/>
    <x v="0"/>
    <n v="1010"/>
    <n v="101032"/>
    <s v="Fastlønn - helligdagstillegg"/>
    <n v="0"/>
    <n v="0"/>
    <n v="0"/>
    <n v="0"/>
  </r>
  <r>
    <x v="3"/>
    <s v="April"/>
    <n v="4"/>
    <s v="T1"/>
    <x v="0"/>
    <s v="Kommunal Boenhet"/>
    <n v="254"/>
    <s v="Helse og mestring"/>
    <x v="0"/>
    <x v="0"/>
    <n v="1010"/>
    <n v="101032"/>
    <s v="Fastlønn - helligdagstillegg"/>
    <n v="0"/>
    <n v="0"/>
    <n v="0"/>
    <n v="0"/>
  </r>
  <r>
    <x v="4"/>
    <s v="Mai"/>
    <n v="5"/>
    <s v="T2"/>
    <x v="0"/>
    <s v="Kommunal Boenhet"/>
    <n v="254"/>
    <s v="Helse og mestring"/>
    <x v="0"/>
    <x v="0"/>
    <n v="1010"/>
    <n v="101032"/>
    <s v="Fastlønn - helligdagstillegg"/>
    <n v="151524"/>
    <n v="124415.44"/>
    <n v="27108.56"/>
    <n v="-27108.56"/>
  </r>
  <r>
    <x v="5"/>
    <s v="Juni"/>
    <n v="6"/>
    <s v="T2"/>
    <x v="0"/>
    <s v="Kommunal Boenhet"/>
    <n v="254"/>
    <s v="Helse og mestring"/>
    <x v="0"/>
    <x v="0"/>
    <n v="1010"/>
    <n v="101032"/>
    <s v="Fastlønn - helligdagstillegg"/>
    <n v="82800"/>
    <n v="83030.13"/>
    <n v="-230.13"/>
    <n v="230.13"/>
  </r>
  <r>
    <x v="6"/>
    <s v="Juli"/>
    <n v="7"/>
    <s v="T2"/>
    <x v="0"/>
    <s v="Kommunal Boenhet"/>
    <n v="254"/>
    <s v="Helse og mestring"/>
    <x v="0"/>
    <x v="0"/>
    <n v="1010"/>
    <n v="101032"/>
    <s v="Fastlønn - helligdagstillegg"/>
    <n v="69138"/>
    <n v="74223.33"/>
    <n v="-5085.33"/>
    <n v="5085.33"/>
  </r>
  <r>
    <x v="7"/>
    <s v="August"/>
    <n v="8"/>
    <s v="T2"/>
    <x v="0"/>
    <s v="Kommunal Boenhet"/>
    <n v="254"/>
    <s v="Helse og mestring"/>
    <x v="0"/>
    <x v="0"/>
    <n v="1010"/>
    <n v="101032"/>
    <s v="Fastlønn - helligdagstillegg"/>
    <n v="0"/>
    <n v="0"/>
    <n v="0"/>
    <n v="0"/>
  </r>
  <r>
    <x v="8"/>
    <s v="September"/>
    <n v="9"/>
    <s v="T3"/>
    <x v="1"/>
    <s v="Kommunal Boenhet"/>
    <n v="254"/>
    <s v="Helse og mestring"/>
    <x v="0"/>
    <x v="0"/>
    <n v="1010"/>
    <n v="101032"/>
    <s v="Fastlønn - helligdagstillegg"/>
    <n v="0"/>
    <n v="0"/>
    <n v="0"/>
    <n v="0"/>
  </r>
  <r>
    <x v="9"/>
    <s v="Oktober"/>
    <n v="10"/>
    <s v="T3"/>
    <x v="1"/>
    <s v="Kommunal Boenhet"/>
    <n v="254"/>
    <s v="Helse og mestring"/>
    <x v="0"/>
    <x v="0"/>
    <n v="1010"/>
    <n v="101032"/>
    <s v="Fastlønn - helligdagstillegg"/>
    <n v="0"/>
    <n v="0"/>
    <n v="0"/>
    <n v="0"/>
  </r>
  <r>
    <x v="10"/>
    <s v="November"/>
    <n v="11"/>
    <s v="T3"/>
    <x v="1"/>
    <s v="Kommunal Boenhet"/>
    <n v="254"/>
    <s v="Helse og mestring"/>
    <x v="0"/>
    <x v="0"/>
    <n v="1010"/>
    <n v="101032"/>
    <s v="Fastlønn - helligdagstillegg"/>
    <n v="0"/>
    <n v="0"/>
    <n v="0"/>
    <n v="0"/>
  </r>
  <r>
    <x v="11"/>
    <s v="Desember"/>
    <n v="12"/>
    <s v="T3"/>
    <x v="1"/>
    <s v="Kommunal Boenhet"/>
    <n v="254"/>
    <s v="Helse og mestring"/>
    <x v="0"/>
    <x v="0"/>
    <n v="1010"/>
    <n v="101032"/>
    <s v="Fastlønn - helligdagstillegg"/>
    <n v="0"/>
    <n v="0"/>
    <n v="0"/>
    <n v="0"/>
  </r>
  <r>
    <x v="0"/>
    <s v="Januar"/>
    <n v="1"/>
    <s v="T1"/>
    <x v="0"/>
    <s v="Kommunal Boenhet"/>
    <n v="254"/>
    <s v="Helse og mestring"/>
    <x v="0"/>
    <x v="0"/>
    <n v="1010"/>
    <n v="101040"/>
    <s v="Fastlønn - veiledningstillegg"/>
    <n v="1292"/>
    <n v="0"/>
    <n v="1292"/>
    <n v="-1292"/>
  </r>
  <r>
    <x v="1"/>
    <s v="Februar"/>
    <n v="2"/>
    <s v="T1"/>
    <x v="0"/>
    <s v="Kommunal Boenhet"/>
    <n v="254"/>
    <s v="Helse og mestring"/>
    <x v="0"/>
    <x v="0"/>
    <n v="1010"/>
    <n v="101040"/>
    <s v="Fastlønn - veiledningstillegg"/>
    <n v="1292"/>
    <n v="0"/>
    <n v="1292"/>
    <n v="-1292"/>
  </r>
  <r>
    <x v="2"/>
    <s v="Mars"/>
    <n v="3"/>
    <s v="T1"/>
    <x v="0"/>
    <s v="Kommunal Boenhet"/>
    <n v="254"/>
    <s v="Helse og mestring"/>
    <x v="0"/>
    <x v="0"/>
    <n v="1010"/>
    <n v="101040"/>
    <s v="Fastlønn - veiledningstillegg"/>
    <n v="1292"/>
    <n v="686.45"/>
    <n v="605.55"/>
    <n v="-605.55"/>
  </r>
  <r>
    <x v="3"/>
    <s v="April"/>
    <n v="4"/>
    <s v="T1"/>
    <x v="0"/>
    <s v="Kommunal Boenhet"/>
    <n v="254"/>
    <s v="Helse og mestring"/>
    <x v="0"/>
    <x v="0"/>
    <n v="1010"/>
    <n v="101040"/>
    <s v="Fastlønn - veiledningstillegg"/>
    <n v="1292"/>
    <n v="1120"/>
    <n v="172"/>
    <n v="-172"/>
  </r>
  <r>
    <x v="4"/>
    <s v="Mai"/>
    <n v="5"/>
    <s v="T2"/>
    <x v="0"/>
    <s v="Kommunal Boenhet"/>
    <n v="254"/>
    <s v="Helse og mestring"/>
    <x v="0"/>
    <x v="0"/>
    <n v="1010"/>
    <n v="101040"/>
    <s v="Fastlønn - veiledningstillegg"/>
    <n v="1292"/>
    <n v="1120"/>
    <n v="172"/>
    <n v="-172"/>
  </r>
  <r>
    <x v="5"/>
    <s v="Juni"/>
    <n v="6"/>
    <s v="T2"/>
    <x v="0"/>
    <s v="Kommunal Boenhet"/>
    <n v="254"/>
    <s v="Helse og mestring"/>
    <x v="0"/>
    <x v="0"/>
    <n v="1010"/>
    <n v="101040"/>
    <s v="Fastlønn - veiledningstillegg"/>
    <n v="1292"/>
    <n v="-172.31"/>
    <n v="1464.31"/>
    <n v="-1464.31"/>
  </r>
  <r>
    <x v="6"/>
    <s v="Juli"/>
    <n v="7"/>
    <s v="T2"/>
    <x v="0"/>
    <s v="Kommunal Boenhet"/>
    <n v="254"/>
    <s v="Helse og mestring"/>
    <x v="0"/>
    <x v="0"/>
    <n v="1010"/>
    <n v="101040"/>
    <s v="Fastlønn - veiledningstillegg"/>
    <n v="1292"/>
    <n v="1120"/>
    <n v="172"/>
    <n v="-172"/>
  </r>
  <r>
    <x v="7"/>
    <s v="August"/>
    <n v="8"/>
    <s v="T2"/>
    <x v="0"/>
    <s v="Kommunal Boenhet"/>
    <n v="254"/>
    <s v="Helse og mestring"/>
    <x v="0"/>
    <x v="0"/>
    <n v="1010"/>
    <n v="101040"/>
    <s v="Fastlønn - veiledningstillegg"/>
    <n v="1292"/>
    <n v="1120"/>
    <n v="172"/>
    <n v="-172"/>
  </r>
  <r>
    <x v="8"/>
    <s v="September"/>
    <n v="9"/>
    <s v="T3"/>
    <x v="1"/>
    <s v="Kommunal Boenhet"/>
    <n v="254"/>
    <s v="Helse og mestring"/>
    <x v="0"/>
    <x v="0"/>
    <n v="1010"/>
    <n v="101040"/>
    <s v="Fastlønn - veiledningstillegg"/>
    <n v="1292"/>
    <n v="0"/>
    <n v="0"/>
    <n v="-1292"/>
  </r>
  <r>
    <x v="9"/>
    <s v="Oktober"/>
    <n v="10"/>
    <s v="T3"/>
    <x v="1"/>
    <s v="Kommunal Boenhet"/>
    <n v="254"/>
    <s v="Helse og mestring"/>
    <x v="0"/>
    <x v="0"/>
    <n v="1010"/>
    <n v="101040"/>
    <s v="Fastlønn - veiledningstillegg"/>
    <n v="1292"/>
    <n v="0"/>
    <n v="0"/>
    <n v="-1292"/>
  </r>
  <r>
    <x v="10"/>
    <s v="November"/>
    <n v="11"/>
    <s v="T3"/>
    <x v="1"/>
    <s v="Kommunal Boenhet"/>
    <n v="254"/>
    <s v="Helse og mestring"/>
    <x v="0"/>
    <x v="0"/>
    <n v="1010"/>
    <n v="101040"/>
    <s v="Fastlønn - veiledningstillegg"/>
    <n v="1292"/>
    <n v="0"/>
    <n v="0"/>
    <n v="-1292"/>
  </r>
  <r>
    <x v="11"/>
    <s v="Desember"/>
    <n v="12"/>
    <s v="T3"/>
    <x v="1"/>
    <s v="Kommunal Boenhet"/>
    <n v="254"/>
    <s v="Helse og mestring"/>
    <x v="0"/>
    <x v="0"/>
    <n v="1010"/>
    <n v="101040"/>
    <s v="Fastlønn - veiledningstillegg"/>
    <n v="1788"/>
    <n v="0"/>
    <n v="0"/>
    <n v="-1788"/>
  </r>
  <r>
    <x v="0"/>
    <s v="Januar"/>
    <n v="1"/>
    <s v="T1"/>
    <x v="0"/>
    <s v="Kommunal Boenhet"/>
    <n v="254"/>
    <s v="Helse og mestring"/>
    <x v="0"/>
    <x v="0"/>
    <n v="1020"/>
    <n v="102000"/>
    <s v="Vikar - sykefravær - med refusjon"/>
    <n v="16660"/>
    <n v="0"/>
    <n v="16660"/>
    <n v="-16660"/>
  </r>
  <r>
    <x v="1"/>
    <s v="Februar"/>
    <n v="2"/>
    <s v="T1"/>
    <x v="0"/>
    <s v="Kommunal Boenhet"/>
    <n v="254"/>
    <s v="Helse og mestring"/>
    <x v="0"/>
    <x v="0"/>
    <n v="1020"/>
    <n v="102000"/>
    <s v="Vikar - sykefravær - med refusjon"/>
    <n v="16660"/>
    <n v="96432.33"/>
    <n v="-79772.33"/>
    <n v="79772.33"/>
  </r>
  <r>
    <x v="2"/>
    <s v="Mars"/>
    <n v="3"/>
    <s v="T1"/>
    <x v="0"/>
    <s v="Kommunal Boenhet"/>
    <n v="254"/>
    <s v="Helse og mestring"/>
    <x v="0"/>
    <x v="0"/>
    <n v="1020"/>
    <n v="102000"/>
    <s v="Vikar - sykefravær - med refusjon"/>
    <n v="16660"/>
    <n v="35833.75"/>
    <n v="-19173.75"/>
    <n v="19173.75"/>
  </r>
  <r>
    <x v="3"/>
    <s v="April"/>
    <n v="4"/>
    <s v="T1"/>
    <x v="0"/>
    <s v="Kommunal Boenhet"/>
    <n v="254"/>
    <s v="Helse og mestring"/>
    <x v="0"/>
    <x v="0"/>
    <n v="1020"/>
    <n v="102000"/>
    <s v="Vikar - sykefravær - med refusjon"/>
    <n v="16660"/>
    <n v="34855.64"/>
    <n v="-18195.64"/>
    <n v="18195.64"/>
  </r>
  <r>
    <x v="4"/>
    <s v="Mai"/>
    <n v="5"/>
    <s v="T2"/>
    <x v="0"/>
    <s v="Kommunal Boenhet"/>
    <n v="254"/>
    <s v="Helse og mestring"/>
    <x v="0"/>
    <x v="0"/>
    <n v="1020"/>
    <n v="102000"/>
    <s v="Vikar - sykefravær - med refusjon"/>
    <n v="16660"/>
    <n v="13105.85"/>
    <n v="3554.15"/>
    <n v="-3554.15"/>
  </r>
  <r>
    <x v="5"/>
    <s v="Juni"/>
    <n v="6"/>
    <s v="T2"/>
    <x v="0"/>
    <s v="Kommunal Boenhet"/>
    <n v="254"/>
    <s v="Helse og mestring"/>
    <x v="0"/>
    <x v="0"/>
    <n v="1020"/>
    <n v="102000"/>
    <s v="Vikar - sykefravær - med refusjon"/>
    <n v="16660"/>
    <n v="3417.85"/>
    <n v="13242.15"/>
    <n v="-13242.15"/>
  </r>
  <r>
    <x v="6"/>
    <s v="Juli"/>
    <n v="7"/>
    <s v="T2"/>
    <x v="0"/>
    <s v="Kommunal Boenhet"/>
    <n v="254"/>
    <s v="Helse og mestring"/>
    <x v="0"/>
    <x v="0"/>
    <n v="1020"/>
    <n v="102000"/>
    <s v="Vikar - sykefravær - med refusjon"/>
    <n v="16660"/>
    <n v="13415.11"/>
    <n v="3244.89"/>
    <n v="-3244.89"/>
  </r>
  <r>
    <x v="7"/>
    <s v="August"/>
    <n v="8"/>
    <s v="T2"/>
    <x v="0"/>
    <s v="Kommunal Boenhet"/>
    <n v="254"/>
    <s v="Helse og mestring"/>
    <x v="0"/>
    <x v="0"/>
    <n v="1020"/>
    <n v="102000"/>
    <s v="Vikar - sykefravær - med refusjon"/>
    <n v="16660"/>
    <n v="15319.5"/>
    <n v="1340.5"/>
    <n v="-1340.5"/>
  </r>
  <r>
    <x v="8"/>
    <s v="September"/>
    <n v="9"/>
    <s v="T3"/>
    <x v="1"/>
    <s v="Kommunal Boenhet"/>
    <n v="254"/>
    <s v="Helse og mestring"/>
    <x v="0"/>
    <x v="0"/>
    <n v="1020"/>
    <n v="102000"/>
    <s v="Vikar - sykefravær - med refusjon"/>
    <n v="16660"/>
    <n v="0"/>
    <n v="0"/>
    <n v="-16660"/>
  </r>
  <r>
    <x v="9"/>
    <s v="Oktober"/>
    <n v="10"/>
    <s v="T3"/>
    <x v="1"/>
    <s v="Kommunal Boenhet"/>
    <n v="254"/>
    <s v="Helse og mestring"/>
    <x v="0"/>
    <x v="0"/>
    <n v="1020"/>
    <n v="102000"/>
    <s v="Vikar - sykefravær - med refusjon"/>
    <n v="16660"/>
    <n v="0"/>
    <n v="0"/>
    <n v="-16660"/>
  </r>
  <r>
    <x v="10"/>
    <s v="November"/>
    <n v="11"/>
    <s v="T3"/>
    <x v="1"/>
    <s v="Kommunal Boenhet"/>
    <n v="254"/>
    <s v="Helse og mestring"/>
    <x v="0"/>
    <x v="0"/>
    <n v="1020"/>
    <n v="102000"/>
    <s v="Vikar - sykefravær - med refusjon"/>
    <n v="16660"/>
    <n v="0"/>
    <n v="0"/>
    <n v="-16660"/>
  </r>
  <r>
    <x v="11"/>
    <s v="Desember"/>
    <n v="12"/>
    <s v="T3"/>
    <x v="1"/>
    <s v="Kommunal Boenhet"/>
    <n v="254"/>
    <s v="Helse og mestring"/>
    <x v="0"/>
    <x v="0"/>
    <n v="1020"/>
    <n v="102000"/>
    <s v="Vikar - sykefravær - med refusjon"/>
    <n v="16740"/>
    <n v="0"/>
    <n v="0"/>
    <n v="-16740"/>
  </r>
  <r>
    <x v="0"/>
    <s v="Januar"/>
    <n v="1"/>
    <s v="T1"/>
    <x v="0"/>
    <s v="Kommunal Boenhet"/>
    <n v="254"/>
    <s v="Helse og mestring"/>
    <x v="0"/>
    <x v="0"/>
    <n v="1020"/>
    <n v="102001"/>
    <s v="Vikar - sykefravær - uten refusjon"/>
    <n v="21809"/>
    <n v="0"/>
    <n v="21809"/>
    <n v="-21809"/>
  </r>
  <r>
    <x v="1"/>
    <s v="Februar"/>
    <n v="2"/>
    <s v="T1"/>
    <x v="0"/>
    <s v="Kommunal Boenhet"/>
    <n v="254"/>
    <s v="Helse og mestring"/>
    <x v="0"/>
    <x v="0"/>
    <n v="1020"/>
    <n v="102001"/>
    <s v="Vikar - sykefravær - uten refusjon"/>
    <n v="21809"/>
    <n v="39187.82"/>
    <n v="-17378.82"/>
    <n v="17378.82"/>
  </r>
  <r>
    <x v="2"/>
    <s v="Mars"/>
    <n v="3"/>
    <s v="T1"/>
    <x v="0"/>
    <s v="Kommunal Boenhet"/>
    <n v="254"/>
    <s v="Helse og mestring"/>
    <x v="0"/>
    <x v="0"/>
    <n v="1020"/>
    <n v="102001"/>
    <s v="Vikar - sykefravær - uten refusjon"/>
    <n v="21809"/>
    <n v="3729.89"/>
    <n v="18079.11"/>
    <n v="-18079.11"/>
  </r>
  <r>
    <x v="3"/>
    <s v="April"/>
    <n v="4"/>
    <s v="T1"/>
    <x v="0"/>
    <s v="Kommunal Boenhet"/>
    <n v="254"/>
    <s v="Helse og mestring"/>
    <x v="0"/>
    <x v="0"/>
    <n v="1020"/>
    <n v="102001"/>
    <s v="Vikar - sykefravær - uten refusjon"/>
    <n v="21809"/>
    <n v="1558.23"/>
    <n v="20250.77"/>
    <n v="-20250.77"/>
  </r>
  <r>
    <x v="4"/>
    <s v="Mai"/>
    <n v="5"/>
    <s v="T2"/>
    <x v="0"/>
    <s v="Kommunal Boenhet"/>
    <n v="254"/>
    <s v="Helse og mestring"/>
    <x v="0"/>
    <x v="0"/>
    <n v="1020"/>
    <n v="102001"/>
    <s v="Vikar - sykefravær - uten refusjon"/>
    <n v="21809"/>
    <n v="13647.27"/>
    <n v="8161.73"/>
    <n v="-8161.73"/>
  </r>
  <r>
    <x v="5"/>
    <s v="Juni"/>
    <n v="6"/>
    <s v="T2"/>
    <x v="0"/>
    <s v="Kommunal Boenhet"/>
    <n v="254"/>
    <s v="Helse og mestring"/>
    <x v="0"/>
    <x v="0"/>
    <n v="1020"/>
    <n v="102001"/>
    <s v="Vikar - sykefravær - uten refusjon"/>
    <n v="21807"/>
    <n v="18359.38"/>
    <n v="3447.62"/>
    <n v="-3447.62"/>
  </r>
  <r>
    <x v="6"/>
    <s v="Juli"/>
    <n v="7"/>
    <s v="T2"/>
    <x v="0"/>
    <s v="Kommunal Boenhet"/>
    <n v="254"/>
    <s v="Helse og mestring"/>
    <x v="0"/>
    <x v="0"/>
    <n v="1020"/>
    <n v="102001"/>
    <s v="Vikar - sykefravær - uten refusjon"/>
    <n v="21809"/>
    <n v="33861.46"/>
    <n v="-12052.46"/>
    <n v="12052.46"/>
  </r>
  <r>
    <x v="7"/>
    <s v="August"/>
    <n v="8"/>
    <s v="T2"/>
    <x v="0"/>
    <s v="Kommunal Boenhet"/>
    <n v="254"/>
    <s v="Helse og mestring"/>
    <x v="0"/>
    <x v="0"/>
    <n v="1020"/>
    <n v="102001"/>
    <s v="Vikar - sykefravær - uten refusjon"/>
    <n v="21809"/>
    <n v="18868.99"/>
    <n v="2940.01"/>
    <n v="-2940.01"/>
  </r>
  <r>
    <x v="8"/>
    <s v="September"/>
    <n v="9"/>
    <s v="T3"/>
    <x v="1"/>
    <s v="Kommunal Boenhet"/>
    <n v="254"/>
    <s v="Helse og mestring"/>
    <x v="0"/>
    <x v="0"/>
    <n v="1020"/>
    <n v="102001"/>
    <s v="Vikar - sykefravær - uten refusjon"/>
    <n v="21809"/>
    <n v="0"/>
    <n v="0"/>
    <n v="-21809"/>
  </r>
  <r>
    <x v="9"/>
    <s v="Oktober"/>
    <n v="10"/>
    <s v="T3"/>
    <x v="1"/>
    <s v="Kommunal Boenhet"/>
    <n v="254"/>
    <s v="Helse og mestring"/>
    <x v="0"/>
    <x v="0"/>
    <n v="1020"/>
    <n v="102001"/>
    <s v="Vikar - sykefravær - uten refusjon"/>
    <n v="21809"/>
    <n v="0"/>
    <n v="0"/>
    <n v="-21809"/>
  </r>
  <r>
    <x v="10"/>
    <s v="November"/>
    <n v="11"/>
    <s v="T3"/>
    <x v="1"/>
    <s v="Kommunal Boenhet"/>
    <n v="254"/>
    <s v="Helse og mestring"/>
    <x v="0"/>
    <x v="0"/>
    <n v="1020"/>
    <n v="102001"/>
    <s v="Vikar - sykefravær - uten refusjon"/>
    <n v="21809"/>
    <n v="0"/>
    <n v="0"/>
    <n v="-21809"/>
  </r>
  <r>
    <x v="11"/>
    <s v="Desember"/>
    <n v="12"/>
    <s v="T3"/>
    <x v="1"/>
    <s v="Kommunal Boenhet"/>
    <n v="254"/>
    <s v="Helse og mestring"/>
    <x v="0"/>
    <x v="0"/>
    <n v="1020"/>
    <n v="102001"/>
    <s v="Vikar - sykefravær - uten refusjon"/>
    <n v="22103"/>
    <n v="0"/>
    <n v="0"/>
    <n v="-22103"/>
  </r>
  <r>
    <x v="0"/>
    <s v="Januar"/>
    <n v="1"/>
    <s v="T1"/>
    <x v="0"/>
    <s v="Kommunal Boenhet"/>
    <n v="254"/>
    <s v="Helse og mestring"/>
    <x v="0"/>
    <x v="0"/>
    <n v="1020"/>
    <n v="102002"/>
    <s v="Vikar - foreldrepermisjon"/>
    <n v="23741"/>
    <n v="0"/>
    <n v="23741"/>
    <n v="-23741"/>
  </r>
  <r>
    <x v="1"/>
    <s v="Februar"/>
    <n v="2"/>
    <s v="T1"/>
    <x v="0"/>
    <s v="Kommunal Boenhet"/>
    <n v="254"/>
    <s v="Helse og mestring"/>
    <x v="0"/>
    <x v="0"/>
    <n v="1020"/>
    <n v="102002"/>
    <s v="Vikar - foreldrepermisjon"/>
    <n v="23741"/>
    <n v="0"/>
    <n v="23741"/>
    <n v="-23741"/>
  </r>
  <r>
    <x v="2"/>
    <s v="Mars"/>
    <n v="3"/>
    <s v="T1"/>
    <x v="0"/>
    <s v="Kommunal Boenhet"/>
    <n v="254"/>
    <s v="Helse og mestring"/>
    <x v="0"/>
    <x v="0"/>
    <n v="1020"/>
    <n v="102002"/>
    <s v="Vikar - foreldrepermisjon"/>
    <n v="23741"/>
    <n v="0"/>
    <n v="23741"/>
    <n v="-23741"/>
  </r>
  <r>
    <x v="3"/>
    <s v="April"/>
    <n v="4"/>
    <s v="T1"/>
    <x v="0"/>
    <s v="Kommunal Boenhet"/>
    <n v="254"/>
    <s v="Helse og mestring"/>
    <x v="0"/>
    <x v="0"/>
    <n v="1020"/>
    <n v="102002"/>
    <s v="Vikar - foreldrepermisjon"/>
    <n v="23741"/>
    <n v="0"/>
    <n v="23741"/>
    <n v="-23741"/>
  </r>
  <r>
    <x v="4"/>
    <s v="Mai"/>
    <n v="5"/>
    <s v="T2"/>
    <x v="0"/>
    <s v="Kommunal Boenhet"/>
    <n v="254"/>
    <s v="Helse og mestring"/>
    <x v="0"/>
    <x v="0"/>
    <n v="1020"/>
    <n v="102002"/>
    <s v="Vikar - foreldrepermisjon"/>
    <n v="23741"/>
    <n v="0"/>
    <n v="23741"/>
    <n v="-23741"/>
  </r>
  <r>
    <x v="5"/>
    <s v="Juni"/>
    <n v="6"/>
    <s v="T2"/>
    <x v="0"/>
    <s v="Kommunal Boenhet"/>
    <n v="254"/>
    <s v="Helse og mestring"/>
    <x v="0"/>
    <x v="0"/>
    <n v="1020"/>
    <n v="102002"/>
    <s v="Vikar - foreldrepermisjon"/>
    <n v="23741"/>
    <n v="0"/>
    <n v="23741"/>
    <n v="-23741"/>
  </r>
  <r>
    <x v="6"/>
    <s v="Juli"/>
    <n v="7"/>
    <s v="T2"/>
    <x v="0"/>
    <s v="Kommunal Boenhet"/>
    <n v="254"/>
    <s v="Helse og mestring"/>
    <x v="0"/>
    <x v="0"/>
    <n v="1020"/>
    <n v="102002"/>
    <s v="Vikar - foreldrepermisjon"/>
    <n v="23741"/>
    <n v="0"/>
    <n v="23741"/>
    <n v="-23741"/>
  </r>
  <r>
    <x v="7"/>
    <s v="August"/>
    <n v="8"/>
    <s v="T2"/>
    <x v="0"/>
    <s v="Kommunal Boenhet"/>
    <n v="254"/>
    <s v="Helse og mestring"/>
    <x v="0"/>
    <x v="0"/>
    <n v="1020"/>
    <n v="102002"/>
    <s v="Vikar - foreldrepermisjon"/>
    <n v="23741"/>
    <n v="0"/>
    <n v="23741"/>
    <n v="-23741"/>
  </r>
  <r>
    <x v="8"/>
    <s v="September"/>
    <n v="9"/>
    <s v="T3"/>
    <x v="1"/>
    <s v="Kommunal Boenhet"/>
    <n v="254"/>
    <s v="Helse og mestring"/>
    <x v="0"/>
    <x v="0"/>
    <n v="1020"/>
    <n v="102002"/>
    <s v="Vikar - foreldrepermisjon"/>
    <n v="23741"/>
    <n v="0"/>
    <n v="0"/>
    <n v="-23741"/>
  </r>
  <r>
    <x v="9"/>
    <s v="Oktober"/>
    <n v="10"/>
    <s v="T3"/>
    <x v="1"/>
    <s v="Kommunal Boenhet"/>
    <n v="254"/>
    <s v="Helse og mestring"/>
    <x v="0"/>
    <x v="0"/>
    <n v="1020"/>
    <n v="102002"/>
    <s v="Vikar - foreldrepermisjon"/>
    <n v="23741"/>
    <n v="0"/>
    <n v="0"/>
    <n v="-23741"/>
  </r>
  <r>
    <x v="10"/>
    <s v="November"/>
    <n v="11"/>
    <s v="T3"/>
    <x v="1"/>
    <s v="Kommunal Boenhet"/>
    <n v="254"/>
    <s v="Helse og mestring"/>
    <x v="0"/>
    <x v="0"/>
    <n v="1020"/>
    <n v="102002"/>
    <s v="Vikar - foreldrepermisjon"/>
    <n v="23741"/>
    <n v="0"/>
    <n v="0"/>
    <n v="-23741"/>
  </r>
  <r>
    <x v="11"/>
    <s v="Desember"/>
    <n v="12"/>
    <s v="T3"/>
    <x v="1"/>
    <s v="Kommunal Boenhet"/>
    <n v="254"/>
    <s v="Helse og mestring"/>
    <x v="0"/>
    <x v="0"/>
    <n v="1020"/>
    <n v="102002"/>
    <s v="Vikar - foreldrepermisjon"/>
    <n v="23849"/>
    <n v="0"/>
    <n v="0"/>
    <n v="-23849"/>
  </r>
  <r>
    <x v="0"/>
    <s v="Januar"/>
    <n v="1"/>
    <s v="T1"/>
    <x v="0"/>
    <s v="Kommunal Boenhet"/>
    <n v="254"/>
    <s v="Helse og mestring"/>
    <x v="0"/>
    <x v="0"/>
    <n v="1020"/>
    <n v="102010"/>
    <s v="Vikar - lønnet perm inkl tillitsverv og velf.perm."/>
    <n v="4738"/>
    <n v="0"/>
    <n v="4738"/>
    <n v="-4738"/>
  </r>
  <r>
    <x v="1"/>
    <s v="Februar"/>
    <n v="2"/>
    <s v="T1"/>
    <x v="0"/>
    <s v="Kommunal Boenhet"/>
    <n v="254"/>
    <s v="Helse og mestring"/>
    <x v="0"/>
    <x v="0"/>
    <n v="1020"/>
    <n v="102010"/>
    <s v="Vikar - lønnet perm inkl tillitsverv og velf.perm."/>
    <n v="4738"/>
    <n v="8996.59"/>
    <n v="-4258.59"/>
    <n v="4258.59"/>
  </r>
  <r>
    <x v="2"/>
    <s v="Mars"/>
    <n v="3"/>
    <s v="T1"/>
    <x v="0"/>
    <s v="Kommunal Boenhet"/>
    <n v="254"/>
    <s v="Helse og mestring"/>
    <x v="0"/>
    <x v="0"/>
    <n v="1020"/>
    <n v="102010"/>
    <s v="Vikar - lønnet perm inkl tillitsverv og velf.perm."/>
    <n v="4738"/>
    <n v="0"/>
    <n v="4738"/>
    <n v="-4738"/>
  </r>
  <r>
    <x v="3"/>
    <s v="April"/>
    <n v="4"/>
    <s v="T1"/>
    <x v="0"/>
    <s v="Kommunal Boenhet"/>
    <n v="254"/>
    <s v="Helse og mestring"/>
    <x v="0"/>
    <x v="0"/>
    <n v="1020"/>
    <n v="102010"/>
    <s v="Vikar - lønnet perm inkl tillitsverv og velf.perm."/>
    <n v="4738"/>
    <n v="5110.73"/>
    <n v="-372.73"/>
    <n v="372.73"/>
  </r>
  <r>
    <x v="4"/>
    <s v="Mai"/>
    <n v="5"/>
    <s v="T2"/>
    <x v="0"/>
    <s v="Kommunal Boenhet"/>
    <n v="254"/>
    <s v="Helse og mestring"/>
    <x v="0"/>
    <x v="0"/>
    <n v="1020"/>
    <n v="102010"/>
    <s v="Vikar - lønnet perm inkl tillitsverv og velf.perm."/>
    <n v="4738"/>
    <n v="3351.87"/>
    <n v="1386.13"/>
    <n v="-1386.13"/>
  </r>
  <r>
    <x v="5"/>
    <s v="Juni"/>
    <n v="6"/>
    <s v="T2"/>
    <x v="0"/>
    <s v="Kommunal Boenhet"/>
    <n v="254"/>
    <s v="Helse og mestring"/>
    <x v="0"/>
    <x v="0"/>
    <n v="1020"/>
    <n v="102010"/>
    <s v="Vikar - lønnet perm inkl tillitsverv og velf.perm."/>
    <n v="4738"/>
    <n v="2130.8"/>
    <n v="2607.2"/>
    <n v="-2607.2"/>
  </r>
  <r>
    <x v="6"/>
    <s v="Juli"/>
    <n v="7"/>
    <s v="T2"/>
    <x v="0"/>
    <s v="Kommunal Boenhet"/>
    <n v="254"/>
    <s v="Helse og mestring"/>
    <x v="0"/>
    <x v="0"/>
    <n v="1020"/>
    <n v="102010"/>
    <s v="Vikar - lønnet perm inkl tillitsverv og velf.perm."/>
    <n v="4738"/>
    <n v="964.38"/>
    <n v="3773.62"/>
    <n v="-3773.62"/>
  </r>
  <r>
    <x v="7"/>
    <s v="August"/>
    <n v="8"/>
    <s v="T2"/>
    <x v="0"/>
    <s v="Kommunal Boenhet"/>
    <n v="254"/>
    <s v="Helse og mestring"/>
    <x v="0"/>
    <x v="0"/>
    <n v="1020"/>
    <n v="102010"/>
    <s v="Vikar - lønnet perm inkl tillitsverv og velf.perm."/>
    <n v="4738"/>
    <n v="3854.21"/>
    <n v="883.79"/>
    <n v="-883.79"/>
  </r>
  <r>
    <x v="8"/>
    <s v="September"/>
    <n v="9"/>
    <s v="T3"/>
    <x v="1"/>
    <s v="Kommunal Boenhet"/>
    <n v="254"/>
    <s v="Helse og mestring"/>
    <x v="0"/>
    <x v="0"/>
    <n v="1020"/>
    <n v="102010"/>
    <s v="Vikar - lønnet perm inkl tillitsverv og velf.perm."/>
    <n v="4738"/>
    <n v="0"/>
    <n v="0"/>
    <n v="-4738"/>
  </r>
  <r>
    <x v="9"/>
    <s v="Oktober"/>
    <n v="10"/>
    <s v="T3"/>
    <x v="1"/>
    <s v="Kommunal Boenhet"/>
    <n v="254"/>
    <s v="Helse og mestring"/>
    <x v="0"/>
    <x v="0"/>
    <n v="1020"/>
    <n v="102010"/>
    <s v="Vikar - lønnet perm inkl tillitsverv og velf.perm."/>
    <n v="4738"/>
    <n v="0"/>
    <n v="0"/>
    <n v="-4738"/>
  </r>
  <r>
    <x v="10"/>
    <s v="November"/>
    <n v="11"/>
    <s v="T3"/>
    <x v="1"/>
    <s v="Kommunal Boenhet"/>
    <n v="254"/>
    <s v="Helse og mestring"/>
    <x v="0"/>
    <x v="0"/>
    <n v="1020"/>
    <n v="102010"/>
    <s v="Vikar - lønnet perm inkl tillitsverv og velf.perm."/>
    <n v="4738"/>
    <n v="0"/>
    <n v="0"/>
    <n v="-4738"/>
  </r>
  <r>
    <x v="11"/>
    <s v="Desember"/>
    <n v="12"/>
    <s v="T3"/>
    <x v="1"/>
    <s v="Kommunal Boenhet"/>
    <n v="254"/>
    <s v="Helse og mestring"/>
    <x v="0"/>
    <x v="0"/>
    <n v="1020"/>
    <n v="102010"/>
    <s v="Vikar - lønnet perm inkl tillitsverv og velf.perm."/>
    <n v="4882"/>
    <n v="0"/>
    <n v="0"/>
    <n v="-4882"/>
  </r>
  <r>
    <x v="0"/>
    <s v="Januar"/>
    <n v="1"/>
    <s v="T1"/>
    <x v="0"/>
    <s v="Kommunal Boenhet"/>
    <n v="254"/>
    <s v="Helse og mestring"/>
    <x v="0"/>
    <x v="0"/>
    <n v="1020"/>
    <n v="102011"/>
    <s v="Vikar - feriefravær"/>
    <n v="31172"/>
    <n v="0"/>
    <n v="31172"/>
    <n v="-31172"/>
  </r>
  <r>
    <x v="1"/>
    <s v="Februar"/>
    <n v="2"/>
    <s v="T1"/>
    <x v="0"/>
    <s v="Kommunal Boenhet"/>
    <n v="254"/>
    <s v="Helse og mestring"/>
    <x v="0"/>
    <x v="0"/>
    <n v="1020"/>
    <n v="102011"/>
    <s v="Vikar - feriefravær"/>
    <n v="10992"/>
    <n v="95936.89"/>
    <n v="-84944.89"/>
    <n v="84944.89"/>
  </r>
  <r>
    <x v="2"/>
    <s v="Mars"/>
    <n v="3"/>
    <s v="T1"/>
    <x v="0"/>
    <s v="Kommunal Boenhet"/>
    <n v="254"/>
    <s v="Helse og mestring"/>
    <x v="0"/>
    <x v="0"/>
    <n v="1020"/>
    <n v="102011"/>
    <s v="Vikar - feriefravær"/>
    <n v="11621"/>
    <n v="17258.03"/>
    <n v="-5637.03"/>
    <n v="5637.03"/>
  </r>
  <r>
    <x v="3"/>
    <s v="April"/>
    <n v="4"/>
    <s v="T1"/>
    <x v="0"/>
    <s v="Kommunal Boenhet"/>
    <n v="254"/>
    <s v="Helse og mestring"/>
    <x v="0"/>
    <x v="0"/>
    <n v="1020"/>
    <n v="102011"/>
    <s v="Vikar - feriefravær"/>
    <n v="17299"/>
    <n v="8563.299999999999"/>
    <n v="8735.700000000001"/>
    <n v="-8735.700000000001"/>
  </r>
  <r>
    <x v="4"/>
    <s v="Mai"/>
    <n v="5"/>
    <s v="T2"/>
    <x v="0"/>
    <s v="Kommunal Boenhet"/>
    <n v="254"/>
    <s v="Helse og mestring"/>
    <x v="0"/>
    <x v="0"/>
    <n v="1020"/>
    <n v="102011"/>
    <s v="Vikar - feriefravær"/>
    <n v="14760"/>
    <n v="5394.12"/>
    <n v="9365.879999999999"/>
    <n v="-9365.879999999999"/>
  </r>
  <r>
    <x v="5"/>
    <s v="Juni"/>
    <n v="6"/>
    <s v="T2"/>
    <x v="0"/>
    <s v="Kommunal Boenhet"/>
    <n v="254"/>
    <s v="Helse og mestring"/>
    <x v="0"/>
    <x v="0"/>
    <n v="1020"/>
    <n v="102011"/>
    <s v="Vikar - feriefravær"/>
    <n v="21311"/>
    <n v="2111.58"/>
    <n v="19199.42"/>
    <n v="-19199.42"/>
  </r>
  <r>
    <x v="6"/>
    <s v="Juli"/>
    <n v="7"/>
    <s v="T2"/>
    <x v="0"/>
    <s v="Kommunal Boenhet"/>
    <n v="254"/>
    <s v="Helse og mestring"/>
    <x v="0"/>
    <x v="0"/>
    <n v="1020"/>
    <n v="102011"/>
    <s v="Vikar - feriefravær"/>
    <n v="66668"/>
    <n v="43393.77"/>
    <n v="23274.23"/>
    <n v="-23274.23"/>
  </r>
  <r>
    <x v="7"/>
    <s v="August"/>
    <n v="8"/>
    <s v="T2"/>
    <x v="0"/>
    <s v="Kommunal Boenhet"/>
    <n v="254"/>
    <s v="Helse og mestring"/>
    <x v="0"/>
    <x v="0"/>
    <n v="1020"/>
    <n v="102011"/>
    <s v="Vikar - feriefravær"/>
    <n v="147227"/>
    <n v="131265.74"/>
    <n v="15961.26"/>
    <n v="-15961.26"/>
  </r>
  <r>
    <x v="8"/>
    <s v="September"/>
    <n v="9"/>
    <s v="T3"/>
    <x v="1"/>
    <s v="Kommunal Boenhet"/>
    <n v="254"/>
    <s v="Helse og mestring"/>
    <x v="0"/>
    <x v="0"/>
    <n v="1020"/>
    <n v="102011"/>
    <s v="Vikar - feriefravær"/>
    <n v="126463"/>
    <n v="0"/>
    <n v="0"/>
    <n v="-126463"/>
  </r>
  <r>
    <x v="9"/>
    <s v="Oktober"/>
    <n v="10"/>
    <s v="T3"/>
    <x v="1"/>
    <s v="Kommunal Boenhet"/>
    <n v="254"/>
    <s v="Helse og mestring"/>
    <x v="0"/>
    <x v="0"/>
    <n v="1020"/>
    <n v="102011"/>
    <s v="Vikar - feriefravær"/>
    <n v="40837"/>
    <n v="0"/>
    <n v="0"/>
    <n v="-40837"/>
  </r>
  <r>
    <x v="10"/>
    <s v="November"/>
    <n v="11"/>
    <s v="T3"/>
    <x v="1"/>
    <s v="Kommunal Boenhet"/>
    <n v="254"/>
    <s v="Helse og mestring"/>
    <x v="0"/>
    <x v="0"/>
    <n v="1020"/>
    <n v="102011"/>
    <s v="Vikar - feriefravær"/>
    <n v="40611"/>
    <n v="0"/>
    <n v="0"/>
    <n v="-40611"/>
  </r>
  <r>
    <x v="11"/>
    <s v="Desember"/>
    <n v="12"/>
    <s v="T3"/>
    <x v="1"/>
    <s v="Kommunal Boenhet"/>
    <n v="254"/>
    <s v="Helse og mestring"/>
    <x v="0"/>
    <x v="0"/>
    <n v="1020"/>
    <n v="102011"/>
    <s v="Vikar - feriefravær"/>
    <n v="40040"/>
    <n v="0"/>
    <n v="0"/>
    <n v="-40040"/>
  </r>
  <r>
    <x v="0"/>
    <s v="Januar"/>
    <n v="1"/>
    <s v="T1"/>
    <x v="0"/>
    <s v="Kommunal Boenhet"/>
    <n v="254"/>
    <s v="Helse og mestring"/>
    <x v="0"/>
    <x v="0"/>
    <n v="1020"/>
    <n v="102013"/>
    <s v="Vikar - korttidsfravær"/>
    <n v="0"/>
    <n v="0"/>
    <n v="0"/>
    <n v="0"/>
  </r>
  <r>
    <x v="1"/>
    <s v="Februar"/>
    <n v="2"/>
    <s v="T1"/>
    <x v="0"/>
    <s v="Kommunal Boenhet"/>
    <n v="254"/>
    <s v="Helse og mestring"/>
    <x v="0"/>
    <x v="0"/>
    <n v="1020"/>
    <n v="102013"/>
    <s v="Vikar - korttidsfravær"/>
    <n v="0"/>
    <n v="18404.54"/>
    <n v="-18404.54"/>
    <n v="18404.54"/>
  </r>
  <r>
    <x v="2"/>
    <s v="Mars"/>
    <n v="3"/>
    <s v="T1"/>
    <x v="0"/>
    <s v="Kommunal Boenhet"/>
    <n v="254"/>
    <s v="Helse og mestring"/>
    <x v="0"/>
    <x v="0"/>
    <n v="1020"/>
    <n v="102013"/>
    <s v="Vikar - korttidsfravær"/>
    <n v="0"/>
    <n v="9241.299999999999"/>
    <n v="-9241.299999999999"/>
    <n v="9241.299999999999"/>
  </r>
  <r>
    <x v="3"/>
    <s v="April"/>
    <n v="4"/>
    <s v="T1"/>
    <x v="0"/>
    <s v="Kommunal Boenhet"/>
    <n v="254"/>
    <s v="Helse og mestring"/>
    <x v="0"/>
    <x v="0"/>
    <n v="1020"/>
    <n v="102013"/>
    <s v="Vikar - korttidsfravær"/>
    <n v="0"/>
    <n v="6405.76"/>
    <n v="-6405.76"/>
    <n v="6405.76"/>
  </r>
  <r>
    <x v="4"/>
    <s v="Mai"/>
    <n v="5"/>
    <s v="T2"/>
    <x v="0"/>
    <s v="Kommunal Boenhet"/>
    <n v="254"/>
    <s v="Helse og mestring"/>
    <x v="0"/>
    <x v="0"/>
    <n v="1020"/>
    <n v="102013"/>
    <s v="Vikar - korttidsfravær"/>
    <n v="0"/>
    <n v="3444.98"/>
    <n v="-3444.98"/>
    <n v="3444.98"/>
  </r>
  <r>
    <x v="5"/>
    <s v="Juni"/>
    <n v="6"/>
    <s v="T2"/>
    <x v="0"/>
    <s v="Kommunal Boenhet"/>
    <n v="254"/>
    <s v="Helse og mestring"/>
    <x v="0"/>
    <x v="0"/>
    <n v="1020"/>
    <n v="102013"/>
    <s v="Vikar - korttidsfravær"/>
    <n v="0"/>
    <n v="14052.56"/>
    <n v="-14052.56"/>
    <n v="14052.56"/>
  </r>
  <r>
    <x v="6"/>
    <s v="Juli"/>
    <n v="7"/>
    <s v="T2"/>
    <x v="0"/>
    <s v="Kommunal Boenhet"/>
    <n v="254"/>
    <s v="Helse og mestring"/>
    <x v="0"/>
    <x v="0"/>
    <n v="1020"/>
    <n v="102013"/>
    <s v="Vikar - korttidsfravær"/>
    <n v="0"/>
    <n v="8319.139999999999"/>
    <n v="-8319.139999999999"/>
    <n v="8319.139999999999"/>
  </r>
  <r>
    <x v="7"/>
    <s v="August"/>
    <n v="8"/>
    <s v="T2"/>
    <x v="0"/>
    <s v="Kommunal Boenhet"/>
    <n v="254"/>
    <s v="Helse og mestring"/>
    <x v="0"/>
    <x v="0"/>
    <n v="1020"/>
    <n v="102013"/>
    <s v="Vikar - korttidsfravær"/>
    <n v="0"/>
    <n v="1585.75"/>
    <n v="-1585.75"/>
    <n v="1585.75"/>
  </r>
  <r>
    <x v="8"/>
    <s v="September"/>
    <n v="9"/>
    <s v="T3"/>
    <x v="1"/>
    <s v="Kommunal Boenhet"/>
    <n v="254"/>
    <s v="Helse og mestring"/>
    <x v="0"/>
    <x v="0"/>
    <n v="1020"/>
    <n v="102013"/>
    <s v="Vikar - korttidsfravær"/>
    <n v="0"/>
    <n v="0"/>
    <n v="0"/>
    <n v="0"/>
  </r>
  <r>
    <x v="9"/>
    <s v="Oktober"/>
    <n v="10"/>
    <s v="T3"/>
    <x v="1"/>
    <s v="Kommunal Boenhet"/>
    <n v="254"/>
    <s v="Helse og mestring"/>
    <x v="0"/>
    <x v="0"/>
    <n v="1020"/>
    <n v="102013"/>
    <s v="Vikar - korttidsfravær"/>
    <n v="0"/>
    <n v="0"/>
    <n v="0"/>
    <n v="0"/>
  </r>
  <r>
    <x v="10"/>
    <s v="November"/>
    <n v="11"/>
    <s v="T3"/>
    <x v="1"/>
    <s v="Kommunal Boenhet"/>
    <n v="254"/>
    <s v="Helse og mestring"/>
    <x v="0"/>
    <x v="0"/>
    <n v="1020"/>
    <n v="102013"/>
    <s v="Vikar - korttidsfravær"/>
    <n v="0"/>
    <n v="0"/>
    <n v="0"/>
    <n v="0"/>
  </r>
  <r>
    <x v="11"/>
    <s v="Desember"/>
    <n v="12"/>
    <s v="T3"/>
    <x v="1"/>
    <s v="Kommunal Boenhet"/>
    <n v="254"/>
    <s v="Helse og mestring"/>
    <x v="0"/>
    <x v="0"/>
    <n v="1020"/>
    <n v="102013"/>
    <s v="Vikar - korttidsfravær"/>
    <n v="0"/>
    <n v="0"/>
    <n v="0"/>
    <n v="0"/>
  </r>
  <r>
    <x v="0"/>
    <s v="Januar"/>
    <n v="1"/>
    <s v="T1"/>
    <x v="0"/>
    <s v="Kommunal Boenhet"/>
    <n v="254"/>
    <s v="Helse og mestring"/>
    <x v="0"/>
    <x v="0"/>
    <n v="1020"/>
    <n v="102030"/>
    <s v="Vikar - lørdags- og søndagstillegg"/>
    <n v="0"/>
    <n v="0"/>
    <n v="0"/>
    <n v="0"/>
  </r>
  <r>
    <x v="1"/>
    <s v="Februar"/>
    <n v="2"/>
    <s v="T1"/>
    <x v="0"/>
    <s v="Kommunal Boenhet"/>
    <n v="254"/>
    <s v="Helse og mestring"/>
    <x v="0"/>
    <x v="0"/>
    <n v="1020"/>
    <n v="102030"/>
    <s v="Vikar - lørdags- og søndagstillegg"/>
    <n v="0"/>
    <n v="14543.2"/>
    <n v="-14543.2"/>
    <n v="14543.2"/>
  </r>
  <r>
    <x v="2"/>
    <s v="Mars"/>
    <n v="3"/>
    <s v="T1"/>
    <x v="0"/>
    <s v="Kommunal Boenhet"/>
    <n v="254"/>
    <s v="Helse og mestring"/>
    <x v="0"/>
    <x v="0"/>
    <n v="1020"/>
    <n v="102030"/>
    <s v="Vikar - lørdags- og søndagstillegg"/>
    <n v="0"/>
    <n v="17012.8"/>
    <n v="-17012.8"/>
    <n v="17012.8"/>
  </r>
  <r>
    <x v="3"/>
    <s v="April"/>
    <n v="4"/>
    <s v="T1"/>
    <x v="0"/>
    <s v="Kommunal Boenhet"/>
    <n v="254"/>
    <s v="Helse og mestring"/>
    <x v="0"/>
    <x v="0"/>
    <n v="1020"/>
    <n v="102030"/>
    <s v="Vikar - lørdags- og søndagstillegg"/>
    <n v="0"/>
    <n v="13955.2"/>
    <n v="-13955.2"/>
    <n v="13955.2"/>
  </r>
  <r>
    <x v="4"/>
    <s v="Mai"/>
    <n v="5"/>
    <s v="T2"/>
    <x v="0"/>
    <s v="Kommunal Boenhet"/>
    <n v="254"/>
    <s v="Helse og mestring"/>
    <x v="0"/>
    <x v="0"/>
    <n v="1020"/>
    <n v="102030"/>
    <s v="Vikar - lørdags- og søndagstillegg"/>
    <n v="0"/>
    <n v="18874.8"/>
    <n v="-18874.8"/>
    <n v="18874.8"/>
  </r>
  <r>
    <x v="5"/>
    <s v="Juni"/>
    <n v="6"/>
    <s v="T2"/>
    <x v="0"/>
    <s v="Kommunal Boenhet"/>
    <n v="254"/>
    <s v="Helse og mestring"/>
    <x v="0"/>
    <x v="0"/>
    <n v="1020"/>
    <n v="102030"/>
    <s v="Vikar - lørdags- og søndagstillegg"/>
    <n v="0"/>
    <n v="18188.52"/>
    <n v="-18188.52"/>
    <n v="18188.52"/>
  </r>
  <r>
    <x v="6"/>
    <s v="Juli"/>
    <n v="7"/>
    <s v="T2"/>
    <x v="0"/>
    <s v="Kommunal Boenhet"/>
    <n v="254"/>
    <s v="Helse og mestring"/>
    <x v="0"/>
    <x v="0"/>
    <n v="1020"/>
    <n v="102030"/>
    <s v="Vikar - lørdags- og søndagstillegg"/>
    <n v="0"/>
    <n v="29733.2"/>
    <n v="-29733.2"/>
    <n v="29733.2"/>
  </r>
  <r>
    <x v="7"/>
    <s v="August"/>
    <n v="8"/>
    <s v="T2"/>
    <x v="0"/>
    <s v="Kommunal Boenhet"/>
    <n v="254"/>
    <s v="Helse og mestring"/>
    <x v="0"/>
    <x v="0"/>
    <n v="1020"/>
    <n v="102030"/>
    <s v="Vikar - lørdags- og søndagstillegg"/>
    <n v="0"/>
    <n v="28439.6"/>
    <n v="-28439.6"/>
    <n v="28439.6"/>
  </r>
  <r>
    <x v="8"/>
    <s v="September"/>
    <n v="9"/>
    <s v="T3"/>
    <x v="1"/>
    <s v="Kommunal Boenhet"/>
    <n v="254"/>
    <s v="Helse og mestring"/>
    <x v="0"/>
    <x v="0"/>
    <n v="1020"/>
    <n v="102030"/>
    <s v="Vikar - lørdags- og søndagstillegg"/>
    <n v="0"/>
    <n v="0"/>
    <n v="0"/>
    <n v="0"/>
  </r>
  <r>
    <x v="9"/>
    <s v="Oktober"/>
    <n v="10"/>
    <s v="T3"/>
    <x v="1"/>
    <s v="Kommunal Boenhet"/>
    <n v="254"/>
    <s v="Helse og mestring"/>
    <x v="0"/>
    <x v="0"/>
    <n v="1020"/>
    <n v="102030"/>
    <s v="Vikar - lørdags- og søndagstillegg"/>
    <n v="0"/>
    <n v="0"/>
    <n v="0"/>
    <n v="0"/>
  </r>
  <r>
    <x v="10"/>
    <s v="November"/>
    <n v="11"/>
    <s v="T3"/>
    <x v="1"/>
    <s v="Kommunal Boenhet"/>
    <n v="254"/>
    <s v="Helse og mestring"/>
    <x v="0"/>
    <x v="0"/>
    <n v="1020"/>
    <n v="102030"/>
    <s v="Vikar - lørdags- og søndagstillegg"/>
    <n v="0"/>
    <n v="0"/>
    <n v="0"/>
    <n v="0"/>
  </r>
  <r>
    <x v="11"/>
    <s v="Desember"/>
    <n v="12"/>
    <s v="T3"/>
    <x v="1"/>
    <s v="Kommunal Boenhet"/>
    <n v="254"/>
    <s v="Helse og mestring"/>
    <x v="0"/>
    <x v="0"/>
    <n v="1020"/>
    <n v="102030"/>
    <s v="Vikar - lørdags- og søndagstillegg"/>
    <n v="0"/>
    <n v="0"/>
    <n v="0"/>
    <n v="0"/>
  </r>
  <r>
    <x v="0"/>
    <s v="Januar"/>
    <n v="1"/>
    <s v="T1"/>
    <x v="0"/>
    <s v="Kommunal Boenhet"/>
    <n v="254"/>
    <s v="Helse og mestring"/>
    <x v="0"/>
    <x v="0"/>
    <n v="1020"/>
    <n v="102031"/>
    <s v="Vikar - kvelds- og nattillegg"/>
    <n v="0"/>
    <n v="0"/>
    <n v="0"/>
    <n v="0"/>
  </r>
  <r>
    <x v="1"/>
    <s v="Februar"/>
    <n v="2"/>
    <s v="T1"/>
    <x v="0"/>
    <s v="Kommunal Boenhet"/>
    <n v="254"/>
    <s v="Helse og mestring"/>
    <x v="0"/>
    <x v="0"/>
    <n v="1020"/>
    <n v="102031"/>
    <s v="Vikar - kvelds- og nattillegg"/>
    <n v="0"/>
    <n v="59390.49"/>
    <n v="-59390.49"/>
    <n v="59390.49"/>
  </r>
  <r>
    <x v="2"/>
    <s v="Mars"/>
    <n v="3"/>
    <s v="T1"/>
    <x v="0"/>
    <s v="Kommunal Boenhet"/>
    <n v="254"/>
    <s v="Helse og mestring"/>
    <x v="0"/>
    <x v="0"/>
    <n v="1020"/>
    <n v="102031"/>
    <s v="Vikar - kvelds- og nattillegg"/>
    <n v="0"/>
    <n v="25189.15"/>
    <n v="-25189.15"/>
    <n v="25189.15"/>
  </r>
  <r>
    <x v="3"/>
    <s v="April"/>
    <n v="4"/>
    <s v="T1"/>
    <x v="0"/>
    <s v="Kommunal Boenhet"/>
    <n v="254"/>
    <s v="Helse og mestring"/>
    <x v="0"/>
    <x v="0"/>
    <n v="1020"/>
    <n v="102031"/>
    <s v="Vikar - kvelds- og nattillegg"/>
    <n v="0"/>
    <n v="28784.59"/>
    <n v="-28784.59"/>
    <n v="28784.59"/>
  </r>
  <r>
    <x v="4"/>
    <s v="Mai"/>
    <n v="5"/>
    <s v="T2"/>
    <x v="0"/>
    <s v="Kommunal Boenhet"/>
    <n v="254"/>
    <s v="Helse og mestring"/>
    <x v="0"/>
    <x v="0"/>
    <n v="1020"/>
    <n v="102031"/>
    <s v="Vikar - kvelds- og nattillegg"/>
    <n v="0"/>
    <n v="28468.81"/>
    <n v="-28468.81"/>
    <n v="28468.81"/>
  </r>
  <r>
    <x v="5"/>
    <s v="Juni"/>
    <n v="6"/>
    <s v="T2"/>
    <x v="0"/>
    <s v="Kommunal Boenhet"/>
    <n v="254"/>
    <s v="Helse og mestring"/>
    <x v="0"/>
    <x v="0"/>
    <n v="1020"/>
    <n v="102031"/>
    <s v="Vikar - kvelds- og nattillegg"/>
    <n v="0"/>
    <n v="32469.26"/>
    <n v="-32469.26"/>
    <n v="32469.26"/>
  </r>
  <r>
    <x v="6"/>
    <s v="Juli"/>
    <n v="7"/>
    <s v="T2"/>
    <x v="0"/>
    <s v="Kommunal Boenhet"/>
    <n v="254"/>
    <s v="Helse og mestring"/>
    <x v="0"/>
    <x v="0"/>
    <n v="1020"/>
    <n v="102031"/>
    <s v="Vikar - kvelds- og nattillegg"/>
    <n v="0"/>
    <n v="39092.31"/>
    <n v="-39092.31"/>
    <n v="39092.31"/>
  </r>
  <r>
    <x v="7"/>
    <s v="August"/>
    <n v="8"/>
    <s v="T2"/>
    <x v="0"/>
    <s v="Kommunal Boenhet"/>
    <n v="254"/>
    <s v="Helse og mestring"/>
    <x v="0"/>
    <x v="0"/>
    <n v="1020"/>
    <n v="102031"/>
    <s v="Vikar - kvelds- og nattillegg"/>
    <n v="0"/>
    <n v="45909.48"/>
    <n v="-45909.48"/>
    <n v="45909.48"/>
  </r>
  <r>
    <x v="8"/>
    <s v="September"/>
    <n v="9"/>
    <s v="T3"/>
    <x v="1"/>
    <s v="Kommunal Boenhet"/>
    <n v="254"/>
    <s v="Helse og mestring"/>
    <x v="0"/>
    <x v="0"/>
    <n v="1020"/>
    <n v="102031"/>
    <s v="Vikar - kvelds- og nattillegg"/>
    <n v="0"/>
    <n v="0"/>
    <n v="0"/>
    <n v="0"/>
  </r>
  <r>
    <x v="9"/>
    <s v="Oktober"/>
    <n v="10"/>
    <s v="T3"/>
    <x v="1"/>
    <s v="Kommunal Boenhet"/>
    <n v="254"/>
    <s v="Helse og mestring"/>
    <x v="0"/>
    <x v="0"/>
    <n v="1020"/>
    <n v="102031"/>
    <s v="Vikar - kvelds- og nattillegg"/>
    <n v="0"/>
    <n v="0"/>
    <n v="0"/>
    <n v="0"/>
  </r>
  <r>
    <x v="10"/>
    <s v="November"/>
    <n v="11"/>
    <s v="T3"/>
    <x v="1"/>
    <s v="Kommunal Boenhet"/>
    <n v="254"/>
    <s v="Helse og mestring"/>
    <x v="0"/>
    <x v="0"/>
    <n v="1020"/>
    <n v="102031"/>
    <s v="Vikar - kvelds- og nattillegg"/>
    <n v="0"/>
    <n v="0"/>
    <n v="0"/>
    <n v="0"/>
  </r>
  <r>
    <x v="11"/>
    <s v="Desember"/>
    <n v="12"/>
    <s v="T3"/>
    <x v="1"/>
    <s v="Kommunal Boenhet"/>
    <n v="254"/>
    <s v="Helse og mestring"/>
    <x v="0"/>
    <x v="0"/>
    <n v="1020"/>
    <n v="102031"/>
    <s v="Vikar - kvelds- og nattillegg"/>
    <n v="0"/>
    <n v="0"/>
    <n v="0"/>
    <n v="0"/>
  </r>
  <r>
    <x v="0"/>
    <s v="Januar"/>
    <n v="1"/>
    <s v="T1"/>
    <x v="0"/>
    <s v="Kommunal Boenhet"/>
    <n v="254"/>
    <s v="Helse og mestring"/>
    <x v="0"/>
    <x v="0"/>
    <n v="1020"/>
    <n v="102032"/>
    <s v="Vikar - helligdagstillegg"/>
    <n v="0"/>
    <n v="0"/>
    <n v="0"/>
    <n v="0"/>
  </r>
  <r>
    <x v="1"/>
    <s v="Februar"/>
    <n v="2"/>
    <s v="T1"/>
    <x v="0"/>
    <s v="Kommunal Boenhet"/>
    <n v="254"/>
    <s v="Helse og mestring"/>
    <x v="0"/>
    <x v="0"/>
    <n v="1020"/>
    <n v="102032"/>
    <s v="Vikar - helligdagstillegg"/>
    <n v="0"/>
    <n v="20065.97"/>
    <n v="-20065.97"/>
    <n v="20065.97"/>
  </r>
  <r>
    <x v="2"/>
    <s v="Mars"/>
    <n v="3"/>
    <s v="T1"/>
    <x v="0"/>
    <s v="Kommunal Boenhet"/>
    <n v="254"/>
    <s v="Helse og mestring"/>
    <x v="0"/>
    <x v="0"/>
    <n v="1020"/>
    <n v="102032"/>
    <s v="Vikar - helligdagstillegg"/>
    <n v="0"/>
    <n v="0"/>
    <n v="0"/>
    <n v="0"/>
  </r>
  <r>
    <x v="3"/>
    <s v="April"/>
    <n v="4"/>
    <s v="T1"/>
    <x v="0"/>
    <s v="Kommunal Boenhet"/>
    <n v="254"/>
    <s v="Helse og mestring"/>
    <x v="0"/>
    <x v="0"/>
    <n v="1020"/>
    <n v="102032"/>
    <s v="Vikar - helligdagstillegg"/>
    <n v="0"/>
    <n v="164.59"/>
    <n v="-164.59"/>
    <n v="164.59"/>
  </r>
  <r>
    <x v="4"/>
    <s v="Mai"/>
    <n v="5"/>
    <s v="T2"/>
    <x v="0"/>
    <s v="Kommunal Boenhet"/>
    <n v="254"/>
    <s v="Helse og mestring"/>
    <x v="0"/>
    <x v="0"/>
    <n v="1020"/>
    <n v="102032"/>
    <s v="Vikar - helligdagstillegg"/>
    <n v="0"/>
    <n v="29714.92"/>
    <n v="-29714.92"/>
    <n v="29714.92"/>
  </r>
  <r>
    <x v="5"/>
    <s v="Juni"/>
    <n v="6"/>
    <s v="T2"/>
    <x v="0"/>
    <s v="Kommunal Boenhet"/>
    <n v="254"/>
    <s v="Helse og mestring"/>
    <x v="0"/>
    <x v="0"/>
    <n v="1020"/>
    <n v="102032"/>
    <s v="Vikar - helligdagstillegg"/>
    <n v="0"/>
    <n v="14652.72"/>
    <n v="-14652.72"/>
    <n v="14652.72"/>
  </r>
  <r>
    <x v="6"/>
    <s v="Juli"/>
    <n v="7"/>
    <s v="T2"/>
    <x v="0"/>
    <s v="Kommunal Boenhet"/>
    <n v="254"/>
    <s v="Helse og mestring"/>
    <x v="0"/>
    <x v="0"/>
    <n v="1020"/>
    <n v="102032"/>
    <s v="Vikar - helligdagstillegg"/>
    <n v="0"/>
    <n v="28871.57"/>
    <n v="-28871.57"/>
    <n v="28871.57"/>
  </r>
  <r>
    <x v="7"/>
    <s v="August"/>
    <n v="8"/>
    <s v="T2"/>
    <x v="0"/>
    <s v="Kommunal Boenhet"/>
    <n v="254"/>
    <s v="Helse og mestring"/>
    <x v="0"/>
    <x v="0"/>
    <n v="1020"/>
    <n v="102032"/>
    <s v="Vikar - helligdagstillegg"/>
    <n v="0"/>
    <n v="0"/>
    <n v="0"/>
    <n v="0"/>
  </r>
  <r>
    <x v="8"/>
    <s v="September"/>
    <n v="9"/>
    <s v="T3"/>
    <x v="1"/>
    <s v="Kommunal Boenhet"/>
    <n v="254"/>
    <s v="Helse og mestring"/>
    <x v="0"/>
    <x v="0"/>
    <n v="1020"/>
    <n v="102032"/>
    <s v="Vikar - helligdagstillegg"/>
    <n v="0"/>
    <n v="0"/>
    <n v="0"/>
    <n v="0"/>
  </r>
  <r>
    <x v="9"/>
    <s v="Oktober"/>
    <n v="10"/>
    <s v="T3"/>
    <x v="1"/>
    <s v="Kommunal Boenhet"/>
    <n v="254"/>
    <s v="Helse og mestring"/>
    <x v="0"/>
    <x v="0"/>
    <n v="1020"/>
    <n v="102032"/>
    <s v="Vikar - helligdagstillegg"/>
    <n v="0"/>
    <n v="0"/>
    <n v="0"/>
    <n v="0"/>
  </r>
  <r>
    <x v="10"/>
    <s v="November"/>
    <n v="11"/>
    <s v="T3"/>
    <x v="1"/>
    <s v="Kommunal Boenhet"/>
    <n v="254"/>
    <s v="Helse og mestring"/>
    <x v="0"/>
    <x v="0"/>
    <n v="1020"/>
    <n v="102032"/>
    <s v="Vikar - helligdagstillegg"/>
    <n v="0"/>
    <n v="0"/>
    <n v="0"/>
    <n v="0"/>
  </r>
  <r>
    <x v="11"/>
    <s v="Desember"/>
    <n v="12"/>
    <s v="T3"/>
    <x v="1"/>
    <s v="Kommunal Boenhet"/>
    <n v="254"/>
    <s v="Helse og mestring"/>
    <x v="0"/>
    <x v="0"/>
    <n v="1020"/>
    <n v="102032"/>
    <s v="Vikar - helligdagstillegg"/>
    <n v="0"/>
    <n v="0"/>
    <n v="0"/>
    <n v="0"/>
  </r>
  <r>
    <x v="0"/>
    <s v="Januar"/>
    <n v="1"/>
    <s v="T1"/>
    <x v="0"/>
    <s v="Kommunal Boenhet"/>
    <n v="254"/>
    <s v="Helse og mestring"/>
    <x v="0"/>
    <x v="0"/>
    <n v="1030"/>
    <n v="103000"/>
    <s v="Ekstrahjelp"/>
    <n v="0"/>
    <n v="0"/>
    <n v="0"/>
    <n v="0"/>
  </r>
  <r>
    <x v="1"/>
    <s v="Februar"/>
    <n v="2"/>
    <s v="T1"/>
    <x v="0"/>
    <s v="Kommunal Boenhet"/>
    <n v="254"/>
    <s v="Helse og mestring"/>
    <x v="0"/>
    <x v="0"/>
    <n v="1030"/>
    <n v="103000"/>
    <s v="Ekstrahjelp"/>
    <n v="0"/>
    <n v="32502.05"/>
    <n v="-32502.05"/>
    <n v="32502.05"/>
  </r>
  <r>
    <x v="2"/>
    <s v="Mars"/>
    <n v="3"/>
    <s v="T1"/>
    <x v="0"/>
    <s v="Kommunal Boenhet"/>
    <n v="254"/>
    <s v="Helse og mestring"/>
    <x v="0"/>
    <x v="0"/>
    <n v="1030"/>
    <n v="103000"/>
    <s v="Ekstrahjelp"/>
    <n v="0"/>
    <n v="26230.47"/>
    <n v="-26230.47"/>
    <n v="26230.47"/>
  </r>
  <r>
    <x v="3"/>
    <s v="April"/>
    <n v="4"/>
    <s v="T1"/>
    <x v="0"/>
    <s v="Kommunal Boenhet"/>
    <n v="254"/>
    <s v="Helse og mestring"/>
    <x v="0"/>
    <x v="0"/>
    <n v="1030"/>
    <n v="103000"/>
    <s v="Ekstrahjelp"/>
    <n v="0"/>
    <n v="4661.68"/>
    <n v="-4661.68"/>
    <n v="4661.68"/>
  </r>
  <r>
    <x v="4"/>
    <s v="Mai"/>
    <n v="5"/>
    <s v="T2"/>
    <x v="0"/>
    <s v="Kommunal Boenhet"/>
    <n v="254"/>
    <s v="Helse og mestring"/>
    <x v="0"/>
    <x v="0"/>
    <n v="1030"/>
    <n v="103000"/>
    <s v="Ekstrahjelp"/>
    <n v="0"/>
    <n v="12263.23"/>
    <n v="-12263.23"/>
    <n v="12263.23"/>
  </r>
  <r>
    <x v="5"/>
    <s v="Juni"/>
    <n v="6"/>
    <s v="T2"/>
    <x v="0"/>
    <s v="Kommunal Boenhet"/>
    <n v="254"/>
    <s v="Helse og mestring"/>
    <x v="0"/>
    <x v="0"/>
    <n v="1030"/>
    <n v="103000"/>
    <s v="Ekstrahjelp"/>
    <n v="0"/>
    <n v="34776.14"/>
    <n v="-34776.14"/>
    <n v="34776.14"/>
  </r>
  <r>
    <x v="6"/>
    <s v="Juli"/>
    <n v="7"/>
    <s v="T2"/>
    <x v="0"/>
    <s v="Kommunal Boenhet"/>
    <n v="254"/>
    <s v="Helse og mestring"/>
    <x v="0"/>
    <x v="0"/>
    <n v="1030"/>
    <n v="103000"/>
    <s v="Ekstrahjelp"/>
    <n v="0"/>
    <n v="20546.22"/>
    <n v="-20546.22"/>
    <n v="20546.22"/>
  </r>
  <r>
    <x v="7"/>
    <s v="August"/>
    <n v="8"/>
    <s v="T2"/>
    <x v="0"/>
    <s v="Kommunal Boenhet"/>
    <n v="254"/>
    <s v="Helse og mestring"/>
    <x v="0"/>
    <x v="0"/>
    <n v="1030"/>
    <n v="103000"/>
    <s v="Ekstrahjelp"/>
    <n v="0"/>
    <n v="10668.91"/>
    <n v="-10668.91"/>
    <n v="10668.91"/>
  </r>
  <r>
    <x v="8"/>
    <s v="September"/>
    <n v="9"/>
    <s v="T3"/>
    <x v="1"/>
    <s v="Kommunal Boenhet"/>
    <n v="254"/>
    <s v="Helse og mestring"/>
    <x v="0"/>
    <x v="0"/>
    <n v="1030"/>
    <n v="103000"/>
    <s v="Ekstrahjelp"/>
    <n v="0"/>
    <n v="0"/>
    <n v="0"/>
    <n v="0"/>
  </r>
  <r>
    <x v="9"/>
    <s v="Oktober"/>
    <n v="10"/>
    <s v="T3"/>
    <x v="1"/>
    <s v="Kommunal Boenhet"/>
    <n v="254"/>
    <s v="Helse og mestring"/>
    <x v="0"/>
    <x v="0"/>
    <n v="1030"/>
    <n v="103000"/>
    <s v="Ekstrahjelp"/>
    <n v="0"/>
    <n v="0"/>
    <n v="0"/>
    <n v="0"/>
  </r>
  <r>
    <x v="10"/>
    <s v="November"/>
    <n v="11"/>
    <s v="T3"/>
    <x v="1"/>
    <s v="Kommunal Boenhet"/>
    <n v="254"/>
    <s v="Helse og mestring"/>
    <x v="0"/>
    <x v="0"/>
    <n v="1030"/>
    <n v="103000"/>
    <s v="Ekstrahjelp"/>
    <n v="0"/>
    <n v="0"/>
    <n v="0"/>
    <n v="0"/>
  </r>
  <r>
    <x v="11"/>
    <s v="Desember"/>
    <n v="12"/>
    <s v="T3"/>
    <x v="1"/>
    <s v="Kommunal Boenhet"/>
    <n v="254"/>
    <s v="Helse og mestring"/>
    <x v="0"/>
    <x v="0"/>
    <n v="1030"/>
    <n v="103000"/>
    <s v="Ekstrahjelp"/>
    <n v="0"/>
    <n v="0"/>
    <n v="0"/>
    <n v="0"/>
  </r>
  <r>
    <x v="0"/>
    <s v="Januar"/>
    <n v="1"/>
    <s v="T1"/>
    <x v="0"/>
    <s v="Kommunal Boenhet"/>
    <n v="254"/>
    <s v="Helse og mestring"/>
    <x v="0"/>
    <x v="0"/>
    <n v="1030"/>
    <n v="103030"/>
    <s v="Ekstrahjelp - lørdags- og søndagstillegg"/>
    <n v="0"/>
    <n v="0"/>
    <n v="0"/>
    <n v="0"/>
  </r>
  <r>
    <x v="1"/>
    <s v="Februar"/>
    <n v="2"/>
    <s v="T1"/>
    <x v="0"/>
    <s v="Kommunal Boenhet"/>
    <n v="254"/>
    <s v="Helse og mestring"/>
    <x v="0"/>
    <x v="0"/>
    <n v="1030"/>
    <n v="103030"/>
    <s v="Ekstrahjelp - lørdags- og søndagstillegg"/>
    <n v="0"/>
    <n v="0"/>
    <n v="0"/>
    <n v="0"/>
  </r>
  <r>
    <x v="2"/>
    <s v="Mars"/>
    <n v="3"/>
    <s v="T1"/>
    <x v="0"/>
    <s v="Kommunal Boenhet"/>
    <n v="254"/>
    <s v="Helse og mestring"/>
    <x v="0"/>
    <x v="0"/>
    <n v="1030"/>
    <n v="103030"/>
    <s v="Ekstrahjelp - lørdags- og søndagstillegg"/>
    <n v="0"/>
    <n v="1881.6"/>
    <n v="-1881.6"/>
    <n v="1881.6"/>
  </r>
  <r>
    <x v="3"/>
    <s v="April"/>
    <n v="4"/>
    <s v="T1"/>
    <x v="0"/>
    <s v="Kommunal Boenhet"/>
    <n v="254"/>
    <s v="Helse og mestring"/>
    <x v="0"/>
    <x v="0"/>
    <n v="1030"/>
    <n v="103030"/>
    <s v="Ekstrahjelp - lørdags- og søndagstillegg"/>
    <n v="0"/>
    <n v="0"/>
    <n v="0"/>
    <n v="0"/>
  </r>
  <r>
    <x v="4"/>
    <s v="Mai"/>
    <n v="5"/>
    <s v="T2"/>
    <x v="0"/>
    <s v="Kommunal Boenhet"/>
    <n v="254"/>
    <s v="Helse og mestring"/>
    <x v="0"/>
    <x v="0"/>
    <n v="1030"/>
    <n v="103030"/>
    <s v="Ekstrahjelp - lørdags- og søndagstillegg"/>
    <n v="0"/>
    <n v="0"/>
    <n v="0"/>
    <n v="0"/>
  </r>
  <r>
    <x v="5"/>
    <s v="Juni"/>
    <n v="6"/>
    <s v="T2"/>
    <x v="0"/>
    <s v="Kommunal Boenhet"/>
    <n v="254"/>
    <s v="Helse og mestring"/>
    <x v="0"/>
    <x v="0"/>
    <n v="1030"/>
    <n v="103030"/>
    <s v="Ekstrahjelp - lørdags- og søndagstillegg"/>
    <n v="0"/>
    <n v="558.46"/>
    <n v="-558.46"/>
    <n v="558.46"/>
  </r>
  <r>
    <x v="6"/>
    <s v="Juli"/>
    <n v="7"/>
    <s v="T2"/>
    <x v="0"/>
    <s v="Kommunal Boenhet"/>
    <n v="254"/>
    <s v="Helse og mestring"/>
    <x v="0"/>
    <x v="0"/>
    <n v="1030"/>
    <n v="103030"/>
    <s v="Ekstrahjelp - lørdags- og søndagstillegg"/>
    <n v="0"/>
    <n v="1058.4"/>
    <n v="-1058.4"/>
    <n v="1058.4"/>
  </r>
  <r>
    <x v="7"/>
    <s v="August"/>
    <n v="8"/>
    <s v="T2"/>
    <x v="0"/>
    <s v="Kommunal Boenhet"/>
    <n v="254"/>
    <s v="Helse og mestring"/>
    <x v="0"/>
    <x v="0"/>
    <n v="1030"/>
    <n v="103030"/>
    <s v="Ekstrahjelp - lørdags- og søndagstillegg"/>
    <n v="0"/>
    <n v="1881.6"/>
    <n v="-1881.6"/>
    <n v="1881.6"/>
  </r>
  <r>
    <x v="8"/>
    <s v="September"/>
    <n v="9"/>
    <s v="T3"/>
    <x v="1"/>
    <s v="Kommunal Boenhet"/>
    <n v="254"/>
    <s v="Helse og mestring"/>
    <x v="0"/>
    <x v="0"/>
    <n v="1030"/>
    <n v="103030"/>
    <s v="Ekstrahjelp - lørdags- og søndagstillegg"/>
    <n v="0"/>
    <n v="0"/>
    <n v="0"/>
    <n v="0"/>
  </r>
  <r>
    <x v="9"/>
    <s v="Oktober"/>
    <n v="10"/>
    <s v="T3"/>
    <x v="1"/>
    <s v="Kommunal Boenhet"/>
    <n v="254"/>
    <s v="Helse og mestring"/>
    <x v="0"/>
    <x v="0"/>
    <n v="1030"/>
    <n v="103030"/>
    <s v="Ekstrahjelp - lørdags- og søndagstillegg"/>
    <n v="0"/>
    <n v="0"/>
    <n v="0"/>
    <n v="0"/>
  </r>
  <r>
    <x v="10"/>
    <s v="November"/>
    <n v="11"/>
    <s v="T3"/>
    <x v="1"/>
    <s v="Kommunal Boenhet"/>
    <n v="254"/>
    <s v="Helse og mestring"/>
    <x v="0"/>
    <x v="0"/>
    <n v="1030"/>
    <n v="103030"/>
    <s v="Ekstrahjelp - lørdags- og søndagstillegg"/>
    <n v="0"/>
    <n v="0"/>
    <n v="0"/>
    <n v="0"/>
  </r>
  <r>
    <x v="11"/>
    <s v="Desember"/>
    <n v="12"/>
    <s v="T3"/>
    <x v="1"/>
    <s v="Kommunal Boenhet"/>
    <n v="254"/>
    <s v="Helse og mestring"/>
    <x v="0"/>
    <x v="0"/>
    <n v="1030"/>
    <n v="103030"/>
    <s v="Ekstrahjelp - lørdags- og søndagstillegg"/>
    <n v="0"/>
    <n v="0"/>
    <n v="0"/>
    <n v="0"/>
  </r>
  <r>
    <x v="0"/>
    <s v="Januar"/>
    <n v="1"/>
    <s v="T1"/>
    <x v="0"/>
    <s v="Kommunal Boenhet"/>
    <n v="254"/>
    <s v="Helse og mestring"/>
    <x v="0"/>
    <x v="0"/>
    <n v="1030"/>
    <n v="103031"/>
    <s v="Ekstrahjelp - kvelds- og nattillegg"/>
    <n v="0"/>
    <n v="0"/>
    <n v="0"/>
    <n v="0"/>
  </r>
  <r>
    <x v="1"/>
    <s v="Februar"/>
    <n v="2"/>
    <s v="T1"/>
    <x v="0"/>
    <s v="Kommunal Boenhet"/>
    <n v="254"/>
    <s v="Helse og mestring"/>
    <x v="0"/>
    <x v="0"/>
    <n v="1030"/>
    <n v="103031"/>
    <s v="Ekstrahjelp - kvelds- og nattillegg"/>
    <n v="0"/>
    <n v="1740.48"/>
    <n v="-1740.48"/>
    <n v="1740.48"/>
  </r>
  <r>
    <x v="2"/>
    <s v="Mars"/>
    <n v="3"/>
    <s v="T1"/>
    <x v="0"/>
    <s v="Kommunal Boenhet"/>
    <n v="254"/>
    <s v="Helse og mestring"/>
    <x v="0"/>
    <x v="0"/>
    <n v="1030"/>
    <n v="103031"/>
    <s v="Ekstrahjelp - kvelds- og nattillegg"/>
    <n v="0"/>
    <n v="831.04"/>
    <n v="-831.04"/>
    <n v="831.04"/>
  </r>
  <r>
    <x v="3"/>
    <s v="April"/>
    <n v="4"/>
    <s v="T1"/>
    <x v="0"/>
    <s v="Kommunal Boenhet"/>
    <n v="254"/>
    <s v="Helse og mestring"/>
    <x v="0"/>
    <x v="0"/>
    <n v="1030"/>
    <n v="103031"/>
    <s v="Ekstrahjelp - kvelds- og nattillegg"/>
    <n v="0"/>
    <n v="0"/>
    <n v="0"/>
    <n v="0"/>
  </r>
  <r>
    <x v="4"/>
    <s v="Mai"/>
    <n v="5"/>
    <s v="T2"/>
    <x v="0"/>
    <s v="Kommunal Boenhet"/>
    <n v="254"/>
    <s v="Helse og mestring"/>
    <x v="0"/>
    <x v="0"/>
    <n v="1030"/>
    <n v="103031"/>
    <s v="Ekstrahjelp - kvelds- og nattillegg"/>
    <n v="0"/>
    <n v="0"/>
    <n v="0"/>
    <n v="0"/>
  </r>
  <r>
    <x v="5"/>
    <s v="Juni"/>
    <n v="6"/>
    <s v="T2"/>
    <x v="0"/>
    <s v="Kommunal Boenhet"/>
    <n v="254"/>
    <s v="Helse og mestring"/>
    <x v="0"/>
    <x v="0"/>
    <n v="1030"/>
    <n v="103031"/>
    <s v="Ekstrahjelp - kvelds- og nattillegg"/>
    <n v="0"/>
    <n v="1641.4"/>
    <n v="-1641.4"/>
    <n v="1641.4"/>
  </r>
  <r>
    <x v="6"/>
    <s v="Juli"/>
    <n v="7"/>
    <s v="T2"/>
    <x v="0"/>
    <s v="Kommunal Boenhet"/>
    <n v="254"/>
    <s v="Helse og mestring"/>
    <x v="0"/>
    <x v="0"/>
    <n v="1030"/>
    <n v="103031"/>
    <s v="Ekstrahjelp - kvelds- og nattillegg"/>
    <n v="0"/>
    <n v="1383.76"/>
    <n v="-1383.76"/>
    <n v="1383.76"/>
  </r>
  <r>
    <x v="7"/>
    <s v="August"/>
    <n v="8"/>
    <s v="T2"/>
    <x v="0"/>
    <s v="Kommunal Boenhet"/>
    <n v="254"/>
    <s v="Helse og mestring"/>
    <x v="0"/>
    <x v="0"/>
    <n v="1030"/>
    <n v="103031"/>
    <s v="Ekstrahjelp - kvelds- og nattillegg"/>
    <n v="0"/>
    <n v="987.84"/>
    <n v="-987.84"/>
    <n v="987.84"/>
  </r>
  <r>
    <x v="8"/>
    <s v="September"/>
    <n v="9"/>
    <s v="T3"/>
    <x v="1"/>
    <s v="Kommunal Boenhet"/>
    <n v="254"/>
    <s v="Helse og mestring"/>
    <x v="0"/>
    <x v="0"/>
    <n v="1030"/>
    <n v="103031"/>
    <s v="Ekstrahjelp - kvelds- og nattillegg"/>
    <n v="0"/>
    <n v="0"/>
    <n v="0"/>
    <n v="0"/>
  </r>
  <r>
    <x v="9"/>
    <s v="Oktober"/>
    <n v="10"/>
    <s v="T3"/>
    <x v="1"/>
    <s v="Kommunal Boenhet"/>
    <n v="254"/>
    <s v="Helse og mestring"/>
    <x v="0"/>
    <x v="0"/>
    <n v="1030"/>
    <n v="103031"/>
    <s v="Ekstrahjelp - kvelds- og nattillegg"/>
    <n v="0"/>
    <n v="0"/>
    <n v="0"/>
    <n v="0"/>
  </r>
  <r>
    <x v="10"/>
    <s v="November"/>
    <n v="11"/>
    <s v="T3"/>
    <x v="1"/>
    <s v="Kommunal Boenhet"/>
    <n v="254"/>
    <s v="Helse og mestring"/>
    <x v="0"/>
    <x v="0"/>
    <n v="1030"/>
    <n v="103031"/>
    <s v="Ekstrahjelp - kvelds- og nattillegg"/>
    <n v="0"/>
    <n v="0"/>
    <n v="0"/>
    <n v="0"/>
  </r>
  <r>
    <x v="11"/>
    <s v="Desember"/>
    <n v="12"/>
    <s v="T3"/>
    <x v="1"/>
    <s v="Kommunal Boenhet"/>
    <n v="254"/>
    <s v="Helse og mestring"/>
    <x v="0"/>
    <x v="0"/>
    <n v="1030"/>
    <n v="103031"/>
    <s v="Ekstrahjelp - kvelds- og nattillegg"/>
    <n v="0"/>
    <n v="0"/>
    <n v="0"/>
    <n v="0"/>
  </r>
  <r>
    <x v="0"/>
    <s v="Januar"/>
    <n v="1"/>
    <s v="T1"/>
    <x v="0"/>
    <s v="Kommunal Boenhet"/>
    <n v="254"/>
    <s v="Helse og mestring"/>
    <x v="0"/>
    <x v="0"/>
    <n v="1030"/>
    <n v="103032"/>
    <s v="Ekstrahjelp - helligdagstillegg"/>
    <n v="0"/>
    <n v="0"/>
    <n v="0"/>
    <n v="0"/>
  </r>
  <r>
    <x v="1"/>
    <s v="Februar"/>
    <n v="2"/>
    <s v="T1"/>
    <x v="0"/>
    <s v="Kommunal Boenhet"/>
    <n v="254"/>
    <s v="Helse og mestring"/>
    <x v="0"/>
    <x v="0"/>
    <n v="1030"/>
    <n v="103032"/>
    <s v="Ekstrahjelp - helligdagstillegg"/>
    <n v="0"/>
    <n v="1708.4"/>
    <n v="-1708.4"/>
    <n v="1708.4"/>
  </r>
  <r>
    <x v="2"/>
    <s v="Mars"/>
    <n v="3"/>
    <s v="T1"/>
    <x v="0"/>
    <s v="Kommunal Boenhet"/>
    <n v="254"/>
    <s v="Helse og mestring"/>
    <x v="0"/>
    <x v="0"/>
    <n v="1030"/>
    <n v="103032"/>
    <s v="Ekstrahjelp - helligdagstillegg"/>
    <n v="0"/>
    <n v="0"/>
    <n v="0"/>
    <n v="0"/>
  </r>
  <r>
    <x v="3"/>
    <s v="April"/>
    <n v="4"/>
    <s v="T1"/>
    <x v="0"/>
    <s v="Kommunal Boenhet"/>
    <n v="254"/>
    <s v="Helse og mestring"/>
    <x v="0"/>
    <x v="0"/>
    <n v="1030"/>
    <n v="103032"/>
    <s v="Ekstrahjelp - helligdagstillegg"/>
    <n v="0"/>
    <n v="0"/>
    <n v="0"/>
    <n v="0"/>
  </r>
  <r>
    <x v="4"/>
    <s v="Mai"/>
    <n v="5"/>
    <s v="T2"/>
    <x v="0"/>
    <s v="Kommunal Boenhet"/>
    <n v="254"/>
    <s v="Helse og mestring"/>
    <x v="0"/>
    <x v="0"/>
    <n v="1030"/>
    <n v="103032"/>
    <s v="Ekstrahjelp - helligdagstillegg"/>
    <n v="0"/>
    <n v="0"/>
    <n v="0"/>
    <n v="0"/>
  </r>
  <r>
    <x v="5"/>
    <s v="Juni"/>
    <n v="6"/>
    <s v="T2"/>
    <x v="0"/>
    <s v="Kommunal Boenhet"/>
    <n v="254"/>
    <s v="Helse og mestring"/>
    <x v="0"/>
    <x v="0"/>
    <n v="1030"/>
    <n v="103032"/>
    <s v="Ekstrahjelp - helligdagstillegg"/>
    <n v="0"/>
    <n v="4900.9"/>
    <n v="-4900.9"/>
    <n v="4900.9"/>
  </r>
  <r>
    <x v="6"/>
    <s v="Juli"/>
    <n v="7"/>
    <s v="T2"/>
    <x v="0"/>
    <s v="Kommunal Boenhet"/>
    <n v="254"/>
    <s v="Helse og mestring"/>
    <x v="0"/>
    <x v="0"/>
    <n v="1030"/>
    <n v="103032"/>
    <s v="Ekstrahjelp - helligdagstillegg"/>
    <n v="0"/>
    <n v="0"/>
    <n v="0"/>
    <n v="0"/>
  </r>
  <r>
    <x v="7"/>
    <s v="August"/>
    <n v="8"/>
    <s v="T2"/>
    <x v="0"/>
    <s v="Kommunal Boenhet"/>
    <n v="254"/>
    <s v="Helse og mestring"/>
    <x v="0"/>
    <x v="0"/>
    <n v="1030"/>
    <n v="103032"/>
    <s v="Ekstrahjelp - helligdagstillegg"/>
    <n v="0"/>
    <n v="0"/>
    <n v="0"/>
    <n v="0"/>
  </r>
  <r>
    <x v="8"/>
    <s v="September"/>
    <n v="9"/>
    <s v="T3"/>
    <x v="1"/>
    <s v="Kommunal Boenhet"/>
    <n v="254"/>
    <s v="Helse og mestring"/>
    <x v="0"/>
    <x v="0"/>
    <n v="1030"/>
    <n v="103032"/>
    <s v="Ekstrahjelp - helligdagstillegg"/>
    <n v="0"/>
    <n v="0"/>
    <n v="0"/>
    <n v="0"/>
  </r>
  <r>
    <x v="9"/>
    <s v="Oktober"/>
    <n v="10"/>
    <s v="T3"/>
    <x v="1"/>
    <s v="Kommunal Boenhet"/>
    <n v="254"/>
    <s v="Helse og mestring"/>
    <x v="0"/>
    <x v="0"/>
    <n v="1030"/>
    <n v="103032"/>
    <s v="Ekstrahjelp - helligdagstillegg"/>
    <n v="0"/>
    <n v="0"/>
    <n v="0"/>
    <n v="0"/>
  </r>
  <r>
    <x v="10"/>
    <s v="November"/>
    <n v="11"/>
    <s v="T3"/>
    <x v="1"/>
    <s v="Kommunal Boenhet"/>
    <n v="254"/>
    <s v="Helse og mestring"/>
    <x v="0"/>
    <x v="0"/>
    <n v="1030"/>
    <n v="103032"/>
    <s v="Ekstrahjelp - helligdagstillegg"/>
    <n v="0"/>
    <n v="0"/>
    <n v="0"/>
    <n v="0"/>
  </r>
  <r>
    <x v="11"/>
    <s v="Desember"/>
    <n v="12"/>
    <s v="T3"/>
    <x v="1"/>
    <s v="Kommunal Boenhet"/>
    <n v="254"/>
    <s v="Helse og mestring"/>
    <x v="0"/>
    <x v="0"/>
    <n v="1030"/>
    <n v="103032"/>
    <s v="Ekstrahjelp - helligdagstillegg"/>
    <n v="0"/>
    <n v="0"/>
    <n v="0"/>
    <n v="0"/>
  </r>
  <r>
    <x v="0"/>
    <s v="Januar"/>
    <n v="1"/>
    <s v="T1"/>
    <x v="0"/>
    <s v="Kommunal Boenhet"/>
    <n v="254"/>
    <s v="Helse og mestring"/>
    <x v="0"/>
    <x v="0"/>
    <n v="1030"/>
    <n v="103040"/>
    <s v="Engasjementer / midlertidige stillinger"/>
    <n v="0"/>
    <n v="0"/>
    <n v="0"/>
    <n v="0"/>
  </r>
  <r>
    <x v="1"/>
    <s v="Februar"/>
    <n v="2"/>
    <s v="T1"/>
    <x v="0"/>
    <s v="Kommunal Boenhet"/>
    <n v="254"/>
    <s v="Helse og mestring"/>
    <x v="0"/>
    <x v="0"/>
    <n v="1030"/>
    <n v="103040"/>
    <s v="Engasjementer / midlertidige stillinger"/>
    <n v="0"/>
    <n v="0"/>
    <n v="0"/>
    <n v="0"/>
  </r>
  <r>
    <x v="2"/>
    <s v="Mars"/>
    <n v="3"/>
    <s v="T1"/>
    <x v="0"/>
    <s v="Kommunal Boenhet"/>
    <n v="254"/>
    <s v="Helse og mestring"/>
    <x v="0"/>
    <x v="0"/>
    <n v="1030"/>
    <n v="103040"/>
    <s v="Engasjementer / midlertidige stillinger"/>
    <n v="0"/>
    <n v="19282.89"/>
    <n v="-19282.89"/>
    <n v="19282.89"/>
  </r>
  <r>
    <x v="3"/>
    <s v="April"/>
    <n v="4"/>
    <s v="T1"/>
    <x v="0"/>
    <s v="Kommunal Boenhet"/>
    <n v="254"/>
    <s v="Helse og mestring"/>
    <x v="0"/>
    <x v="0"/>
    <n v="1030"/>
    <n v="103040"/>
    <s v="Engasjementer / midlertidige stillinger"/>
    <n v="0"/>
    <n v="0"/>
    <n v="0"/>
    <n v="0"/>
  </r>
  <r>
    <x v="4"/>
    <s v="Mai"/>
    <n v="5"/>
    <s v="T2"/>
    <x v="0"/>
    <s v="Kommunal Boenhet"/>
    <n v="254"/>
    <s v="Helse og mestring"/>
    <x v="0"/>
    <x v="0"/>
    <n v="1030"/>
    <n v="103040"/>
    <s v="Engasjementer / midlertidige stillinger"/>
    <n v="0"/>
    <n v="0"/>
    <n v="0"/>
    <n v="0"/>
  </r>
  <r>
    <x v="5"/>
    <s v="Juni"/>
    <n v="6"/>
    <s v="T2"/>
    <x v="0"/>
    <s v="Kommunal Boenhet"/>
    <n v="254"/>
    <s v="Helse og mestring"/>
    <x v="0"/>
    <x v="0"/>
    <n v="1030"/>
    <n v="103040"/>
    <s v="Engasjementer / midlertidige stillinger"/>
    <n v="0"/>
    <n v="0"/>
    <n v="0"/>
    <n v="0"/>
  </r>
  <r>
    <x v="6"/>
    <s v="Juli"/>
    <n v="7"/>
    <s v="T2"/>
    <x v="0"/>
    <s v="Kommunal Boenhet"/>
    <n v="254"/>
    <s v="Helse og mestring"/>
    <x v="0"/>
    <x v="0"/>
    <n v="1030"/>
    <n v="103040"/>
    <s v="Engasjementer / midlertidige stillinger"/>
    <n v="0"/>
    <n v="0"/>
    <n v="0"/>
    <n v="0"/>
  </r>
  <r>
    <x v="7"/>
    <s v="August"/>
    <n v="8"/>
    <s v="T2"/>
    <x v="0"/>
    <s v="Kommunal Boenhet"/>
    <n v="254"/>
    <s v="Helse og mestring"/>
    <x v="0"/>
    <x v="0"/>
    <n v="1030"/>
    <n v="103040"/>
    <s v="Engasjementer / midlertidige stillinger"/>
    <n v="0"/>
    <n v="0"/>
    <n v="0"/>
    <n v="0"/>
  </r>
  <r>
    <x v="8"/>
    <s v="September"/>
    <n v="9"/>
    <s v="T3"/>
    <x v="1"/>
    <s v="Kommunal Boenhet"/>
    <n v="254"/>
    <s v="Helse og mestring"/>
    <x v="0"/>
    <x v="0"/>
    <n v="1030"/>
    <n v="103040"/>
    <s v="Engasjementer / midlertidige stillinger"/>
    <n v="0"/>
    <n v="0"/>
    <n v="0"/>
    <n v="0"/>
  </r>
  <r>
    <x v="9"/>
    <s v="Oktober"/>
    <n v="10"/>
    <s v="T3"/>
    <x v="1"/>
    <s v="Kommunal Boenhet"/>
    <n v="254"/>
    <s v="Helse og mestring"/>
    <x v="0"/>
    <x v="0"/>
    <n v="1030"/>
    <n v="103040"/>
    <s v="Engasjementer / midlertidige stillinger"/>
    <n v="0"/>
    <n v="0"/>
    <n v="0"/>
    <n v="0"/>
  </r>
  <r>
    <x v="10"/>
    <s v="November"/>
    <n v="11"/>
    <s v="T3"/>
    <x v="1"/>
    <s v="Kommunal Boenhet"/>
    <n v="254"/>
    <s v="Helse og mestring"/>
    <x v="0"/>
    <x v="0"/>
    <n v="1030"/>
    <n v="103040"/>
    <s v="Engasjementer / midlertidige stillinger"/>
    <n v="0"/>
    <n v="0"/>
    <n v="0"/>
    <n v="0"/>
  </r>
  <r>
    <x v="11"/>
    <s v="Desember"/>
    <n v="12"/>
    <s v="T3"/>
    <x v="1"/>
    <s v="Kommunal Boenhet"/>
    <n v="254"/>
    <s v="Helse og mestring"/>
    <x v="0"/>
    <x v="0"/>
    <n v="1030"/>
    <n v="103040"/>
    <s v="Engasjementer / midlertidige stillinger"/>
    <n v="0"/>
    <n v="0"/>
    <n v="0"/>
    <n v="0"/>
  </r>
  <r>
    <x v="0"/>
    <s v="Januar"/>
    <n v="1"/>
    <s v="T1"/>
    <x v="0"/>
    <s v="Kommunal Boenhet"/>
    <n v="254"/>
    <s v="Helse og mestring"/>
    <x v="0"/>
    <x v="0"/>
    <n v="1030"/>
    <n v="103050"/>
    <s v="Sommer- og sesonghjelp"/>
    <n v="0"/>
    <n v="0"/>
    <n v="0"/>
    <n v="0"/>
  </r>
  <r>
    <x v="1"/>
    <s v="Februar"/>
    <n v="2"/>
    <s v="T1"/>
    <x v="0"/>
    <s v="Kommunal Boenhet"/>
    <n v="254"/>
    <s v="Helse og mestring"/>
    <x v="0"/>
    <x v="0"/>
    <n v="1030"/>
    <n v="103050"/>
    <s v="Sommer- og sesonghjelp"/>
    <n v="0"/>
    <n v="0"/>
    <n v="0"/>
    <n v="0"/>
  </r>
  <r>
    <x v="2"/>
    <s v="Mars"/>
    <n v="3"/>
    <s v="T1"/>
    <x v="0"/>
    <s v="Kommunal Boenhet"/>
    <n v="254"/>
    <s v="Helse og mestring"/>
    <x v="0"/>
    <x v="0"/>
    <n v="1030"/>
    <n v="103050"/>
    <s v="Sommer- og sesonghjelp"/>
    <n v="0"/>
    <n v="0"/>
    <n v="0"/>
    <n v="0"/>
  </r>
  <r>
    <x v="3"/>
    <s v="April"/>
    <n v="4"/>
    <s v="T1"/>
    <x v="0"/>
    <s v="Kommunal Boenhet"/>
    <n v="254"/>
    <s v="Helse og mestring"/>
    <x v="0"/>
    <x v="0"/>
    <n v="1030"/>
    <n v="103050"/>
    <s v="Sommer- og sesonghjelp"/>
    <n v="0"/>
    <n v="0"/>
    <n v="0"/>
    <n v="0"/>
  </r>
  <r>
    <x v="4"/>
    <s v="Mai"/>
    <n v="5"/>
    <s v="T2"/>
    <x v="0"/>
    <s v="Kommunal Boenhet"/>
    <n v="254"/>
    <s v="Helse og mestring"/>
    <x v="0"/>
    <x v="0"/>
    <n v="1030"/>
    <n v="103050"/>
    <s v="Sommer- og sesonghjelp"/>
    <n v="0"/>
    <n v="0"/>
    <n v="0"/>
    <n v="0"/>
  </r>
  <r>
    <x v="5"/>
    <s v="Juni"/>
    <n v="6"/>
    <s v="T2"/>
    <x v="0"/>
    <s v="Kommunal Boenhet"/>
    <n v="254"/>
    <s v="Helse og mestring"/>
    <x v="0"/>
    <x v="0"/>
    <n v="1030"/>
    <n v="103050"/>
    <s v="Sommer- og sesonghjelp"/>
    <n v="0"/>
    <n v="0"/>
    <n v="0"/>
    <n v="0"/>
  </r>
  <r>
    <x v="6"/>
    <s v="Juli"/>
    <n v="7"/>
    <s v="T2"/>
    <x v="0"/>
    <s v="Kommunal Boenhet"/>
    <n v="254"/>
    <s v="Helse og mestring"/>
    <x v="0"/>
    <x v="0"/>
    <n v="1030"/>
    <n v="103050"/>
    <s v="Sommer- og sesonghjelp"/>
    <n v="0"/>
    <n v="10175.6"/>
    <n v="-10175.6"/>
    <n v="10175.6"/>
  </r>
  <r>
    <x v="7"/>
    <s v="August"/>
    <n v="8"/>
    <s v="T2"/>
    <x v="0"/>
    <s v="Kommunal Boenhet"/>
    <n v="254"/>
    <s v="Helse og mestring"/>
    <x v="0"/>
    <x v="0"/>
    <n v="1030"/>
    <n v="103050"/>
    <s v="Sommer- og sesonghjelp"/>
    <n v="0"/>
    <n v="19858.59"/>
    <n v="-19858.59"/>
    <n v="19858.59"/>
  </r>
  <r>
    <x v="8"/>
    <s v="September"/>
    <n v="9"/>
    <s v="T3"/>
    <x v="1"/>
    <s v="Kommunal Boenhet"/>
    <n v="254"/>
    <s v="Helse og mestring"/>
    <x v="0"/>
    <x v="0"/>
    <n v="1030"/>
    <n v="103050"/>
    <s v="Sommer- og sesonghjelp"/>
    <n v="0"/>
    <n v="0"/>
    <n v="0"/>
    <n v="0"/>
  </r>
  <r>
    <x v="9"/>
    <s v="Oktober"/>
    <n v="10"/>
    <s v="T3"/>
    <x v="1"/>
    <s v="Kommunal Boenhet"/>
    <n v="254"/>
    <s v="Helse og mestring"/>
    <x v="0"/>
    <x v="0"/>
    <n v="1030"/>
    <n v="103050"/>
    <s v="Sommer- og sesonghjelp"/>
    <n v="0"/>
    <n v="0"/>
    <n v="0"/>
    <n v="0"/>
  </r>
  <r>
    <x v="10"/>
    <s v="November"/>
    <n v="11"/>
    <s v="T3"/>
    <x v="1"/>
    <s v="Kommunal Boenhet"/>
    <n v="254"/>
    <s v="Helse og mestring"/>
    <x v="0"/>
    <x v="0"/>
    <n v="1030"/>
    <n v="103050"/>
    <s v="Sommer- og sesonghjelp"/>
    <n v="0"/>
    <n v="0"/>
    <n v="0"/>
    <n v="0"/>
  </r>
  <r>
    <x v="11"/>
    <s v="Desember"/>
    <n v="12"/>
    <s v="T3"/>
    <x v="1"/>
    <s v="Kommunal Boenhet"/>
    <n v="254"/>
    <s v="Helse og mestring"/>
    <x v="0"/>
    <x v="0"/>
    <n v="1030"/>
    <n v="103050"/>
    <s v="Sommer- og sesonghjelp"/>
    <n v="0"/>
    <n v="0"/>
    <n v="0"/>
    <n v="0"/>
  </r>
  <r>
    <x v="0"/>
    <s v="Januar"/>
    <n v="1"/>
    <s v="T1"/>
    <x v="0"/>
    <s v="Kommunal Boenhet"/>
    <n v="254"/>
    <s v="Helse og mestring"/>
    <x v="0"/>
    <x v="0"/>
    <n v="1040"/>
    <n v="104000"/>
    <s v="Overtidslønn"/>
    <n v="7063"/>
    <n v="0"/>
    <n v="7063"/>
    <n v="-7063"/>
  </r>
  <r>
    <x v="1"/>
    <s v="Februar"/>
    <n v="2"/>
    <s v="T1"/>
    <x v="0"/>
    <s v="Kommunal Boenhet"/>
    <n v="254"/>
    <s v="Helse og mestring"/>
    <x v="0"/>
    <x v="0"/>
    <n v="1040"/>
    <n v="104000"/>
    <s v="Overtidslønn"/>
    <n v="7063"/>
    <n v="103533.77"/>
    <n v="-96470.77"/>
    <n v="96470.77"/>
  </r>
  <r>
    <x v="2"/>
    <s v="Mars"/>
    <n v="3"/>
    <s v="T1"/>
    <x v="0"/>
    <s v="Kommunal Boenhet"/>
    <n v="254"/>
    <s v="Helse og mestring"/>
    <x v="0"/>
    <x v="0"/>
    <n v="1040"/>
    <n v="104000"/>
    <s v="Overtidslønn"/>
    <n v="7063"/>
    <n v="66482.39999999999"/>
    <n v="-59419.4"/>
    <n v="59419.4"/>
  </r>
  <r>
    <x v="3"/>
    <s v="April"/>
    <n v="4"/>
    <s v="T1"/>
    <x v="0"/>
    <s v="Kommunal Boenhet"/>
    <n v="254"/>
    <s v="Helse og mestring"/>
    <x v="0"/>
    <x v="0"/>
    <n v="1040"/>
    <n v="104000"/>
    <s v="Overtidslønn"/>
    <n v="7063"/>
    <n v="8461.82"/>
    <n v="-1398.82"/>
    <n v="1398.82"/>
  </r>
  <r>
    <x v="4"/>
    <s v="Mai"/>
    <n v="5"/>
    <s v="T2"/>
    <x v="0"/>
    <s v="Kommunal Boenhet"/>
    <n v="254"/>
    <s v="Helse og mestring"/>
    <x v="0"/>
    <x v="0"/>
    <n v="1040"/>
    <n v="104000"/>
    <s v="Overtidslønn"/>
    <n v="7063"/>
    <n v="4272.71"/>
    <n v="2790.29"/>
    <n v="-2790.29"/>
  </r>
  <r>
    <x v="5"/>
    <s v="Juni"/>
    <n v="6"/>
    <s v="T2"/>
    <x v="0"/>
    <s v="Kommunal Boenhet"/>
    <n v="254"/>
    <s v="Helse og mestring"/>
    <x v="0"/>
    <x v="0"/>
    <n v="1040"/>
    <n v="104000"/>
    <s v="Overtidslønn"/>
    <n v="7063"/>
    <n v="6065.63"/>
    <n v="997.37"/>
    <n v="-997.37"/>
  </r>
  <r>
    <x v="6"/>
    <s v="Juli"/>
    <n v="7"/>
    <s v="T2"/>
    <x v="0"/>
    <s v="Kommunal Boenhet"/>
    <n v="254"/>
    <s v="Helse og mestring"/>
    <x v="0"/>
    <x v="0"/>
    <n v="1040"/>
    <n v="104000"/>
    <s v="Overtidslønn"/>
    <n v="7063"/>
    <n v="31970.72"/>
    <n v="-24907.72"/>
    <n v="24907.72"/>
  </r>
  <r>
    <x v="7"/>
    <s v="August"/>
    <n v="8"/>
    <s v="T2"/>
    <x v="0"/>
    <s v="Kommunal Boenhet"/>
    <n v="254"/>
    <s v="Helse og mestring"/>
    <x v="0"/>
    <x v="0"/>
    <n v="1040"/>
    <n v="104000"/>
    <s v="Overtidslønn"/>
    <n v="7063"/>
    <n v="21288.8"/>
    <n v="-14225.8"/>
    <n v="14225.8"/>
  </r>
  <r>
    <x v="8"/>
    <s v="September"/>
    <n v="9"/>
    <s v="T3"/>
    <x v="1"/>
    <s v="Kommunal Boenhet"/>
    <n v="254"/>
    <s v="Helse og mestring"/>
    <x v="0"/>
    <x v="0"/>
    <n v="1040"/>
    <n v="104000"/>
    <s v="Overtidslønn"/>
    <n v="7063"/>
    <n v="0"/>
    <n v="0"/>
    <n v="-7063"/>
  </r>
  <r>
    <x v="9"/>
    <s v="Oktober"/>
    <n v="10"/>
    <s v="T3"/>
    <x v="1"/>
    <s v="Kommunal Boenhet"/>
    <n v="254"/>
    <s v="Helse og mestring"/>
    <x v="0"/>
    <x v="0"/>
    <n v="1040"/>
    <n v="104000"/>
    <s v="Overtidslønn"/>
    <n v="7063"/>
    <n v="0"/>
    <n v="0"/>
    <n v="-7063"/>
  </r>
  <r>
    <x v="10"/>
    <s v="November"/>
    <n v="11"/>
    <s v="T3"/>
    <x v="1"/>
    <s v="Kommunal Boenhet"/>
    <n v="254"/>
    <s v="Helse og mestring"/>
    <x v="0"/>
    <x v="0"/>
    <n v="1040"/>
    <n v="104000"/>
    <s v="Overtidslønn"/>
    <n v="7063"/>
    <n v="0"/>
    <n v="0"/>
    <n v="-7063"/>
  </r>
  <r>
    <x v="11"/>
    <s v="Desember"/>
    <n v="12"/>
    <s v="T3"/>
    <x v="1"/>
    <s v="Kommunal Boenhet"/>
    <n v="254"/>
    <s v="Helse og mestring"/>
    <x v="0"/>
    <x v="0"/>
    <n v="1040"/>
    <n v="104000"/>
    <s v="Overtidslønn"/>
    <n v="7307"/>
    <n v="0"/>
    <n v="0"/>
    <n v="-7307"/>
  </r>
  <r>
    <x v="0"/>
    <s v="Januar"/>
    <n v="1"/>
    <s v="T1"/>
    <x v="0"/>
    <s v="Kommunal Boenhet"/>
    <n v="254"/>
    <s v="Helse og mestring"/>
    <x v="0"/>
    <x v="0"/>
    <n v="1050"/>
    <n v="105000"/>
    <s v="Lærlinger"/>
    <n v="0"/>
    <n v="0"/>
    <n v="0"/>
    <n v="0"/>
  </r>
  <r>
    <x v="1"/>
    <s v="Februar"/>
    <n v="2"/>
    <s v="T1"/>
    <x v="0"/>
    <s v="Kommunal Boenhet"/>
    <n v="254"/>
    <s v="Helse og mestring"/>
    <x v="0"/>
    <x v="0"/>
    <n v="1050"/>
    <n v="105000"/>
    <s v="Lærlinger"/>
    <n v="0"/>
    <n v="0"/>
    <n v="0"/>
    <n v="0"/>
  </r>
  <r>
    <x v="2"/>
    <s v="Mars"/>
    <n v="3"/>
    <s v="T1"/>
    <x v="0"/>
    <s v="Kommunal Boenhet"/>
    <n v="254"/>
    <s v="Helse og mestring"/>
    <x v="0"/>
    <x v="0"/>
    <n v="1050"/>
    <n v="105000"/>
    <s v="Lærlinger"/>
    <n v="0"/>
    <n v="8900.99"/>
    <n v="-8900.99"/>
    <n v="8900.99"/>
  </r>
  <r>
    <x v="3"/>
    <s v="April"/>
    <n v="4"/>
    <s v="T1"/>
    <x v="0"/>
    <s v="Kommunal Boenhet"/>
    <n v="254"/>
    <s v="Helse og mestring"/>
    <x v="0"/>
    <x v="0"/>
    <n v="1050"/>
    <n v="105000"/>
    <s v="Lærlinger"/>
    <n v="0"/>
    <n v="14522.67"/>
    <n v="-14522.67"/>
    <n v="14522.67"/>
  </r>
  <r>
    <x v="4"/>
    <s v="Mai"/>
    <n v="5"/>
    <s v="T2"/>
    <x v="0"/>
    <s v="Kommunal Boenhet"/>
    <n v="254"/>
    <s v="Helse og mestring"/>
    <x v="0"/>
    <x v="0"/>
    <n v="1050"/>
    <n v="105000"/>
    <s v="Lærlinger"/>
    <n v="0"/>
    <n v="14522.67"/>
    <n v="-14522.67"/>
    <n v="14522.67"/>
  </r>
  <r>
    <x v="5"/>
    <s v="Juni"/>
    <n v="6"/>
    <s v="T2"/>
    <x v="0"/>
    <s v="Kommunal Boenhet"/>
    <n v="254"/>
    <s v="Helse og mestring"/>
    <x v="0"/>
    <x v="0"/>
    <n v="1050"/>
    <n v="105000"/>
    <s v="Lærlinger"/>
    <n v="0"/>
    <n v="-1403.44"/>
    <n v="1403.44"/>
    <n v="-1403.44"/>
  </r>
  <r>
    <x v="6"/>
    <s v="Juli"/>
    <n v="7"/>
    <s v="T2"/>
    <x v="0"/>
    <s v="Kommunal Boenhet"/>
    <n v="254"/>
    <s v="Helse og mestring"/>
    <x v="0"/>
    <x v="0"/>
    <n v="1050"/>
    <n v="105000"/>
    <s v="Lærlinger"/>
    <n v="0"/>
    <n v="15504.53"/>
    <n v="-15504.53"/>
    <n v="15504.53"/>
  </r>
  <r>
    <x v="7"/>
    <s v="August"/>
    <n v="8"/>
    <s v="T2"/>
    <x v="0"/>
    <s v="Kommunal Boenhet"/>
    <n v="254"/>
    <s v="Helse og mestring"/>
    <x v="0"/>
    <x v="0"/>
    <n v="1050"/>
    <n v="105000"/>
    <s v="Lærlinger"/>
    <n v="0"/>
    <n v="17630.16"/>
    <n v="-17630.16"/>
    <n v="17630.16"/>
  </r>
  <r>
    <x v="8"/>
    <s v="September"/>
    <n v="9"/>
    <s v="T3"/>
    <x v="1"/>
    <s v="Kommunal Boenhet"/>
    <n v="254"/>
    <s v="Helse og mestring"/>
    <x v="0"/>
    <x v="0"/>
    <n v="1050"/>
    <n v="105000"/>
    <s v="Lærlinger"/>
    <n v="0"/>
    <n v="0"/>
    <n v="0"/>
    <n v="0"/>
  </r>
  <r>
    <x v="9"/>
    <s v="Oktober"/>
    <n v="10"/>
    <s v="T3"/>
    <x v="1"/>
    <s v="Kommunal Boenhet"/>
    <n v="254"/>
    <s v="Helse og mestring"/>
    <x v="0"/>
    <x v="0"/>
    <n v="1050"/>
    <n v="105000"/>
    <s v="Lærlinger"/>
    <n v="0"/>
    <n v="0"/>
    <n v="0"/>
    <n v="0"/>
  </r>
  <r>
    <x v="10"/>
    <s v="November"/>
    <n v="11"/>
    <s v="T3"/>
    <x v="1"/>
    <s v="Kommunal Boenhet"/>
    <n v="254"/>
    <s v="Helse og mestring"/>
    <x v="0"/>
    <x v="0"/>
    <n v="1050"/>
    <n v="105000"/>
    <s v="Lærlinger"/>
    <n v="0"/>
    <n v="0"/>
    <n v="0"/>
    <n v="0"/>
  </r>
  <r>
    <x v="11"/>
    <s v="Desember"/>
    <n v="12"/>
    <s v="T3"/>
    <x v="1"/>
    <s v="Kommunal Boenhet"/>
    <n v="254"/>
    <s v="Helse og mestring"/>
    <x v="0"/>
    <x v="0"/>
    <n v="1050"/>
    <n v="105000"/>
    <s v="Lærlinger"/>
    <n v="0"/>
    <n v="0"/>
    <n v="0"/>
    <n v="0"/>
  </r>
  <r>
    <x v="0"/>
    <s v="Januar"/>
    <n v="1"/>
    <s v="T1"/>
    <x v="0"/>
    <s v="Kommunal Boenhet"/>
    <n v="254"/>
    <s v="Helse og mestring"/>
    <x v="0"/>
    <x v="0"/>
    <n v="1050"/>
    <n v="105042"/>
    <s v="Lønn utrykning"/>
    <n v="0"/>
    <n v="0"/>
    <n v="0"/>
    <n v="0"/>
  </r>
  <r>
    <x v="1"/>
    <s v="Februar"/>
    <n v="2"/>
    <s v="T1"/>
    <x v="0"/>
    <s v="Kommunal Boenhet"/>
    <n v="254"/>
    <s v="Helse og mestring"/>
    <x v="0"/>
    <x v="0"/>
    <n v="1050"/>
    <n v="105042"/>
    <s v="Lønn utrykning"/>
    <n v="0"/>
    <n v="0"/>
    <n v="0"/>
    <n v="0"/>
  </r>
  <r>
    <x v="2"/>
    <s v="Mars"/>
    <n v="3"/>
    <s v="T1"/>
    <x v="0"/>
    <s v="Kommunal Boenhet"/>
    <n v="254"/>
    <s v="Helse og mestring"/>
    <x v="0"/>
    <x v="0"/>
    <n v="1050"/>
    <n v="105042"/>
    <s v="Lønn utrykning"/>
    <n v="0"/>
    <n v="0"/>
    <n v="0"/>
    <n v="0"/>
  </r>
  <r>
    <x v="3"/>
    <s v="April"/>
    <n v="4"/>
    <s v="T1"/>
    <x v="0"/>
    <s v="Kommunal Boenhet"/>
    <n v="254"/>
    <s v="Helse og mestring"/>
    <x v="0"/>
    <x v="0"/>
    <n v="1050"/>
    <n v="105042"/>
    <s v="Lønn utrykning"/>
    <n v="0"/>
    <n v="0"/>
    <n v="0"/>
    <n v="0"/>
  </r>
  <r>
    <x v="4"/>
    <s v="Mai"/>
    <n v="5"/>
    <s v="T2"/>
    <x v="0"/>
    <s v="Kommunal Boenhet"/>
    <n v="254"/>
    <s v="Helse og mestring"/>
    <x v="0"/>
    <x v="0"/>
    <n v="1050"/>
    <n v="105042"/>
    <s v="Lønn utrykning"/>
    <n v="0"/>
    <n v="0"/>
    <n v="0"/>
    <n v="0"/>
  </r>
  <r>
    <x v="5"/>
    <s v="Juni"/>
    <n v="6"/>
    <s v="T2"/>
    <x v="0"/>
    <s v="Kommunal Boenhet"/>
    <n v="254"/>
    <s v="Helse og mestring"/>
    <x v="0"/>
    <x v="0"/>
    <n v="1050"/>
    <n v="105042"/>
    <s v="Lønn utrykning"/>
    <n v="0"/>
    <n v="0"/>
    <n v="0"/>
    <n v="0"/>
  </r>
  <r>
    <x v="6"/>
    <s v="Juli"/>
    <n v="7"/>
    <s v="T2"/>
    <x v="0"/>
    <s v="Kommunal Boenhet"/>
    <n v="254"/>
    <s v="Helse og mestring"/>
    <x v="0"/>
    <x v="0"/>
    <n v="1050"/>
    <n v="105042"/>
    <s v="Lønn utrykning"/>
    <n v="0"/>
    <n v="0"/>
    <n v="0"/>
    <n v="0"/>
  </r>
  <r>
    <x v="7"/>
    <s v="August"/>
    <n v="8"/>
    <s v="T2"/>
    <x v="0"/>
    <s v="Kommunal Boenhet"/>
    <n v="254"/>
    <s v="Helse og mestring"/>
    <x v="0"/>
    <x v="0"/>
    <n v="1050"/>
    <n v="105042"/>
    <s v="Lønn utrykning"/>
    <n v="0"/>
    <n v="0"/>
    <n v="0"/>
    <n v="0"/>
  </r>
  <r>
    <x v="8"/>
    <s v="September"/>
    <n v="9"/>
    <s v="T3"/>
    <x v="1"/>
    <s v="Kommunal Boenhet"/>
    <n v="254"/>
    <s v="Helse og mestring"/>
    <x v="0"/>
    <x v="0"/>
    <n v="1050"/>
    <n v="105042"/>
    <s v="Lønn utrykning"/>
    <n v="0"/>
    <n v="0"/>
    <n v="0"/>
    <n v="0"/>
  </r>
  <r>
    <x v="9"/>
    <s v="Oktober"/>
    <n v="10"/>
    <s v="T3"/>
    <x v="1"/>
    <s v="Kommunal Boenhet"/>
    <n v="254"/>
    <s v="Helse og mestring"/>
    <x v="0"/>
    <x v="0"/>
    <n v="1050"/>
    <n v="105042"/>
    <s v="Lønn utrykning"/>
    <n v="0"/>
    <n v="0"/>
    <n v="0"/>
    <n v="0"/>
  </r>
  <r>
    <x v="10"/>
    <s v="November"/>
    <n v="11"/>
    <s v="T3"/>
    <x v="1"/>
    <s v="Kommunal Boenhet"/>
    <n v="254"/>
    <s v="Helse og mestring"/>
    <x v="0"/>
    <x v="0"/>
    <n v="1050"/>
    <n v="105042"/>
    <s v="Lønn utrykning"/>
    <n v="0"/>
    <n v="0"/>
    <n v="0"/>
    <n v="0"/>
  </r>
  <r>
    <x v="11"/>
    <s v="Desember"/>
    <n v="12"/>
    <s v="T3"/>
    <x v="1"/>
    <s v="Kommunal Boenhet"/>
    <n v="254"/>
    <s v="Helse og mestring"/>
    <x v="0"/>
    <x v="0"/>
    <n v="1050"/>
    <n v="105042"/>
    <s v="Lønn utrykning"/>
    <n v="0"/>
    <n v="0"/>
    <n v="0"/>
    <n v="0"/>
  </r>
  <r>
    <x v="0"/>
    <s v="Januar"/>
    <n v="1"/>
    <s v="T1"/>
    <x v="0"/>
    <s v="Kommunal Boenhet"/>
    <n v="254"/>
    <s v="Helse og mestring"/>
    <x v="0"/>
    <x v="0"/>
    <n v="1050"/>
    <n v="105045"/>
    <s v="Turtillegg - reise med pasient / klient/brukere"/>
    <n v="0"/>
    <n v="0"/>
    <n v="0"/>
    <n v="0"/>
  </r>
  <r>
    <x v="1"/>
    <s v="Februar"/>
    <n v="2"/>
    <s v="T1"/>
    <x v="0"/>
    <s v="Kommunal Boenhet"/>
    <n v="254"/>
    <s v="Helse og mestring"/>
    <x v="0"/>
    <x v="0"/>
    <n v="1050"/>
    <n v="105045"/>
    <s v="Turtillegg - reise med pasient / klient/brukere"/>
    <n v="0"/>
    <n v="0"/>
    <n v="0"/>
    <n v="0"/>
  </r>
  <r>
    <x v="2"/>
    <s v="Mars"/>
    <n v="3"/>
    <s v="T1"/>
    <x v="0"/>
    <s v="Kommunal Boenhet"/>
    <n v="254"/>
    <s v="Helse og mestring"/>
    <x v="0"/>
    <x v="0"/>
    <n v="1050"/>
    <n v="105045"/>
    <s v="Turtillegg - reise med pasient / klient/brukere"/>
    <n v="0"/>
    <n v="12191.9"/>
    <n v="-12191.9"/>
    <n v="12191.9"/>
  </r>
  <r>
    <x v="3"/>
    <s v="April"/>
    <n v="4"/>
    <s v="T1"/>
    <x v="0"/>
    <s v="Kommunal Boenhet"/>
    <n v="254"/>
    <s v="Helse og mestring"/>
    <x v="0"/>
    <x v="0"/>
    <n v="1050"/>
    <n v="105045"/>
    <s v="Turtillegg - reise med pasient / klient/brukere"/>
    <n v="0"/>
    <n v="0"/>
    <n v="0"/>
    <n v="0"/>
  </r>
  <r>
    <x v="4"/>
    <s v="Mai"/>
    <n v="5"/>
    <s v="T2"/>
    <x v="0"/>
    <s v="Kommunal Boenhet"/>
    <n v="254"/>
    <s v="Helse og mestring"/>
    <x v="0"/>
    <x v="0"/>
    <n v="1050"/>
    <n v="105045"/>
    <s v="Turtillegg - reise med pasient / klient/brukere"/>
    <n v="0"/>
    <n v="1075.2"/>
    <n v="-1075.2"/>
    <n v="1075.2"/>
  </r>
  <r>
    <x v="5"/>
    <s v="Juni"/>
    <n v="6"/>
    <s v="T2"/>
    <x v="0"/>
    <s v="Kommunal Boenhet"/>
    <n v="254"/>
    <s v="Helse og mestring"/>
    <x v="0"/>
    <x v="0"/>
    <n v="1050"/>
    <n v="105045"/>
    <s v="Turtillegg - reise med pasient / klient/brukere"/>
    <n v="0"/>
    <n v="0"/>
    <n v="0"/>
    <n v="0"/>
  </r>
  <r>
    <x v="6"/>
    <s v="Juli"/>
    <n v="7"/>
    <s v="T2"/>
    <x v="0"/>
    <s v="Kommunal Boenhet"/>
    <n v="254"/>
    <s v="Helse og mestring"/>
    <x v="0"/>
    <x v="0"/>
    <n v="1050"/>
    <n v="105045"/>
    <s v="Turtillegg - reise med pasient / klient/brukere"/>
    <n v="0"/>
    <n v="0"/>
    <n v="0"/>
    <n v="0"/>
  </r>
  <r>
    <x v="7"/>
    <s v="August"/>
    <n v="8"/>
    <s v="T2"/>
    <x v="0"/>
    <s v="Kommunal Boenhet"/>
    <n v="254"/>
    <s v="Helse og mestring"/>
    <x v="0"/>
    <x v="0"/>
    <n v="1050"/>
    <n v="105045"/>
    <s v="Turtillegg - reise med pasient / klient/brukere"/>
    <n v="0"/>
    <n v="12519.36"/>
    <n v="-12519.36"/>
    <n v="12519.36"/>
  </r>
  <r>
    <x v="8"/>
    <s v="September"/>
    <n v="9"/>
    <s v="T3"/>
    <x v="1"/>
    <s v="Kommunal Boenhet"/>
    <n v="254"/>
    <s v="Helse og mestring"/>
    <x v="0"/>
    <x v="0"/>
    <n v="1050"/>
    <n v="105045"/>
    <s v="Turtillegg - reise med pasient / klient/brukere"/>
    <n v="0"/>
    <n v="0"/>
    <n v="0"/>
    <n v="0"/>
  </r>
  <r>
    <x v="9"/>
    <s v="Oktober"/>
    <n v="10"/>
    <s v="T3"/>
    <x v="1"/>
    <s v="Kommunal Boenhet"/>
    <n v="254"/>
    <s v="Helse og mestring"/>
    <x v="0"/>
    <x v="0"/>
    <n v="1050"/>
    <n v="105045"/>
    <s v="Turtillegg - reise med pasient / klient/brukere"/>
    <n v="0"/>
    <n v="0"/>
    <n v="0"/>
    <n v="0"/>
  </r>
  <r>
    <x v="10"/>
    <s v="November"/>
    <n v="11"/>
    <s v="T3"/>
    <x v="1"/>
    <s v="Kommunal Boenhet"/>
    <n v="254"/>
    <s v="Helse og mestring"/>
    <x v="0"/>
    <x v="0"/>
    <n v="1050"/>
    <n v="105045"/>
    <s v="Turtillegg - reise med pasient / klient/brukere"/>
    <n v="0"/>
    <n v="0"/>
    <n v="0"/>
    <n v="0"/>
  </r>
  <r>
    <x v="11"/>
    <s v="Desember"/>
    <n v="12"/>
    <s v="T3"/>
    <x v="1"/>
    <s v="Kommunal Boenhet"/>
    <n v="254"/>
    <s v="Helse og mestring"/>
    <x v="0"/>
    <x v="0"/>
    <n v="1050"/>
    <n v="105045"/>
    <s v="Turtillegg - reise med pasient / klient/brukere"/>
    <n v="0"/>
    <n v="0"/>
    <n v="0"/>
    <n v="0"/>
  </r>
  <r>
    <x v="0"/>
    <s v="Januar"/>
    <n v="1"/>
    <s v="T1"/>
    <x v="0"/>
    <s v="Kommunal Boenhet"/>
    <n v="254"/>
    <s v="Helse og mestring"/>
    <x v="0"/>
    <x v="0"/>
    <n v="1050"/>
    <n v="105046"/>
    <s v="Forskjøvet arbeidstid"/>
    <n v="0"/>
    <n v="0"/>
    <n v="0"/>
    <n v="0"/>
  </r>
  <r>
    <x v="1"/>
    <s v="Februar"/>
    <n v="2"/>
    <s v="T1"/>
    <x v="0"/>
    <s v="Kommunal Boenhet"/>
    <n v="254"/>
    <s v="Helse og mestring"/>
    <x v="0"/>
    <x v="0"/>
    <n v="1050"/>
    <n v="105046"/>
    <s v="Forskjøvet arbeidstid"/>
    <n v="0"/>
    <n v="6334.29"/>
    <n v="-6334.29"/>
    <n v="6334.29"/>
  </r>
  <r>
    <x v="2"/>
    <s v="Mars"/>
    <n v="3"/>
    <s v="T1"/>
    <x v="0"/>
    <s v="Kommunal Boenhet"/>
    <n v="254"/>
    <s v="Helse og mestring"/>
    <x v="0"/>
    <x v="0"/>
    <n v="1050"/>
    <n v="105046"/>
    <s v="Forskjøvet arbeidstid"/>
    <n v="0"/>
    <n v="3689.04"/>
    <n v="-3689.04"/>
    <n v="3689.04"/>
  </r>
  <r>
    <x v="3"/>
    <s v="April"/>
    <n v="4"/>
    <s v="T1"/>
    <x v="0"/>
    <s v="Kommunal Boenhet"/>
    <n v="254"/>
    <s v="Helse og mestring"/>
    <x v="0"/>
    <x v="0"/>
    <n v="1050"/>
    <n v="105046"/>
    <s v="Forskjøvet arbeidstid"/>
    <n v="0"/>
    <n v="3891.32"/>
    <n v="-3891.32"/>
    <n v="3891.32"/>
  </r>
  <r>
    <x v="4"/>
    <s v="Mai"/>
    <n v="5"/>
    <s v="T2"/>
    <x v="0"/>
    <s v="Kommunal Boenhet"/>
    <n v="254"/>
    <s v="Helse og mestring"/>
    <x v="0"/>
    <x v="0"/>
    <n v="1050"/>
    <n v="105046"/>
    <s v="Forskjøvet arbeidstid"/>
    <n v="0"/>
    <n v="72.26000000000001"/>
    <n v="-72.26000000000001"/>
    <n v="72.26000000000001"/>
  </r>
  <r>
    <x v="5"/>
    <s v="Juni"/>
    <n v="6"/>
    <s v="T2"/>
    <x v="0"/>
    <s v="Kommunal Boenhet"/>
    <n v="254"/>
    <s v="Helse og mestring"/>
    <x v="0"/>
    <x v="0"/>
    <n v="1050"/>
    <n v="105046"/>
    <s v="Forskjøvet arbeidstid"/>
    <n v="0"/>
    <n v="990.72"/>
    <n v="-990.72"/>
    <n v="990.72"/>
  </r>
  <r>
    <x v="6"/>
    <s v="Juli"/>
    <n v="7"/>
    <s v="T2"/>
    <x v="0"/>
    <s v="Kommunal Boenhet"/>
    <n v="254"/>
    <s v="Helse og mestring"/>
    <x v="0"/>
    <x v="0"/>
    <n v="1050"/>
    <n v="105046"/>
    <s v="Forskjøvet arbeidstid"/>
    <n v="0"/>
    <n v="1940.37"/>
    <n v="-1940.37"/>
    <n v="1940.37"/>
  </r>
  <r>
    <x v="7"/>
    <s v="August"/>
    <n v="8"/>
    <s v="T2"/>
    <x v="0"/>
    <s v="Kommunal Boenhet"/>
    <n v="254"/>
    <s v="Helse og mestring"/>
    <x v="0"/>
    <x v="0"/>
    <n v="1050"/>
    <n v="105046"/>
    <s v="Forskjøvet arbeidstid"/>
    <n v="0"/>
    <n v="3424.71"/>
    <n v="-3424.71"/>
    <n v="3424.71"/>
  </r>
  <r>
    <x v="8"/>
    <s v="September"/>
    <n v="9"/>
    <s v="T3"/>
    <x v="1"/>
    <s v="Kommunal Boenhet"/>
    <n v="254"/>
    <s v="Helse og mestring"/>
    <x v="0"/>
    <x v="0"/>
    <n v="1050"/>
    <n v="105046"/>
    <s v="Forskjøvet arbeidstid"/>
    <n v="0"/>
    <n v="0"/>
    <n v="0"/>
    <n v="0"/>
  </r>
  <r>
    <x v="9"/>
    <s v="Oktober"/>
    <n v="10"/>
    <s v="T3"/>
    <x v="1"/>
    <s v="Kommunal Boenhet"/>
    <n v="254"/>
    <s v="Helse og mestring"/>
    <x v="0"/>
    <x v="0"/>
    <n v="1050"/>
    <n v="105046"/>
    <s v="Forskjøvet arbeidstid"/>
    <n v="0"/>
    <n v="0"/>
    <n v="0"/>
    <n v="0"/>
  </r>
  <r>
    <x v="10"/>
    <s v="November"/>
    <n v="11"/>
    <s v="T3"/>
    <x v="1"/>
    <s v="Kommunal Boenhet"/>
    <n v="254"/>
    <s v="Helse og mestring"/>
    <x v="0"/>
    <x v="0"/>
    <n v="1050"/>
    <n v="105046"/>
    <s v="Forskjøvet arbeidstid"/>
    <n v="0"/>
    <n v="0"/>
    <n v="0"/>
    <n v="0"/>
  </r>
  <r>
    <x v="11"/>
    <s v="Desember"/>
    <n v="12"/>
    <s v="T3"/>
    <x v="1"/>
    <s v="Kommunal Boenhet"/>
    <n v="254"/>
    <s v="Helse og mestring"/>
    <x v="0"/>
    <x v="0"/>
    <n v="1050"/>
    <n v="105046"/>
    <s v="Forskjøvet arbeidstid"/>
    <n v="0"/>
    <n v="0"/>
    <n v="0"/>
    <n v="0"/>
  </r>
  <r>
    <x v="0"/>
    <s v="Januar"/>
    <n v="1"/>
    <s v="T1"/>
    <x v="0"/>
    <s v="Kommunal Boenhet"/>
    <n v="254"/>
    <s v="Helse og mestring"/>
    <x v="0"/>
    <x v="0"/>
    <n v="1050"/>
    <n v="105060"/>
    <s v="Skattepl. telefongodtgjørelse"/>
    <n v="333"/>
    <n v="0"/>
    <n v="333"/>
    <n v="-333"/>
  </r>
  <r>
    <x v="1"/>
    <s v="Februar"/>
    <n v="2"/>
    <s v="T1"/>
    <x v="0"/>
    <s v="Kommunal Boenhet"/>
    <n v="254"/>
    <s v="Helse og mestring"/>
    <x v="0"/>
    <x v="0"/>
    <n v="1050"/>
    <n v="105060"/>
    <s v="Skattepl. telefongodtgjørelse"/>
    <n v="333"/>
    <n v="0"/>
    <n v="333"/>
    <n v="-333"/>
  </r>
  <r>
    <x v="2"/>
    <s v="Mars"/>
    <n v="3"/>
    <s v="T1"/>
    <x v="0"/>
    <s v="Kommunal Boenhet"/>
    <n v="254"/>
    <s v="Helse og mestring"/>
    <x v="0"/>
    <x v="0"/>
    <n v="1050"/>
    <n v="105060"/>
    <s v="Skattepl. telefongodtgjørelse"/>
    <n v="333"/>
    <n v="0"/>
    <n v="333"/>
    <n v="-333"/>
  </r>
  <r>
    <x v="3"/>
    <s v="April"/>
    <n v="4"/>
    <s v="T1"/>
    <x v="0"/>
    <s v="Kommunal Boenhet"/>
    <n v="254"/>
    <s v="Helse og mestring"/>
    <x v="0"/>
    <x v="0"/>
    <n v="1050"/>
    <n v="105060"/>
    <s v="Skattepl. telefongodtgjørelse"/>
    <n v="333"/>
    <n v="0"/>
    <n v="333"/>
    <n v="-333"/>
  </r>
  <r>
    <x v="4"/>
    <s v="Mai"/>
    <n v="5"/>
    <s v="T2"/>
    <x v="0"/>
    <s v="Kommunal Boenhet"/>
    <n v="254"/>
    <s v="Helse og mestring"/>
    <x v="0"/>
    <x v="0"/>
    <n v="1050"/>
    <n v="105060"/>
    <s v="Skattepl. telefongodtgjørelse"/>
    <n v="333"/>
    <n v="0"/>
    <n v="333"/>
    <n v="-333"/>
  </r>
  <r>
    <x v="5"/>
    <s v="Juni"/>
    <n v="6"/>
    <s v="T2"/>
    <x v="0"/>
    <s v="Kommunal Boenhet"/>
    <n v="254"/>
    <s v="Helse og mestring"/>
    <x v="0"/>
    <x v="0"/>
    <n v="1050"/>
    <n v="105060"/>
    <s v="Skattepl. telefongodtgjørelse"/>
    <n v="333"/>
    <n v="0"/>
    <n v="333"/>
    <n v="-333"/>
  </r>
  <r>
    <x v="6"/>
    <s v="Juli"/>
    <n v="7"/>
    <s v="T2"/>
    <x v="0"/>
    <s v="Kommunal Boenhet"/>
    <n v="254"/>
    <s v="Helse og mestring"/>
    <x v="0"/>
    <x v="0"/>
    <n v="1050"/>
    <n v="105060"/>
    <s v="Skattepl. telefongodtgjørelse"/>
    <n v="333"/>
    <n v="0"/>
    <n v="333"/>
    <n v="-333"/>
  </r>
  <r>
    <x v="7"/>
    <s v="August"/>
    <n v="8"/>
    <s v="T2"/>
    <x v="0"/>
    <s v="Kommunal Boenhet"/>
    <n v="254"/>
    <s v="Helse og mestring"/>
    <x v="0"/>
    <x v="0"/>
    <n v="1050"/>
    <n v="105060"/>
    <s v="Skattepl. telefongodtgjørelse"/>
    <n v="333"/>
    <n v="0"/>
    <n v="333"/>
    <n v="-333"/>
  </r>
  <r>
    <x v="8"/>
    <s v="September"/>
    <n v="9"/>
    <s v="T3"/>
    <x v="1"/>
    <s v="Kommunal Boenhet"/>
    <n v="254"/>
    <s v="Helse og mestring"/>
    <x v="0"/>
    <x v="0"/>
    <n v="1050"/>
    <n v="105060"/>
    <s v="Skattepl. telefongodtgjørelse"/>
    <n v="333"/>
    <n v="0"/>
    <n v="0"/>
    <n v="-333"/>
  </r>
  <r>
    <x v="9"/>
    <s v="Oktober"/>
    <n v="10"/>
    <s v="T3"/>
    <x v="1"/>
    <s v="Kommunal Boenhet"/>
    <n v="254"/>
    <s v="Helse og mestring"/>
    <x v="0"/>
    <x v="0"/>
    <n v="1050"/>
    <n v="105060"/>
    <s v="Skattepl. telefongodtgjørelse"/>
    <n v="333"/>
    <n v="0"/>
    <n v="0"/>
    <n v="-333"/>
  </r>
  <r>
    <x v="10"/>
    <s v="November"/>
    <n v="11"/>
    <s v="T3"/>
    <x v="1"/>
    <s v="Kommunal Boenhet"/>
    <n v="254"/>
    <s v="Helse og mestring"/>
    <x v="0"/>
    <x v="0"/>
    <n v="1050"/>
    <n v="105060"/>
    <s v="Skattepl. telefongodtgjørelse"/>
    <n v="333"/>
    <n v="0"/>
    <n v="0"/>
    <n v="-333"/>
  </r>
  <r>
    <x v="11"/>
    <s v="Desember"/>
    <n v="12"/>
    <s v="T3"/>
    <x v="1"/>
    <s v="Kommunal Boenhet"/>
    <n v="254"/>
    <s v="Helse og mestring"/>
    <x v="0"/>
    <x v="0"/>
    <n v="1050"/>
    <n v="105060"/>
    <s v="Skattepl. telefongodtgjørelse"/>
    <n v="337"/>
    <n v="0"/>
    <n v="0"/>
    <n v="-337"/>
  </r>
  <r>
    <x v="0"/>
    <s v="Januar"/>
    <n v="1"/>
    <s v="T1"/>
    <x v="0"/>
    <s v="Kommunal Boenhet"/>
    <n v="254"/>
    <s v="Helse og mestring"/>
    <x v="0"/>
    <x v="0"/>
    <n v="1050"/>
    <n v="105064"/>
    <s v="Skattepl. klesgodtgjørelse"/>
    <n v="1416"/>
    <n v="1127.32"/>
    <n v="288.68"/>
    <n v="-288.68"/>
  </r>
  <r>
    <x v="1"/>
    <s v="Februar"/>
    <n v="2"/>
    <s v="T1"/>
    <x v="0"/>
    <s v="Kommunal Boenhet"/>
    <n v="254"/>
    <s v="Helse og mestring"/>
    <x v="0"/>
    <x v="0"/>
    <n v="1050"/>
    <n v="105064"/>
    <s v="Skattepl. klesgodtgjørelse"/>
    <n v="1416"/>
    <n v="1295"/>
    <n v="121"/>
    <n v="-121"/>
  </r>
  <r>
    <x v="2"/>
    <s v="Mars"/>
    <n v="3"/>
    <s v="T1"/>
    <x v="0"/>
    <s v="Kommunal Boenhet"/>
    <n v="254"/>
    <s v="Helse og mestring"/>
    <x v="0"/>
    <x v="0"/>
    <n v="1050"/>
    <n v="105064"/>
    <s v="Skattepl. klesgodtgjørelse"/>
    <n v="1416"/>
    <n v="1180.87"/>
    <n v="235.13"/>
    <n v="-235.13"/>
  </r>
  <r>
    <x v="3"/>
    <s v="April"/>
    <n v="4"/>
    <s v="T1"/>
    <x v="0"/>
    <s v="Kommunal Boenhet"/>
    <n v="254"/>
    <s v="Helse og mestring"/>
    <x v="0"/>
    <x v="0"/>
    <n v="1050"/>
    <n v="105064"/>
    <s v="Skattepl. klesgodtgjørelse"/>
    <n v="1416"/>
    <n v="1070.2"/>
    <n v="345.8"/>
    <n v="-345.8"/>
  </r>
  <r>
    <x v="4"/>
    <s v="Mai"/>
    <n v="5"/>
    <s v="T2"/>
    <x v="0"/>
    <s v="Kommunal Boenhet"/>
    <n v="254"/>
    <s v="Helse og mestring"/>
    <x v="0"/>
    <x v="0"/>
    <n v="1050"/>
    <n v="105064"/>
    <s v="Skattepl. klesgodtgjørelse"/>
    <n v="1416"/>
    <n v="1107.86"/>
    <n v="308.14"/>
    <n v="-308.14"/>
  </r>
  <r>
    <x v="5"/>
    <s v="Juni"/>
    <n v="6"/>
    <s v="T2"/>
    <x v="0"/>
    <s v="Kommunal Boenhet"/>
    <n v="254"/>
    <s v="Helse og mestring"/>
    <x v="0"/>
    <x v="0"/>
    <n v="1050"/>
    <n v="105064"/>
    <s v="Skattepl. klesgodtgjørelse"/>
    <n v="1416"/>
    <n v="1016.81"/>
    <n v="399.19"/>
    <n v="-399.19"/>
  </r>
  <r>
    <x v="6"/>
    <s v="Juli"/>
    <n v="7"/>
    <s v="T2"/>
    <x v="0"/>
    <s v="Kommunal Boenhet"/>
    <n v="254"/>
    <s v="Helse og mestring"/>
    <x v="0"/>
    <x v="0"/>
    <n v="1050"/>
    <n v="105064"/>
    <s v="Skattepl. klesgodtgjørelse"/>
    <n v="1416"/>
    <n v="974.22"/>
    <n v="441.78"/>
    <n v="-441.78"/>
  </r>
  <r>
    <x v="7"/>
    <s v="August"/>
    <n v="8"/>
    <s v="T2"/>
    <x v="0"/>
    <s v="Kommunal Boenhet"/>
    <n v="254"/>
    <s v="Helse og mestring"/>
    <x v="0"/>
    <x v="0"/>
    <n v="1050"/>
    <n v="105064"/>
    <s v="Skattepl. klesgodtgjørelse"/>
    <n v="1416"/>
    <n v="974.22"/>
    <n v="441.78"/>
    <n v="-441.78"/>
  </r>
  <r>
    <x v="8"/>
    <s v="September"/>
    <n v="9"/>
    <s v="T3"/>
    <x v="1"/>
    <s v="Kommunal Boenhet"/>
    <n v="254"/>
    <s v="Helse og mestring"/>
    <x v="0"/>
    <x v="0"/>
    <n v="1050"/>
    <n v="105064"/>
    <s v="Skattepl. klesgodtgjørelse"/>
    <n v="1416"/>
    <n v="0"/>
    <n v="0"/>
    <n v="-1416"/>
  </r>
  <r>
    <x v="9"/>
    <s v="Oktober"/>
    <n v="10"/>
    <s v="T3"/>
    <x v="1"/>
    <s v="Kommunal Boenhet"/>
    <n v="254"/>
    <s v="Helse og mestring"/>
    <x v="0"/>
    <x v="0"/>
    <n v="1050"/>
    <n v="105064"/>
    <s v="Skattepl. klesgodtgjørelse"/>
    <n v="1416"/>
    <n v="0"/>
    <n v="0"/>
    <n v="-1416"/>
  </r>
  <r>
    <x v="10"/>
    <s v="November"/>
    <n v="11"/>
    <s v="T3"/>
    <x v="1"/>
    <s v="Kommunal Boenhet"/>
    <n v="254"/>
    <s v="Helse og mestring"/>
    <x v="0"/>
    <x v="0"/>
    <n v="1050"/>
    <n v="105064"/>
    <s v="Skattepl. klesgodtgjørelse"/>
    <n v="1416"/>
    <n v="0"/>
    <n v="0"/>
    <n v="-1416"/>
  </r>
  <r>
    <x v="11"/>
    <s v="Desember"/>
    <n v="12"/>
    <s v="T3"/>
    <x v="1"/>
    <s v="Kommunal Boenhet"/>
    <n v="254"/>
    <s v="Helse og mestring"/>
    <x v="0"/>
    <x v="0"/>
    <n v="1050"/>
    <n v="105064"/>
    <s v="Skattepl. klesgodtgjørelse"/>
    <n v="1424"/>
    <n v="0"/>
    <n v="0"/>
    <n v="-1424"/>
  </r>
  <r>
    <x v="0"/>
    <s v="Januar"/>
    <n v="1"/>
    <s v="T1"/>
    <x v="0"/>
    <s v="Kommunal Boenhet"/>
    <n v="254"/>
    <s v="Helse og mestring"/>
    <x v="0"/>
    <x v="0"/>
    <n v="1050"/>
    <n v="105065"/>
    <s v="Skattepl. km-godtgjørelse"/>
    <n v="0"/>
    <n v="0"/>
    <n v="0"/>
    <n v="0"/>
  </r>
  <r>
    <x v="1"/>
    <s v="Februar"/>
    <n v="2"/>
    <s v="T1"/>
    <x v="0"/>
    <s v="Kommunal Boenhet"/>
    <n v="254"/>
    <s v="Helse og mestring"/>
    <x v="0"/>
    <x v="0"/>
    <n v="1050"/>
    <n v="105065"/>
    <s v="Skattepl. km-godtgjørelse"/>
    <n v="0"/>
    <n v="0"/>
    <n v="0"/>
    <n v="0"/>
  </r>
  <r>
    <x v="2"/>
    <s v="Mars"/>
    <n v="3"/>
    <s v="T1"/>
    <x v="0"/>
    <s v="Kommunal Boenhet"/>
    <n v="254"/>
    <s v="Helse og mestring"/>
    <x v="0"/>
    <x v="0"/>
    <n v="1050"/>
    <n v="105065"/>
    <s v="Skattepl. km-godtgjørelse"/>
    <n v="0"/>
    <n v="0"/>
    <n v="0"/>
    <n v="0"/>
  </r>
  <r>
    <x v="3"/>
    <s v="April"/>
    <n v="4"/>
    <s v="T1"/>
    <x v="0"/>
    <s v="Kommunal Boenhet"/>
    <n v="254"/>
    <s v="Helse og mestring"/>
    <x v="0"/>
    <x v="0"/>
    <n v="1050"/>
    <n v="105065"/>
    <s v="Skattepl. km-godtgjørelse"/>
    <n v="0"/>
    <n v="0"/>
    <n v="0"/>
    <n v="0"/>
  </r>
  <r>
    <x v="4"/>
    <s v="Mai"/>
    <n v="5"/>
    <s v="T2"/>
    <x v="0"/>
    <s v="Kommunal Boenhet"/>
    <n v="254"/>
    <s v="Helse og mestring"/>
    <x v="0"/>
    <x v="0"/>
    <n v="1050"/>
    <n v="105065"/>
    <s v="Skattepl. km-godtgjørelse"/>
    <n v="0"/>
    <n v="0"/>
    <n v="0"/>
    <n v="0"/>
  </r>
  <r>
    <x v="5"/>
    <s v="Juni"/>
    <n v="6"/>
    <s v="T2"/>
    <x v="0"/>
    <s v="Kommunal Boenhet"/>
    <n v="254"/>
    <s v="Helse og mestring"/>
    <x v="0"/>
    <x v="0"/>
    <n v="1050"/>
    <n v="105065"/>
    <s v="Skattepl. km-godtgjørelse"/>
    <n v="0"/>
    <n v="81.14"/>
    <n v="-81.14"/>
    <n v="81.14"/>
  </r>
  <r>
    <x v="6"/>
    <s v="Juli"/>
    <n v="7"/>
    <s v="T2"/>
    <x v="0"/>
    <s v="Kommunal Boenhet"/>
    <n v="254"/>
    <s v="Helse og mestring"/>
    <x v="0"/>
    <x v="0"/>
    <n v="1050"/>
    <n v="105065"/>
    <s v="Skattepl. km-godtgjørelse"/>
    <n v="0"/>
    <n v="411.89"/>
    <n v="-411.89"/>
    <n v="411.89"/>
  </r>
  <r>
    <x v="7"/>
    <s v="August"/>
    <n v="8"/>
    <s v="T2"/>
    <x v="0"/>
    <s v="Kommunal Boenhet"/>
    <n v="254"/>
    <s v="Helse og mestring"/>
    <x v="0"/>
    <x v="0"/>
    <n v="1050"/>
    <n v="105065"/>
    <s v="Skattepl. km-godtgjørelse"/>
    <n v="0"/>
    <n v="0"/>
    <n v="0"/>
    <n v="0"/>
  </r>
  <r>
    <x v="8"/>
    <s v="September"/>
    <n v="9"/>
    <s v="T3"/>
    <x v="1"/>
    <s v="Kommunal Boenhet"/>
    <n v="254"/>
    <s v="Helse og mestring"/>
    <x v="0"/>
    <x v="0"/>
    <n v="1050"/>
    <n v="105065"/>
    <s v="Skattepl. km-godtgjørelse"/>
    <n v="0"/>
    <n v="0"/>
    <n v="0"/>
    <n v="0"/>
  </r>
  <r>
    <x v="9"/>
    <s v="Oktober"/>
    <n v="10"/>
    <s v="T3"/>
    <x v="1"/>
    <s v="Kommunal Boenhet"/>
    <n v="254"/>
    <s v="Helse og mestring"/>
    <x v="0"/>
    <x v="0"/>
    <n v="1050"/>
    <n v="105065"/>
    <s v="Skattepl. km-godtgjørelse"/>
    <n v="0"/>
    <n v="0"/>
    <n v="0"/>
    <n v="0"/>
  </r>
  <r>
    <x v="10"/>
    <s v="November"/>
    <n v="11"/>
    <s v="T3"/>
    <x v="1"/>
    <s v="Kommunal Boenhet"/>
    <n v="254"/>
    <s v="Helse og mestring"/>
    <x v="0"/>
    <x v="0"/>
    <n v="1050"/>
    <n v="105065"/>
    <s v="Skattepl. km-godtgjørelse"/>
    <n v="0"/>
    <n v="0"/>
    <n v="0"/>
    <n v="0"/>
  </r>
  <r>
    <x v="11"/>
    <s v="Desember"/>
    <n v="12"/>
    <s v="T3"/>
    <x v="1"/>
    <s v="Kommunal Boenhet"/>
    <n v="254"/>
    <s v="Helse og mestring"/>
    <x v="0"/>
    <x v="0"/>
    <n v="1050"/>
    <n v="105065"/>
    <s v="Skattepl. km-godtgjørelse"/>
    <n v="0"/>
    <n v="0"/>
    <n v="0"/>
    <n v="0"/>
  </r>
  <r>
    <x v="0"/>
    <s v="Januar"/>
    <n v="1"/>
    <s v="T1"/>
    <x v="0"/>
    <s v="Kommunal Boenhet"/>
    <n v="254"/>
    <s v="Helse og mestring"/>
    <x v="0"/>
    <x v="0"/>
    <n v="1090"/>
    <n v="109000"/>
    <s v="Pensjon fellesordningen - ordinære (klp)"/>
    <n v="171251"/>
    <n v="111774.79"/>
    <n v="59476.21"/>
    <n v="-59476.21"/>
  </r>
  <r>
    <x v="1"/>
    <s v="Februar"/>
    <n v="2"/>
    <s v="T1"/>
    <x v="0"/>
    <s v="Kommunal Boenhet"/>
    <n v="254"/>
    <s v="Helse og mestring"/>
    <x v="0"/>
    <x v="0"/>
    <n v="1090"/>
    <n v="109000"/>
    <s v="Pensjon fellesordningen - ordinære (klp)"/>
    <n v="171250"/>
    <n v="201470.68"/>
    <n v="-30220.68"/>
    <n v="30220.68"/>
  </r>
  <r>
    <x v="2"/>
    <s v="Mars"/>
    <n v="3"/>
    <s v="T1"/>
    <x v="0"/>
    <s v="Kommunal Boenhet"/>
    <n v="254"/>
    <s v="Helse og mestring"/>
    <x v="0"/>
    <x v="0"/>
    <n v="1090"/>
    <n v="109000"/>
    <s v="Pensjon fellesordningen - ordinære (klp)"/>
    <n v="171248"/>
    <n v="168932.97"/>
    <n v="2315.03"/>
    <n v="-2315.03"/>
  </r>
  <r>
    <x v="3"/>
    <s v="April"/>
    <n v="4"/>
    <s v="T1"/>
    <x v="0"/>
    <s v="Kommunal Boenhet"/>
    <n v="254"/>
    <s v="Helse og mestring"/>
    <x v="0"/>
    <x v="0"/>
    <n v="1090"/>
    <n v="109000"/>
    <s v="Pensjon fellesordningen - ordinære (klp)"/>
    <n v="1055848"/>
    <n v="1034142.89"/>
    <n v="21705.11"/>
    <n v="-21705.11"/>
  </r>
  <r>
    <x v="4"/>
    <s v="Mai"/>
    <n v="5"/>
    <s v="T2"/>
    <x v="0"/>
    <s v="Kommunal Boenhet"/>
    <n v="254"/>
    <s v="Helse og mestring"/>
    <x v="0"/>
    <x v="0"/>
    <n v="1090"/>
    <n v="109000"/>
    <s v="Pensjon fellesordningen - ordinære (klp)"/>
    <n v="177108"/>
    <n v="165027.58"/>
    <n v="12080.42"/>
    <n v="-12080.42"/>
  </r>
  <r>
    <x v="5"/>
    <s v="Juni"/>
    <n v="6"/>
    <s v="T2"/>
    <x v="0"/>
    <s v="Kommunal Boenhet"/>
    <n v="254"/>
    <s v="Helse og mestring"/>
    <x v="0"/>
    <x v="0"/>
    <n v="1090"/>
    <n v="109000"/>
    <s v="Pensjon fellesordningen - ordinære (klp)"/>
    <n v="115925"/>
    <n v="174781.14"/>
    <n v="-58856.14"/>
    <n v="58856.14"/>
  </r>
  <r>
    <x v="6"/>
    <s v="Juli"/>
    <n v="7"/>
    <s v="T2"/>
    <x v="0"/>
    <s v="Kommunal Boenhet"/>
    <n v="254"/>
    <s v="Helse og mestring"/>
    <x v="0"/>
    <x v="0"/>
    <n v="1090"/>
    <n v="109000"/>
    <s v="Pensjon fellesordningen - ordinære (klp)"/>
    <n v="176359"/>
    <n v="174748.32"/>
    <n v="1610.68"/>
    <n v="-1610.68"/>
  </r>
  <r>
    <x v="7"/>
    <s v="August"/>
    <n v="8"/>
    <s v="T2"/>
    <x v="0"/>
    <s v="Kommunal Boenhet"/>
    <n v="254"/>
    <s v="Helse og mestring"/>
    <x v="0"/>
    <x v="0"/>
    <n v="1090"/>
    <n v="109000"/>
    <s v="Pensjon fellesordningen - ordinære (klp)"/>
    <n v="177110"/>
    <n v="180009.25"/>
    <n v="-2899.25"/>
    <n v="2899.25"/>
  </r>
  <r>
    <x v="8"/>
    <s v="September"/>
    <n v="9"/>
    <s v="T3"/>
    <x v="1"/>
    <s v="Kommunal Boenhet"/>
    <n v="254"/>
    <s v="Helse og mestring"/>
    <x v="0"/>
    <x v="0"/>
    <n v="1090"/>
    <n v="109000"/>
    <s v="Pensjon fellesordningen - ordinære (klp)"/>
    <n v="177108"/>
    <n v="0"/>
    <n v="0"/>
    <n v="-177108"/>
  </r>
  <r>
    <x v="9"/>
    <s v="Oktober"/>
    <n v="10"/>
    <s v="T3"/>
    <x v="1"/>
    <s v="Kommunal Boenhet"/>
    <n v="254"/>
    <s v="Helse og mestring"/>
    <x v="0"/>
    <x v="0"/>
    <n v="1090"/>
    <n v="109000"/>
    <s v="Pensjon fellesordningen - ordinære (klp)"/>
    <n v="177107"/>
    <n v="0"/>
    <n v="0"/>
    <n v="-177107"/>
  </r>
  <r>
    <x v="10"/>
    <s v="November"/>
    <n v="11"/>
    <s v="T3"/>
    <x v="1"/>
    <s v="Kommunal Boenhet"/>
    <n v="254"/>
    <s v="Helse og mestring"/>
    <x v="0"/>
    <x v="0"/>
    <n v="1090"/>
    <n v="109000"/>
    <s v="Pensjon fellesordningen - ordinære (klp)"/>
    <n v="177103"/>
    <n v="0"/>
    <n v="0"/>
    <n v="-177103"/>
  </r>
  <r>
    <x v="11"/>
    <s v="Desember"/>
    <n v="12"/>
    <s v="T3"/>
    <x v="1"/>
    <s v="Kommunal Boenhet"/>
    <n v="254"/>
    <s v="Helse og mestring"/>
    <x v="0"/>
    <x v="0"/>
    <n v="1090"/>
    <n v="109000"/>
    <s v="Pensjon fellesordningen - ordinære (klp)"/>
    <n v="297706"/>
    <n v="0"/>
    <n v="0"/>
    <n v="-297706"/>
  </r>
  <r>
    <x v="0"/>
    <s v="Januar"/>
    <n v="1"/>
    <s v="T1"/>
    <x v="0"/>
    <s v="Kommunal Boenhet"/>
    <n v="254"/>
    <s v="Helse og mestring"/>
    <x v="0"/>
    <x v="0"/>
    <n v="1099"/>
    <n v="109999"/>
    <s v="Arbeidsgiveravgift"/>
    <n v="184285"/>
    <n v="123019.51"/>
    <n v="61265.49"/>
    <n v="-61265.49"/>
  </r>
  <r>
    <x v="1"/>
    <s v="Februar"/>
    <n v="2"/>
    <s v="T1"/>
    <x v="0"/>
    <s v="Kommunal Boenhet"/>
    <n v="254"/>
    <s v="Helse og mestring"/>
    <x v="0"/>
    <x v="0"/>
    <n v="1099"/>
    <n v="109999"/>
    <s v="Arbeidsgiveravgift"/>
    <n v="184284"/>
    <n v="263333.66"/>
    <n v="-79049.66"/>
    <n v="79049.66"/>
  </r>
  <r>
    <x v="2"/>
    <s v="Mars"/>
    <n v="3"/>
    <s v="T1"/>
    <x v="0"/>
    <s v="Kommunal Boenhet"/>
    <n v="254"/>
    <s v="Helse og mestring"/>
    <x v="0"/>
    <x v="0"/>
    <n v="1099"/>
    <n v="109999"/>
    <s v="Arbeidsgiveravgift"/>
    <n v="184283"/>
    <n v="199701.82"/>
    <n v="-15418.82"/>
    <n v="15418.82"/>
  </r>
  <r>
    <x v="3"/>
    <s v="April"/>
    <n v="4"/>
    <s v="T1"/>
    <x v="0"/>
    <s v="Kommunal Boenhet"/>
    <n v="254"/>
    <s v="Helse og mestring"/>
    <x v="0"/>
    <x v="0"/>
    <n v="1099"/>
    <n v="109999"/>
    <s v="Arbeidsgiveravgift"/>
    <n v="308983"/>
    <n v="286457.1"/>
    <n v="22525.9"/>
    <n v="-22525.9"/>
  </r>
  <r>
    <x v="4"/>
    <s v="Mai"/>
    <n v="5"/>
    <s v="T2"/>
    <x v="0"/>
    <s v="Kommunal Boenhet"/>
    <n v="254"/>
    <s v="Helse og mestring"/>
    <x v="0"/>
    <x v="0"/>
    <n v="1099"/>
    <n v="109999"/>
    <s v="Arbeidsgiveravgift"/>
    <n v="190108"/>
    <n v="190833.22"/>
    <n v="-725.22"/>
    <n v="725.22"/>
  </r>
  <r>
    <x v="5"/>
    <s v="Juni"/>
    <n v="6"/>
    <s v="T2"/>
    <x v="0"/>
    <s v="Kommunal Boenhet"/>
    <n v="254"/>
    <s v="Helse og mestring"/>
    <x v="0"/>
    <x v="0"/>
    <n v="1099"/>
    <n v="109999"/>
    <s v="Arbeidsgiveravgift"/>
    <n v="-5583"/>
    <n v="70719.10000000001"/>
    <n v="-76302.10000000001"/>
    <n v="76302.10000000001"/>
  </r>
  <r>
    <x v="6"/>
    <s v="Juli"/>
    <n v="7"/>
    <s v="T2"/>
    <x v="0"/>
    <s v="Kommunal Boenhet"/>
    <n v="254"/>
    <s v="Helse og mestring"/>
    <x v="0"/>
    <x v="0"/>
    <n v="1099"/>
    <n v="109999"/>
    <s v="Arbeidsgiveravgift"/>
    <n v="189347"/>
    <n v="210674.84"/>
    <n v="-21327.84"/>
    <n v="21327.84"/>
  </r>
  <r>
    <x v="7"/>
    <s v="August"/>
    <n v="8"/>
    <s v="T2"/>
    <x v="0"/>
    <s v="Kommunal Boenhet"/>
    <n v="254"/>
    <s v="Helse og mestring"/>
    <x v="0"/>
    <x v="0"/>
    <n v="1099"/>
    <n v="109999"/>
    <s v="Arbeidsgiveravgift"/>
    <n v="190110"/>
    <n v="182691.88"/>
    <n v="7418.12"/>
    <n v="-7418.12"/>
  </r>
  <r>
    <x v="8"/>
    <s v="September"/>
    <n v="9"/>
    <s v="T3"/>
    <x v="1"/>
    <s v="Kommunal Boenhet"/>
    <n v="254"/>
    <s v="Helse og mestring"/>
    <x v="0"/>
    <x v="0"/>
    <n v="1099"/>
    <n v="109999"/>
    <s v="Arbeidsgiveravgift"/>
    <n v="190113"/>
    <n v="0"/>
    <n v="0"/>
    <n v="-190113"/>
  </r>
  <r>
    <x v="9"/>
    <s v="Oktober"/>
    <n v="10"/>
    <s v="T3"/>
    <x v="1"/>
    <s v="Kommunal Boenhet"/>
    <n v="254"/>
    <s v="Helse og mestring"/>
    <x v="0"/>
    <x v="0"/>
    <n v="1099"/>
    <n v="109999"/>
    <s v="Arbeidsgiveravgift"/>
    <n v="190115"/>
    <n v="0"/>
    <n v="0"/>
    <n v="-190115"/>
  </r>
  <r>
    <x v="10"/>
    <s v="November"/>
    <n v="11"/>
    <s v="T3"/>
    <x v="1"/>
    <s v="Kommunal Boenhet"/>
    <n v="254"/>
    <s v="Helse og mestring"/>
    <x v="0"/>
    <x v="0"/>
    <n v="1099"/>
    <n v="109999"/>
    <s v="Arbeidsgiveravgift"/>
    <n v="190111"/>
    <n v="0"/>
    <n v="0"/>
    <n v="-190111"/>
  </r>
  <r>
    <x v="11"/>
    <s v="Desember"/>
    <n v="12"/>
    <s v="T3"/>
    <x v="1"/>
    <s v="Kommunal Boenhet"/>
    <n v="254"/>
    <s v="Helse og mestring"/>
    <x v="0"/>
    <x v="0"/>
    <n v="1099"/>
    <n v="109999"/>
    <s v="Arbeidsgiveravgift"/>
    <n v="207011"/>
    <n v="0"/>
    <n v="0"/>
    <n v="-207011"/>
  </r>
  <r>
    <x v="0"/>
    <s v="Januar"/>
    <n v="1"/>
    <s v="T1"/>
    <x v="0"/>
    <s v="Kommunal Boenhet"/>
    <n v="254"/>
    <s v="Helse og mestring"/>
    <x v="0"/>
    <x v="1"/>
    <n v="1710"/>
    <n v="171000"/>
    <s v="Refusjon sykepenger"/>
    <n v="-45399"/>
    <n v="-5370"/>
    <n v="-40029"/>
    <n v="40029"/>
  </r>
  <r>
    <x v="1"/>
    <s v="Februar"/>
    <n v="2"/>
    <s v="T1"/>
    <x v="0"/>
    <s v="Kommunal Boenhet"/>
    <n v="254"/>
    <s v="Helse og mestring"/>
    <x v="0"/>
    <x v="1"/>
    <n v="1710"/>
    <n v="171000"/>
    <s v="Refusjon sykepenger"/>
    <n v="-45399"/>
    <n v="-80559"/>
    <n v="35160"/>
    <n v="-35160"/>
  </r>
  <r>
    <x v="2"/>
    <s v="Mars"/>
    <n v="3"/>
    <s v="T1"/>
    <x v="0"/>
    <s v="Kommunal Boenhet"/>
    <n v="254"/>
    <s v="Helse og mestring"/>
    <x v="0"/>
    <x v="1"/>
    <n v="1710"/>
    <n v="171000"/>
    <s v="Refusjon sykepenger"/>
    <n v="-45399"/>
    <n v="-45142"/>
    <n v="-257"/>
    <n v="257"/>
  </r>
  <r>
    <x v="3"/>
    <s v="April"/>
    <n v="4"/>
    <s v="T1"/>
    <x v="0"/>
    <s v="Kommunal Boenhet"/>
    <n v="254"/>
    <s v="Helse og mestring"/>
    <x v="0"/>
    <x v="1"/>
    <n v="1710"/>
    <n v="171000"/>
    <s v="Refusjon sykepenger"/>
    <n v="-45399"/>
    <n v="-73049"/>
    <n v="27650"/>
    <n v="-27650"/>
  </r>
  <r>
    <x v="4"/>
    <s v="Mai"/>
    <n v="5"/>
    <s v="T2"/>
    <x v="0"/>
    <s v="Kommunal Boenhet"/>
    <n v="254"/>
    <s v="Helse og mestring"/>
    <x v="0"/>
    <x v="1"/>
    <n v="1710"/>
    <n v="171000"/>
    <s v="Refusjon sykepenger"/>
    <n v="-45399"/>
    <n v="-1975"/>
    <n v="-43424"/>
    <n v="43424"/>
  </r>
  <r>
    <x v="5"/>
    <s v="Juni"/>
    <n v="6"/>
    <s v="T2"/>
    <x v="0"/>
    <s v="Kommunal Boenhet"/>
    <n v="254"/>
    <s v="Helse og mestring"/>
    <x v="0"/>
    <x v="1"/>
    <n v="1710"/>
    <n v="171000"/>
    <s v="Refusjon sykepenger"/>
    <n v="-45399"/>
    <n v="-62611"/>
    <n v="17212"/>
    <n v="-17212"/>
  </r>
  <r>
    <x v="6"/>
    <s v="Juli"/>
    <n v="7"/>
    <s v="T2"/>
    <x v="0"/>
    <s v="Kommunal Boenhet"/>
    <n v="254"/>
    <s v="Helse og mestring"/>
    <x v="0"/>
    <x v="1"/>
    <n v="1710"/>
    <n v="171000"/>
    <s v="Refusjon sykepenger"/>
    <n v="-45399"/>
    <n v="-66066"/>
    <n v="20667"/>
    <n v="-20667"/>
  </r>
  <r>
    <x v="7"/>
    <s v="August"/>
    <n v="8"/>
    <s v="T2"/>
    <x v="0"/>
    <s v="Kommunal Boenhet"/>
    <n v="254"/>
    <s v="Helse og mestring"/>
    <x v="0"/>
    <x v="1"/>
    <n v="1710"/>
    <n v="171000"/>
    <s v="Refusjon sykepenger"/>
    <n v="-45399"/>
    <n v="-36621"/>
    <n v="-8778"/>
    <n v="8778"/>
  </r>
  <r>
    <x v="8"/>
    <s v="September"/>
    <n v="9"/>
    <s v="T3"/>
    <x v="1"/>
    <s v="Kommunal Boenhet"/>
    <n v="254"/>
    <s v="Helse og mestring"/>
    <x v="0"/>
    <x v="1"/>
    <n v="1710"/>
    <n v="171000"/>
    <s v="Refusjon sykepenger"/>
    <n v="-45399"/>
    <n v="0"/>
    <n v="0"/>
    <n v="45399"/>
  </r>
  <r>
    <x v="9"/>
    <s v="Oktober"/>
    <n v="10"/>
    <s v="T3"/>
    <x v="1"/>
    <s v="Kommunal Boenhet"/>
    <n v="254"/>
    <s v="Helse og mestring"/>
    <x v="0"/>
    <x v="1"/>
    <n v="1710"/>
    <n v="171000"/>
    <s v="Refusjon sykepenger"/>
    <n v="-45399"/>
    <n v="0"/>
    <n v="0"/>
    <n v="45399"/>
  </r>
  <r>
    <x v="10"/>
    <s v="November"/>
    <n v="11"/>
    <s v="T3"/>
    <x v="1"/>
    <s v="Kommunal Boenhet"/>
    <n v="254"/>
    <s v="Helse og mestring"/>
    <x v="0"/>
    <x v="1"/>
    <n v="1710"/>
    <n v="171000"/>
    <s v="Refusjon sykepenger"/>
    <n v="-45399"/>
    <n v="0"/>
    <n v="0"/>
    <n v="45399"/>
  </r>
  <r>
    <x v="11"/>
    <s v="Desember"/>
    <n v="12"/>
    <s v="T3"/>
    <x v="1"/>
    <s v="Kommunal Boenhet"/>
    <n v="254"/>
    <s v="Helse og mestring"/>
    <x v="0"/>
    <x v="1"/>
    <n v="1710"/>
    <n v="171000"/>
    <s v="Refusjon sykepenger"/>
    <n v="-45611"/>
    <n v="0"/>
    <n v="0"/>
    <n v="45611"/>
  </r>
  <r>
    <x v="0"/>
    <s v="Januar"/>
    <n v="1"/>
    <s v="T1"/>
    <x v="0"/>
    <s v="Kommunal Boenhet"/>
    <n v="254"/>
    <s v="Helse og mestring"/>
    <x v="0"/>
    <x v="1"/>
    <n v="1710"/>
    <n v="171005"/>
    <s v="Refusjon foreldrepenger"/>
    <n v="-44149"/>
    <n v="0"/>
    <n v="-44149"/>
    <n v="44149"/>
  </r>
  <r>
    <x v="1"/>
    <s v="Februar"/>
    <n v="2"/>
    <s v="T1"/>
    <x v="0"/>
    <s v="Kommunal Boenhet"/>
    <n v="254"/>
    <s v="Helse og mestring"/>
    <x v="0"/>
    <x v="1"/>
    <n v="1710"/>
    <n v="171005"/>
    <s v="Refusjon foreldrepenger"/>
    <n v="-44149"/>
    <n v="-3928"/>
    <n v="-40221"/>
    <n v="40221"/>
  </r>
  <r>
    <x v="2"/>
    <s v="Mars"/>
    <n v="3"/>
    <s v="T1"/>
    <x v="0"/>
    <s v="Kommunal Boenhet"/>
    <n v="254"/>
    <s v="Helse og mestring"/>
    <x v="0"/>
    <x v="1"/>
    <n v="1710"/>
    <n v="171005"/>
    <s v="Refusjon foreldrepenger"/>
    <n v="-44149"/>
    <n v="-72352"/>
    <n v="28203"/>
    <n v="-28203"/>
  </r>
  <r>
    <x v="3"/>
    <s v="April"/>
    <n v="4"/>
    <s v="T1"/>
    <x v="0"/>
    <s v="Kommunal Boenhet"/>
    <n v="254"/>
    <s v="Helse og mestring"/>
    <x v="0"/>
    <x v="1"/>
    <n v="1710"/>
    <n v="171005"/>
    <s v="Refusjon foreldrepenger"/>
    <n v="-44149"/>
    <n v="-34750"/>
    <n v="-9399"/>
    <n v="9399"/>
  </r>
  <r>
    <x v="4"/>
    <s v="Mai"/>
    <n v="5"/>
    <s v="T2"/>
    <x v="0"/>
    <s v="Kommunal Boenhet"/>
    <n v="254"/>
    <s v="Helse og mestring"/>
    <x v="0"/>
    <x v="1"/>
    <n v="1710"/>
    <n v="171005"/>
    <s v="Refusjon foreldrepenger"/>
    <n v="-44149"/>
    <n v="-91375"/>
    <n v="47226"/>
    <n v="-47226"/>
  </r>
  <r>
    <x v="5"/>
    <s v="Juni"/>
    <n v="6"/>
    <s v="T2"/>
    <x v="0"/>
    <s v="Kommunal Boenhet"/>
    <n v="254"/>
    <s v="Helse og mestring"/>
    <x v="0"/>
    <x v="1"/>
    <n v="1710"/>
    <n v="171005"/>
    <s v="Refusjon foreldrepenger"/>
    <n v="-44150"/>
    <n v="-49830"/>
    <n v="5680"/>
    <n v="-5680"/>
  </r>
  <r>
    <x v="6"/>
    <s v="Juli"/>
    <n v="7"/>
    <s v="T2"/>
    <x v="0"/>
    <s v="Kommunal Boenhet"/>
    <n v="254"/>
    <s v="Helse og mestring"/>
    <x v="0"/>
    <x v="1"/>
    <n v="1710"/>
    <n v="171005"/>
    <s v="Refusjon foreldrepenger"/>
    <n v="-44149"/>
    <n v="-49529"/>
    <n v="5380"/>
    <n v="-5380"/>
  </r>
  <r>
    <x v="7"/>
    <s v="August"/>
    <n v="8"/>
    <s v="T2"/>
    <x v="0"/>
    <s v="Kommunal Boenhet"/>
    <n v="254"/>
    <s v="Helse og mestring"/>
    <x v="0"/>
    <x v="1"/>
    <n v="1710"/>
    <n v="171005"/>
    <s v="Refusjon foreldrepenger"/>
    <n v="-44149"/>
    <n v="-59548"/>
    <n v="15399"/>
    <n v="-15399"/>
  </r>
  <r>
    <x v="8"/>
    <s v="September"/>
    <n v="9"/>
    <s v="T3"/>
    <x v="1"/>
    <s v="Kommunal Boenhet"/>
    <n v="254"/>
    <s v="Helse og mestring"/>
    <x v="0"/>
    <x v="1"/>
    <n v="1710"/>
    <n v="171005"/>
    <s v="Refusjon foreldrepenger"/>
    <n v="-44149"/>
    <n v="0"/>
    <n v="0"/>
    <n v="44149"/>
  </r>
  <r>
    <x v="9"/>
    <s v="Oktober"/>
    <n v="10"/>
    <s v="T3"/>
    <x v="1"/>
    <s v="Kommunal Boenhet"/>
    <n v="254"/>
    <s v="Helse og mestring"/>
    <x v="0"/>
    <x v="1"/>
    <n v="1710"/>
    <n v="171005"/>
    <s v="Refusjon foreldrepenger"/>
    <n v="-44149"/>
    <n v="0"/>
    <n v="0"/>
    <n v="44149"/>
  </r>
  <r>
    <x v="10"/>
    <s v="November"/>
    <n v="11"/>
    <s v="T3"/>
    <x v="1"/>
    <s v="Kommunal Boenhet"/>
    <n v="254"/>
    <s v="Helse og mestring"/>
    <x v="0"/>
    <x v="1"/>
    <n v="1710"/>
    <n v="171005"/>
    <s v="Refusjon foreldrepenger"/>
    <n v="-44149"/>
    <n v="0"/>
    <n v="0"/>
    <n v="44149"/>
  </r>
  <r>
    <x v="11"/>
    <s v="Desember"/>
    <n v="12"/>
    <s v="T3"/>
    <x v="1"/>
    <s v="Kommunal Boenhet"/>
    <n v="254"/>
    <s v="Helse og mestring"/>
    <x v="0"/>
    <x v="1"/>
    <n v="1710"/>
    <n v="171005"/>
    <s v="Refusjon foreldrepenger"/>
    <n v="-44360"/>
    <n v="0"/>
    <n v="0"/>
    <n v="44360"/>
  </r>
  <r>
    <x v="0"/>
    <s v="Januar"/>
    <n v="1"/>
    <s v="T1"/>
    <x v="0"/>
    <s v="Kommunal Boenhet"/>
    <n v="254"/>
    <s v="Helse og mestring"/>
    <x v="1"/>
    <x v="1"/>
    <n v="1100"/>
    <n v="110000"/>
    <s v="Kontormateriell / rekvisita"/>
    <n v="1000"/>
    <n v="412.8"/>
    <n v="587.2"/>
    <n v="-587.2"/>
  </r>
  <r>
    <x v="1"/>
    <s v="Februar"/>
    <n v="2"/>
    <s v="T1"/>
    <x v="0"/>
    <s v="Kommunal Boenhet"/>
    <n v="254"/>
    <s v="Helse og mestring"/>
    <x v="1"/>
    <x v="1"/>
    <n v="1100"/>
    <n v="110000"/>
    <s v="Kontormateriell / rekvisita"/>
    <n v="1000"/>
    <n v="609.3099999999999"/>
    <n v="390.69"/>
    <n v="-390.69"/>
  </r>
  <r>
    <x v="2"/>
    <s v="Mars"/>
    <n v="3"/>
    <s v="T1"/>
    <x v="0"/>
    <s v="Kommunal Boenhet"/>
    <n v="254"/>
    <s v="Helse og mestring"/>
    <x v="1"/>
    <x v="1"/>
    <n v="1100"/>
    <n v="110000"/>
    <s v="Kontormateriell / rekvisita"/>
    <n v="1000"/>
    <n v="1262.18"/>
    <n v="-262.18"/>
    <n v="262.18"/>
  </r>
  <r>
    <x v="3"/>
    <s v="April"/>
    <n v="4"/>
    <s v="T1"/>
    <x v="0"/>
    <s v="Kommunal Boenhet"/>
    <n v="254"/>
    <s v="Helse og mestring"/>
    <x v="1"/>
    <x v="1"/>
    <n v="1100"/>
    <n v="110000"/>
    <s v="Kontormateriell / rekvisita"/>
    <n v="1000"/>
    <n v="564.9"/>
    <n v="435.1"/>
    <n v="-435.1"/>
  </r>
  <r>
    <x v="4"/>
    <s v="Mai"/>
    <n v="5"/>
    <s v="T2"/>
    <x v="0"/>
    <s v="Kommunal Boenhet"/>
    <n v="254"/>
    <s v="Helse og mestring"/>
    <x v="1"/>
    <x v="1"/>
    <n v="1100"/>
    <n v="110000"/>
    <s v="Kontormateriell / rekvisita"/>
    <n v="1000"/>
    <n v="0"/>
    <n v="1000"/>
    <n v="-1000"/>
  </r>
  <r>
    <x v="5"/>
    <s v="Juni"/>
    <n v="6"/>
    <s v="T2"/>
    <x v="0"/>
    <s v="Kommunal Boenhet"/>
    <n v="254"/>
    <s v="Helse og mestring"/>
    <x v="1"/>
    <x v="1"/>
    <n v="1100"/>
    <n v="110000"/>
    <s v="Kontormateriell / rekvisita"/>
    <n v="1000"/>
    <n v="813.95"/>
    <n v="186.05"/>
    <n v="-186.05"/>
  </r>
  <r>
    <x v="6"/>
    <s v="Juli"/>
    <n v="7"/>
    <s v="T2"/>
    <x v="0"/>
    <s v="Kommunal Boenhet"/>
    <n v="254"/>
    <s v="Helse og mestring"/>
    <x v="1"/>
    <x v="1"/>
    <n v="1100"/>
    <n v="110000"/>
    <s v="Kontormateriell / rekvisita"/>
    <n v="1000"/>
    <n v="0"/>
    <n v="1000"/>
    <n v="-1000"/>
  </r>
  <r>
    <x v="7"/>
    <s v="August"/>
    <n v="8"/>
    <s v="T2"/>
    <x v="0"/>
    <s v="Kommunal Boenhet"/>
    <n v="254"/>
    <s v="Helse og mestring"/>
    <x v="1"/>
    <x v="1"/>
    <n v="1100"/>
    <n v="110000"/>
    <s v="Kontormateriell / rekvisita"/>
    <n v="1000"/>
    <n v="295.07"/>
    <n v="704.9299999999999"/>
    <n v="-704.9299999999999"/>
  </r>
  <r>
    <x v="8"/>
    <s v="September"/>
    <n v="9"/>
    <s v="T3"/>
    <x v="1"/>
    <s v="Kommunal Boenhet"/>
    <n v="254"/>
    <s v="Helse og mestring"/>
    <x v="1"/>
    <x v="1"/>
    <n v="1100"/>
    <n v="110000"/>
    <s v="Kontormateriell / rekvisita"/>
    <n v="1000"/>
    <n v="0"/>
    <n v="0"/>
    <n v="-1000"/>
  </r>
  <r>
    <x v="9"/>
    <s v="Oktober"/>
    <n v="10"/>
    <s v="T3"/>
    <x v="1"/>
    <s v="Kommunal Boenhet"/>
    <n v="254"/>
    <s v="Helse og mestring"/>
    <x v="1"/>
    <x v="1"/>
    <n v="1100"/>
    <n v="110000"/>
    <s v="Kontormateriell / rekvisita"/>
    <n v="1000"/>
    <n v="0"/>
    <n v="0"/>
    <n v="-1000"/>
  </r>
  <r>
    <x v="10"/>
    <s v="November"/>
    <n v="11"/>
    <s v="T3"/>
    <x v="1"/>
    <s v="Kommunal Boenhet"/>
    <n v="254"/>
    <s v="Helse og mestring"/>
    <x v="1"/>
    <x v="1"/>
    <n v="1100"/>
    <n v="110000"/>
    <s v="Kontormateriell / rekvisita"/>
    <n v="1000"/>
    <n v="0"/>
    <n v="0"/>
    <n v="-1000"/>
  </r>
  <r>
    <x v="11"/>
    <s v="Desember"/>
    <n v="12"/>
    <s v="T3"/>
    <x v="1"/>
    <s v="Kommunal Boenhet"/>
    <n v="254"/>
    <s v="Helse og mestring"/>
    <x v="1"/>
    <x v="1"/>
    <n v="1100"/>
    <n v="110000"/>
    <s v="Kontormateriell / rekvisita"/>
    <n v="1000"/>
    <n v="0"/>
    <n v="0"/>
    <n v="-1000"/>
  </r>
  <r>
    <x v="0"/>
    <s v="Januar"/>
    <n v="1"/>
    <s v="T1"/>
    <x v="0"/>
    <s v="Kommunal Boenhet"/>
    <n v="254"/>
    <s v="Helse og mestring"/>
    <x v="1"/>
    <x v="1"/>
    <n v="1100"/>
    <n v="110020"/>
    <s v="Kopieringsmatriell - papir / toner (ikke leie)"/>
    <n v="270"/>
    <n v="0"/>
    <n v="270"/>
    <n v="-270"/>
  </r>
  <r>
    <x v="1"/>
    <s v="Februar"/>
    <n v="2"/>
    <s v="T1"/>
    <x v="0"/>
    <s v="Kommunal Boenhet"/>
    <n v="254"/>
    <s v="Helse og mestring"/>
    <x v="1"/>
    <x v="1"/>
    <n v="1100"/>
    <n v="110020"/>
    <s v="Kopieringsmatriell - papir / toner (ikke leie)"/>
    <n v="270"/>
    <n v="0"/>
    <n v="270"/>
    <n v="-270"/>
  </r>
  <r>
    <x v="2"/>
    <s v="Mars"/>
    <n v="3"/>
    <s v="T1"/>
    <x v="0"/>
    <s v="Kommunal Boenhet"/>
    <n v="254"/>
    <s v="Helse og mestring"/>
    <x v="1"/>
    <x v="1"/>
    <n v="1100"/>
    <n v="110020"/>
    <s v="Kopieringsmatriell - papir / toner (ikke leie)"/>
    <n v="270"/>
    <n v="0"/>
    <n v="270"/>
    <n v="-270"/>
  </r>
  <r>
    <x v="3"/>
    <s v="April"/>
    <n v="4"/>
    <s v="T1"/>
    <x v="0"/>
    <s v="Kommunal Boenhet"/>
    <n v="254"/>
    <s v="Helse og mestring"/>
    <x v="1"/>
    <x v="1"/>
    <n v="1100"/>
    <n v="110020"/>
    <s v="Kopieringsmatriell - papir / toner (ikke leie)"/>
    <n v="270"/>
    <n v="0"/>
    <n v="270"/>
    <n v="-270"/>
  </r>
  <r>
    <x v="4"/>
    <s v="Mai"/>
    <n v="5"/>
    <s v="T2"/>
    <x v="0"/>
    <s v="Kommunal Boenhet"/>
    <n v="254"/>
    <s v="Helse og mestring"/>
    <x v="1"/>
    <x v="1"/>
    <n v="1100"/>
    <n v="110020"/>
    <s v="Kopieringsmatriell - papir / toner (ikke leie)"/>
    <n v="270"/>
    <n v="0"/>
    <n v="270"/>
    <n v="-270"/>
  </r>
  <r>
    <x v="5"/>
    <s v="Juni"/>
    <n v="6"/>
    <s v="T2"/>
    <x v="0"/>
    <s v="Kommunal Boenhet"/>
    <n v="254"/>
    <s v="Helse og mestring"/>
    <x v="1"/>
    <x v="1"/>
    <n v="1100"/>
    <n v="110020"/>
    <s v="Kopieringsmatriell - papir / toner (ikke leie)"/>
    <n v="270"/>
    <n v="0"/>
    <n v="270"/>
    <n v="-270"/>
  </r>
  <r>
    <x v="6"/>
    <s v="Juli"/>
    <n v="7"/>
    <s v="T2"/>
    <x v="0"/>
    <s v="Kommunal Boenhet"/>
    <n v="254"/>
    <s v="Helse og mestring"/>
    <x v="1"/>
    <x v="1"/>
    <n v="1100"/>
    <n v="110020"/>
    <s v="Kopieringsmatriell - papir / toner (ikke leie)"/>
    <n v="270"/>
    <n v="0"/>
    <n v="270"/>
    <n v="-270"/>
  </r>
  <r>
    <x v="7"/>
    <s v="August"/>
    <n v="8"/>
    <s v="T2"/>
    <x v="0"/>
    <s v="Kommunal Boenhet"/>
    <n v="254"/>
    <s v="Helse og mestring"/>
    <x v="1"/>
    <x v="1"/>
    <n v="1100"/>
    <n v="110020"/>
    <s v="Kopieringsmatriell - papir / toner (ikke leie)"/>
    <n v="270"/>
    <n v="0"/>
    <n v="270"/>
    <n v="-270"/>
  </r>
  <r>
    <x v="8"/>
    <s v="September"/>
    <n v="9"/>
    <s v="T3"/>
    <x v="1"/>
    <s v="Kommunal Boenhet"/>
    <n v="254"/>
    <s v="Helse og mestring"/>
    <x v="1"/>
    <x v="1"/>
    <n v="1100"/>
    <n v="110020"/>
    <s v="Kopieringsmatriell - papir / toner (ikke leie)"/>
    <n v="270"/>
    <n v="0"/>
    <n v="0"/>
    <n v="-270"/>
  </r>
  <r>
    <x v="9"/>
    <s v="Oktober"/>
    <n v="10"/>
    <s v="T3"/>
    <x v="1"/>
    <s v="Kommunal Boenhet"/>
    <n v="254"/>
    <s v="Helse og mestring"/>
    <x v="1"/>
    <x v="1"/>
    <n v="1100"/>
    <n v="110020"/>
    <s v="Kopieringsmatriell - papir / toner (ikke leie)"/>
    <n v="270"/>
    <n v="0"/>
    <n v="0"/>
    <n v="-270"/>
  </r>
  <r>
    <x v="10"/>
    <s v="November"/>
    <n v="11"/>
    <s v="T3"/>
    <x v="1"/>
    <s v="Kommunal Boenhet"/>
    <n v="254"/>
    <s v="Helse og mestring"/>
    <x v="1"/>
    <x v="1"/>
    <n v="1100"/>
    <n v="110020"/>
    <s v="Kopieringsmatriell - papir / toner (ikke leie)"/>
    <n v="270"/>
    <n v="0"/>
    <n v="0"/>
    <n v="-270"/>
  </r>
  <r>
    <x v="11"/>
    <s v="Desember"/>
    <n v="12"/>
    <s v="T3"/>
    <x v="1"/>
    <s v="Kommunal Boenhet"/>
    <n v="254"/>
    <s v="Helse og mestring"/>
    <x v="1"/>
    <x v="1"/>
    <n v="1100"/>
    <n v="110020"/>
    <s v="Kopieringsmatriell - papir / toner (ikke leie)"/>
    <n v="30"/>
    <n v="0"/>
    <n v="0"/>
    <n v="-30"/>
  </r>
  <r>
    <x v="0"/>
    <s v="Januar"/>
    <n v="1"/>
    <s v="T1"/>
    <x v="0"/>
    <s v="Kommunal Boenhet"/>
    <n v="254"/>
    <s v="Helse og mestring"/>
    <x v="1"/>
    <x v="1"/>
    <n v="1110"/>
    <n v="111000"/>
    <s v="Medisinsk forbruksmateriell"/>
    <n v="2210"/>
    <n v="2238.74"/>
    <n v="-28.74"/>
    <n v="28.74"/>
  </r>
  <r>
    <x v="1"/>
    <s v="Februar"/>
    <n v="2"/>
    <s v="T1"/>
    <x v="0"/>
    <s v="Kommunal Boenhet"/>
    <n v="254"/>
    <s v="Helse og mestring"/>
    <x v="1"/>
    <x v="1"/>
    <n v="1110"/>
    <n v="111000"/>
    <s v="Medisinsk forbruksmateriell"/>
    <n v="2210"/>
    <n v="3843.9"/>
    <n v="-1633.9"/>
    <n v="1633.9"/>
  </r>
  <r>
    <x v="2"/>
    <s v="Mars"/>
    <n v="3"/>
    <s v="T1"/>
    <x v="0"/>
    <s v="Kommunal Boenhet"/>
    <n v="254"/>
    <s v="Helse og mestring"/>
    <x v="1"/>
    <x v="1"/>
    <n v="1110"/>
    <n v="111000"/>
    <s v="Medisinsk forbruksmateriell"/>
    <n v="2210"/>
    <n v="0"/>
    <n v="2210"/>
    <n v="-2210"/>
  </r>
  <r>
    <x v="3"/>
    <s v="April"/>
    <n v="4"/>
    <s v="T1"/>
    <x v="0"/>
    <s v="Kommunal Boenhet"/>
    <n v="254"/>
    <s v="Helse og mestring"/>
    <x v="1"/>
    <x v="1"/>
    <n v="1110"/>
    <n v="111000"/>
    <s v="Medisinsk forbruksmateriell"/>
    <n v="2210"/>
    <n v="2060.1"/>
    <n v="149.9"/>
    <n v="-149.9"/>
  </r>
  <r>
    <x v="4"/>
    <s v="Mai"/>
    <n v="5"/>
    <s v="T2"/>
    <x v="0"/>
    <s v="Kommunal Boenhet"/>
    <n v="254"/>
    <s v="Helse og mestring"/>
    <x v="1"/>
    <x v="1"/>
    <n v="1110"/>
    <n v="111000"/>
    <s v="Medisinsk forbruksmateriell"/>
    <n v="2210"/>
    <n v="553.2"/>
    <n v="1656.8"/>
    <n v="-1656.8"/>
  </r>
  <r>
    <x v="5"/>
    <s v="Juni"/>
    <n v="6"/>
    <s v="T2"/>
    <x v="0"/>
    <s v="Kommunal Boenhet"/>
    <n v="254"/>
    <s v="Helse og mestring"/>
    <x v="1"/>
    <x v="1"/>
    <n v="1110"/>
    <n v="111000"/>
    <s v="Medisinsk forbruksmateriell"/>
    <n v="2210"/>
    <n v="2296.35"/>
    <n v="-86.34999999999999"/>
    <n v="86.34999999999999"/>
  </r>
  <r>
    <x v="6"/>
    <s v="Juli"/>
    <n v="7"/>
    <s v="T2"/>
    <x v="0"/>
    <s v="Kommunal Boenhet"/>
    <n v="254"/>
    <s v="Helse og mestring"/>
    <x v="1"/>
    <x v="1"/>
    <n v="1110"/>
    <n v="111000"/>
    <s v="Medisinsk forbruksmateriell"/>
    <n v="2210"/>
    <n v="0"/>
    <n v="2210"/>
    <n v="-2210"/>
  </r>
  <r>
    <x v="7"/>
    <s v="August"/>
    <n v="8"/>
    <s v="T2"/>
    <x v="0"/>
    <s v="Kommunal Boenhet"/>
    <n v="254"/>
    <s v="Helse og mestring"/>
    <x v="1"/>
    <x v="1"/>
    <n v="1110"/>
    <n v="111000"/>
    <s v="Medisinsk forbruksmateriell"/>
    <n v="2210"/>
    <n v="881"/>
    <n v="1329"/>
    <n v="-1329"/>
  </r>
  <r>
    <x v="8"/>
    <s v="September"/>
    <n v="9"/>
    <s v="T3"/>
    <x v="1"/>
    <s v="Kommunal Boenhet"/>
    <n v="254"/>
    <s v="Helse og mestring"/>
    <x v="1"/>
    <x v="1"/>
    <n v="1110"/>
    <n v="111000"/>
    <s v="Medisinsk forbruksmateriell"/>
    <n v="2210"/>
    <n v="0"/>
    <n v="0"/>
    <n v="-2210"/>
  </r>
  <r>
    <x v="9"/>
    <s v="Oktober"/>
    <n v="10"/>
    <s v="T3"/>
    <x v="1"/>
    <s v="Kommunal Boenhet"/>
    <n v="254"/>
    <s v="Helse og mestring"/>
    <x v="1"/>
    <x v="1"/>
    <n v="1110"/>
    <n v="111000"/>
    <s v="Medisinsk forbruksmateriell"/>
    <n v="2210"/>
    <n v="0"/>
    <n v="0"/>
    <n v="-2210"/>
  </r>
  <r>
    <x v="10"/>
    <s v="November"/>
    <n v="11"/>
    <s v="T3"/>
    <x v="1"/>
    <s v="Kommunal Boenhet"/>
    <n v="254"/>
    <s v="Helse og mestring"/>
    <x v="1"/>
    <x v="1"/>
    <n v="1110"/>
    <n v="111000"/>
    <s v="Medisinsk forbruksmateriell"/>
    <n v="2210"/>
    <n v="0"/>
    <n v="0"/>
    <n v="-2210"/>
  </r>
  <r>
    <x v="11"/>
    <s v="Desember"/>
    <n v="12"/>
    <s v="T3"/>
    <x v="1"/>
    <s v="Kommunal Boenhet"/>
    <n v="254"/>
    <s v="Helse og mestring"/>
    <x v="1"/>
    <x v="1"/>
    <n v="1110"/>
    <n v="111000"/>
    <s v="Medisinsk forbruksmateriell"/>
    <n v="2690"/>
    <n v="0"/>
    <n v="0"/>
    <n v="-2690"/>
  </r>
  <r>
    <x v="0"/>
    <s v="Januar"/>
    <n v="1"/>
    <s v="T1"/>
    <x v="0"/>
    <s v="Kommunal Boenhet"/>
    <n v="254"/>
    <s v="Helse og mestring"/>
    <x v="1"/>
    <x v="1"/>
    <n v="1114"/>
    <n v="111400"/>
    <s v="Medisiner"/>
    <n v="850"/>
    <n v="0"/>
    <n v="850"/>
    <n v="-850"/>
  </r>
  <r>
    <x v="1"/>
    <s v="Februar"/>
    <n v="2"/>
    <s v="T1"/>
    <x v="0"/>
    <s v="Kommunal Boenhet"/>
    <n v="254"/>
    <s v="Helse og mestring"/>
    <x v="1"/>
    <x v="1"/>
    <n v="1114"/>
    <n v="111400"/>
    <s v="Medisiner"/>
    <n v="850"/>
    <n v="0"/>
    <n v="850"/>
    <n v="-850"/>
  </r>
  <r>
    <x v="2"/>
    <s v="Mars"/>
    <n v="3"/>
    <s v="T1"/>
    <x v="0"/>
    <s v="Kommunal Boenhet"/>
    <n v="254"/>
    <s v="Helse og mestring"/>
    <x v="1"/>
    <x v="1"/>
    <n v="1114"/>
    <n v="111400"/>
    <s v="Medisiner"/>
    <n v="850"/>
    <n v="0"/>
    <n v="850"/>
    <n v="-850"/>
  </r>
  <r>
    <x v="3"/>
    <s v="April"/>
    <n v="4"/>
    <s v="T1"/>
    <x v="0"/>
    <s v="Kommunal Boenhet"/>
    <n v="254"/>
    <s v="Helse og mestring"/>
    <x v="1"/>
    <x v="1"/>
    <n v="1114"/>
    <n v="111400"/>
    <s v="Medisiner"/>
    <n v="850"/>
    <n v="2562.05"/>
    <n v="-1712.05"/>
    <n v="1712.05"/>
  </r>
  <r>
    <x v="4"/>
    <s v="Mai"/>
    <n v="5"/>
    <s v="T2"/>
    <x v="0"/>
    <s v="Kommunal Boenhet"/>
    <n v="254"/>
    <s v="Helse og mestring"/>
    <x v="1"/>
    <x v="1"/>
    <n v="1114"/>
    <n v="111400"/>
    <s v="Medisiner"/>
    <n v="850"/>
    <n v="0"/>
    <n v="850"/>
    <n v="-850"/>
  </r>
  <r>
    <x v="5"/>
    <s v="Juni"/>
    <n v="6"/>
    <s v="T2"/>
    <x v="0"/>
    <s v="Kommunal Boenhet"/>
    <n v="254"/>
    <s v="Helse og mestring"/>
    <x v="1"/>
    <x v="1"/>
    <n v="1114"/>
    <n v="111400"/>
    <s v="Medisiner"/>
    <n v="850"/>
    <n v="0"/>
    <n v="850"/>
    <n v="-850"/>
  </r>
  <r>
    <x v="6"/>
    <s v="Juli"/>
    <n v="7"/>
    <s v="T2"/>
    <x v="0"/>
    <s v="Kommunal Boenhet"/>
    <n v="254"/>
    <s v="Helse og mestring"/>
    <x v="1"/>
    <x v="1"/>
    <n v="1114"/>
    <n v="111400"/>
    <s v="Medisiner"/>
    <n v="850"/>
    <n v="0"/>
    <n v="850"/>
    <n v="-850"/>
  </r>
  <r>
    <x v="7"/>
    <s v="August"/>
    <n v="8"/>
    <s v="T2"/>
    <x v="0"/>
    <s v="Kommunal Boenhet"/>
    <n v="254"/>
    <s v="Helse og mestring"/>
    <x v="1"/>
    <x v="1"/>
    <n v="1114"/>
    <n v="111400"/>
    <s v="Medisiner"/>
    <n v="850"/>
    <n v="0"/>
    <n v="850"/>
    <n v="-850"/>
  </r>
  <r>
    <x v="8"/>
    <s v="September"/>
    <n v="9"/>
    <s v="T3"/>
    <x v="1"/>
    <s v="Kommunal Boenhet"/>
    <n v="254"/>
    <s v="Helse og mestring"/>
    <x v="1"/>
    <x v="1"/>
    <n v="1114"/>
    <n v="111400"/>
    <s v="Medisiner"/>
    <n v="850"/>
    <n v="0"/>
    <n v="0"/>
    <n v="-850"/>
  </r>
  <r>
    <x v="9"/>
    <s v="Oktober"/>
    <n v="10"/>
    <s v="T3"/>
    <x v="1"/>
    <s v="Kommunal Boenhet"/>
    <n v="254"/>
    <s v="Helse og mestring"/>
    <x v="1"/>
    <x v="1"/>
    <n v="1114"/>
    <n v="111400"/>
    <s v="Medisiner"/>
    <n v="850"/>
    <n v="0"/>
    <n v="0"/>
    <n v="-850"/>
  </r>
  <r>
    <x v="10"/>
    <s v="November"/>
    <n v="11"/>
    <s v="T3"/>
    <x v="1"/>
    <s v="Kommunal Boenhet"/>
    <n v="254"/>
    <s v="Helse og mestring"/>
    <x v="1"/>
    <x v="1"/>
    <n v="1114"/>
    <n v="111400"/>
    <s v="Medisiner"/>
    <n v="850"/>
    <n v="0"/>
    <n v="0"/>
    <n v="-850"/>
  </r>
  <r>
    <x v="11"/>
    <s v="Desember"/>
    <n v="12"/>
    <s v="T3"/>
    <x v="1"/>
    <s v="Kommunal Boenhet"/>
    <n v="254"/>
    <s v="Helse og mestring"/>
    <x v="1"/>
    <x v="1"/>
    <n v="1114"/>
    <n v="111400"/>
    <s v="Medisiner"/>
    <n v="650"/>
    <n v="0"/>
    <n v="0"/>
    <n v="-650"/>
  </r>
  <r>
    <x v="0"/>
    <s v="Januar"/>
    <n v="1"/>
    <s v="T1"/>
    <x v="0"/>
    <s v="Kommunal Boenhet"/>
    <n v="254"/>
    <s v="Helse og mestring"/>
    <x v="1"/>
    <x v="1"/>
    <n v="1115"/>
    <n v="111500"/>
    <s v="Matvarer / drikke - ikke møtevirksomhet"/>
    <n v="0"/>
    <n v="222.23"/>
    <n v="-222.23"/>
    <n v="222.23"/>
  </r>
  <r>
    <x v="1"/>
    <s v="Februar"/>
    <n v="2"/>
    <s v="T1"/>
    <x v="0"/>
    <s v="Kommunal Boenhet"/>
    <n v="254"/>
    <s v="Helse og mestring"/>
    <x v="1"/>
    <x v="1"/>
    <n v="1115"/>
    <n v="111500"/>
    <s v="Matvarer / drikke - ikke møtevirksomhet"/>
    <n v="0"/>
    <n v="0"/>
    <n v="0"/>
    <n v="0"/>
  </r>
  <r>
    <x v="2"/>
    <s v="Mars"/>
    <n v="3"/>
    <s v="T1"/>
    <x v="0"/>
    <s v="Kommunal Boenhet"/>
    <n v="254"/>
    <s v="Helse og mestring"/>
    <x v="1"/>
    <x v="1"/>
    <n v="1115"/>
    <n v="111500"/>
    <s v="Matvarer / drikke - ikke møtevirksomhet"/>
    <n v="0"/>
    <n v="585.89"/>
    <n v="-585.89"/>
    <n v="585.89"/>
  </r>
  <r>
    <x v="3"/>
    <s v="April"/>
    <n v="4"/>
    <s v="T1"/>
    <x v="0"/>
    <s v="Kommunal Boenhet"/>
    <n v="254"/>
    <s v="Helse og mestring"/>
    <x v="1"/>
    <x v="1"/>
    <n v="1115"/>
    <n v="111500"/>
    <s v="Matvarer / drikke - ikke møtevirksomhet"/>
    <n v="0"/>
    <n v="0"/>
    <n v="0"/>
    <n v="0"/>
  </r>
  <r>
    <x v="4"/>
    <s v="Mai"/>
    <n v="5"/>
    <s v="T2"/>
    <x v="0"/>
    <s v="Kommunal Boenhet"/>
    <n v="254"/>
    <s v="Helse og mestring"/>
    <x v="1"/>
    <x v="1"/>
    <n v="1115"/>
    <n v="111500"/>
    <s v="Matvarer / drikke - ikke møtevirksomhet"/>
    <n v="0"/>
    <n v="630.59"/>
    <n v="-630.59"/>
    <n v="630.59"/>
  </r>
  <r>
    <x v="5"/>
    <s v="Juni"/>
    <n v="6"/>
    <s v="T2"/>
    <x v="0"/>
    <s v="Kommunal Boenhet"/>
    <n v="254"/>
    <s v="Helse og mestring"/>
    <x v="1"/>
    <x v="1"/>
    <n v="1115"/>
    <n v="111500"/>
    <s v="Matvarer / drikke - ikke møtevirksomhet"/>
    <n v="0"/>
    <n v="716.97"/>
    <n v="-716.97"/>
    <n v="716.97"/>
  </r>
  <r>
    <x v="6"/>
    <s v="Juli"/>
    <n v="7"/>
    <s v="T2"/>
    <x v="0"/>
    <s v="Kommunal Boenhet"/>
    <n v="254"/>
    <s v="Helse og mestring"/>
    <x v="1"/>
    <x v="1"/>
    <n v="1115"/>
    <n v="111500"/>
    <s v="Matvarer / drikke - ikke møtevirksomhet"/>
    <n v="0"/>
    <n v="0"/>
    <n v="0"/>
    <n v="0"/>
  </r>
  <r>
    <x v="7"/>
    <s v="August"/>
    <n v="8"/>
    <s v="T2"/>
    <x v="0"/>
    <s v="Kommunal Boenhet"/>
    <n v="254"/>
    <s v="Helse og mestring"/>
    <x v="1"/>
    <x v="1"/>
    <n v="1115"/>
    <n v="111500"/>
    <s v="Matvarer / drikke - ikke møtevirksomhet"/>
    <n v="0"/>
    <n v="130.44"/>
    <n v="-130.44"/>
    <n v="130.44"/>
  </r>
  <r>
    <x v="8"/>
    <s v="September"/>
    <n v="9"/>
    <s v="T3"/>
    <x v="1"/>
    <s v="Kommunal Boenhet"/>
    <n v="254"/>
    <s v="Helse og mestring"/>
    <x v="1"/>
    <x v="1"/>
    <n v="1115"/>
    <n v="111500"/>
    <s v="Matvarer / drikke - ikke møtevirksomhet"/>
    <n v="0"/>
    <n v="0"/>
    <n v="0"/>
    <n v="0"/>
  </r>
  <r>
    <x v="9"/>
    <s v="Oktober"/>
    <n v="10"/>
    <s v="T3"/>
    <x v="1"/>
    <s v="Kommunal Boenhet"/>
    <n v="254"/>
    <s v="Helse og mestring"/>
    <x v="1"/>
    <x v="1"/>
    <n v="1115"/>
    <n v="111500"/>
    <s v="Matvarer / drikke - ikke møtevirksomhet"/>
    <n v="0"/>
    <n v="0"/>
    <n v="0"/>
    <n v="0"/>
  </r>
  <r>
    <x v="10"/>
    <s v="November"/>
    <n v="11"/>
    <s v="T3"/>
    <x v="1"/>
    <s v="Kommunal Boenhet"/>
    <n v="254"/>
    <s v="Helse og mestring"/>
    <x v="1"/>
    <x v="1"/>
    <n v="1115"/>
    <n v="111500"/>
    <s v="Matvarer / drikke - ikke møtevirksomhet"/>
    <n v="0"/>
    <n v="0"/>
    <n v="0"/>
    <n v="0"/>
  </r>
  <r>
    <x v="11"/>
    <s v="Desember"/>
    <n v="12"/>
    <s v="T3"/>
    <x v="1"/>
    <s v="Kommunal Boenhet"/>
    <n v="254"/>
    <s v="Helse og mestring"/>
    <x v="1"/>
    <x v="1"/>
    <n v="1115"/>
    <n v="111500"/>
    <s v="Matvarer / drikke - ikke møtevirksomhet"/>
    <n v="0"/>
    <n v="0"/>
    <n v="0"/>
    <n v="0"/>
  </r>
  <r>
    <x v="0"/>
    <s v="Januar"/>
    <n v="1"/>
    <s v="T1"/>
    <x v="0"/>
    <s v="Kommunal Boenhet"/>
    <n v="254"/>
    <s v="Helse og mestring"/>
    <x v="1"/>
    <x v="1"/>
    <n v="1115"/>
    <n v="111502"/>
    <s v="Bevertning møter / kurs / opplæring / overtidsmat"/>
    <n v="1868"/>
    <n v="0"/>
    <n v="1868"/>
    <n v="-1868"/>
  </r>
  <r>
    <x v="1"/>
    <s v="Februar"/>
    <n v="2"/>
    <s v="T1"/>
    <x v="0"/>
    <s v="Kommunal Boenhet"/>
    <n v="254"/>
    <s v="Helse og mestring"/>
    <x v="1"/>
    <x v="1"/>
    <n v="1115"/>
    <n v="111502"/>
    <s v="Bevertning møter / kurs / opplæring / overtidsmat"/>
    <n v="1868"/>
    <n v="294.5"/>
    <n v="1573.5"/>
    <n v="-1573.5"/>
  </r>
  <r>
    <x v="2"/>
    <s v="Mars"/>
    <n v="3"/>
    <s v="T1"/>
    <x v="0"/>
    <s v="Kommunal Boenhet"/>
    <n v="254"/>
    <s v="Helse og mestring"/>
    <x v="1"/>
    <x v="1"/>
    <n v="1115"/>
    <n v="111502"/>
    <s v="Bevertning møter / kurs / opplæring / overtidsmat"/>
    <n v="1868"/>
    <n v="477.59"/>
    <n v="1390.41"/>
    <n v="-1390.41"/>
  </r>
  <r>
    <x v="3"/>
    <s v="April"/>
    <n v="4"/>
    <s v="T1"/>
    <x v="0"/>
    <s v="Kommunal Boenhet"/>
    <n v="254"/>
    <s v="Helse og mestring"/>
    <x v="1"/>
    <x v="1"/>
    <n v="1115"/>
    <n v="111502"/>
    <s v="Bevertning møter / kurs / opplæring / overtidsmat"/>
    <n v="1868"/>
    <n v="0"/>
    <n v="1868"/>
    <n v="-1868"/>
  </r>
  <r>
    <x v="4"/>
    <s v="Mai"/>
    <n v="5"/>
    <s v="T2"/>
    <x v="0"/>
    <s v="Kommunal Boenhet"/>
    <n v="254"/>
    <s v="Helse og mestring"/>
    <x v="1"/>
    <x v="1"/>
    <n v="1115"/>
    <n v="111502"/>
    <s v="Bevertning møter / kurs / opplæring / overtidsmat"/>
    <n v="1868"/>
    <n v="4957.78"/>
    <n v="-3089.78"/>
    <n v="3089.78"/>
  </r>
  <r>
    <x v="5"/>
    <s v="Juni"/>
    <n v="6"/>
    <s v="T2"/>
    <x v="0"/>
    <s v="Kommunal Boenhet"/>
    <n v="254"/>
    <s v="Helse og mestring"/>
    <x v="1"/>
    <x v="1"/>
    <n v="1115"/>
    <n v="111502"/>
    <s v="Bevertning møter / kurs / opplæring / overtidsmat"/>
    <n v="1868"/>
    <n v="0"/>
    <n v="1868"/>
    <n v="-1868"/>
  </r>
  <r>
    <x v="6"/>
    <s v="Juli"/>
    <n v="7"/>
    <s v="T2"/>
    <x v="0"/>
    <s v="Kommunal Boenhet"/>
    <n v="254"/>
    <s v="Helse og mestring"/>
    <x v="1"/>
    <x v="1"/>
    <n v="1115"/>
    <n v="111502"/>
    <s v="Bevertning møter / kurs / opplæring / overtidsmat"/>
    <n v="1868"/>
    <n v="0"/>
    <n v="1868"/>
    <n v="-1868"/>
  </r>
  <r>
    <x v="7"/>
    <s v="August"/>
    <n v="8"/>
    <s v="T2"/>
    <x v="0"/>
    <s v="Kommunal Boenhet"/>
    <n v="254"/>
    <s v="Helse og mestring"/>
    <x v="1"/>
    <x v="1"/>
    <n v="1115"/>
    <n v="111502"/>
    <s v="Bevertning møter / kurs / opplæring / overtidsmat"/>
    <n v="1868"/>
    <n v="0"/>
    <n v="1868"/>
    <n v="-1868"/>
  </r>
  <r>
    <x v="8"/>
    <s v="September"/>
    <n v="9"/>
    <s v="T3"/>
    <x v="1"/>
    <s v="Kommunal Boenhet"/>
    <n v="254"/>
    <s v="Helse og mestring"/>
    <x v="1"/>
    <x v="1"/>
    <n v="1115"/>
    <n v="111502"/>
    <s v="Bevertning møter / kurs / opplæring / overtidsmat"/>
    <n v="1868"/>
    <n v="0"/>
    <n v="0"/>
    <n v="-1868"/>
  </r>
  <r>
    <x v="9"/>
    <s v="Oktober"/>
    <n v="10"/>
    <s v="T3"/>
    <x v="1"/>
    <s v="Kommunal Boenhet"/>
    <n v="254"/>
    <s v="Helse og mestring"/>
    <x v="1"/>
    <x v="1"/>
    <n v="1115"/>
    <n v="111502"/>
    <s v="Bevertning møter / kurs / opplæring / overtidsmat"/>
    <n v="1868"/>
    <n v="0"/>
    <n v="0"/>
    <n v="-1868"/>
  </r>
  <r>
    <x v="10"/>
    <s v="November"/>
    <n v="11"/>
    <s v="T3"/>
    <x v="1"/>
    <s v="Kommunal Boenhet"/>
    <n v="254"/>
    <s v="Helse og mestring"/>
    <x v="1"/>
    <x v="1"/>
    <n v="1115"/>
    <n v="111502"/>
    <s v="Bevertning møter / kurs / opplæring / overtidsmat"/>
    <n v="1868"/>
    <n v="0"/>
    <n v="0"/>
    <n v="-1868"/>
  </r>
  <r>
    <x v="11"/>
    <s v="Desember"/>
    <n v="12"/>
    <s v="T3"/>
    <x v="1"/>
    <s v="Kommunal Boenhet"/>
    <n v="254"/>
    <s v="Helse og mestring"/>
    <x v="1"/>
    <x v="1"/>
    <n v="1115"/>
    <n v="111502"/>
    <s v="Bevertning møter / kurs / opplæring / overtidsmat"/>
    <n v="1452"/>
    <n v="0"/>
    <n v="0"/>
    <n v="-1452"/>
  </r>
  <r>
    <x v="0"/>
    <s v="Januar"/>
    <n v="1"/>
    <s v="T1"/>
    <x v="0"/>
    <s v="Kommunal Boenhet"/>
    <n v="254"/>
    <s v="Helse og mestring"/>
    <x v="1"/>
    <x v="1"/>
    <n v="1115"/>
    <n v="111509"/>
    <s v="Pant"/>
    <n v="0"/>
    <n v="0"/>
    <n v="0"/>
    <n v="0"/>
  </r>
  <r>
    <x v="1"/>
    <s v="Februar"/>
    <n v="2"/>
    <s v="T1"/>
    <x v="0"/>
    <s v="Kommunal Boenhet"/>
    <n v="254"/>
    <s v="Helse og mestring"/>
    <x v="1"/>
    <x v="1"/>
    <n v="1115"/>
    <n v="111509"/>
    <s v="Pant"/>
    <n v="0"/>
    <n v="12"/>
    <n v="-12"/>
    <n v="12"/>
  </r>
  <r>
    <x v="2"/>
    <s v="Mars"/>
    <n v="3"/>
    <s v="T1"/>
    <x v="0"/>
    <s v="Kommunal Boenhet"/>
    <n v="254"/>
    <s v="Helse og mestring"/>
    <x v="1"/>
    <x v="1"/>
    <n v="1115"/>
    <n v="111509"/>
    <s v="Pant"/>
    <n v="0"/>
    <n v="21"/>
    <n v="-21"/>
    <n v="21"/>
  </r>
  <r>
    <x v="3"/>
    <s v="April"/>
    <n v="4"/>
    <s v="T1"/>
    <x v="0"/>
    <s v="Kommunal Boenhet"/>
    <n v="254"/>
    <s v="Helse og mestring"/>
    <x v="1"/>
    <x v="1"/>
    <n v="1115"/>
    <n v="111509"/>
    <s v="Pant"/>
    <n v="0"/>
    <n v="0"/>
    <n v="0"/>
    <n v="0"/>
  </r>
  <r>
    <x v="4"/>
    <s v="Mai"/>
    <n v="5"/>
    <s v="T2"/>
    <x v="0"/>
    <s v="Kommunal Boenhet"/>
    <n v="254"/>
    <s v="Helse og mestring"/>
    <x v="1"/>
    <x v="1"/>
    <n v="1115"/>
    <n v="111509"/>
    <s v="Pant"/>
    <n v="0"/>
    <n v="24"/>
    <n v="-24"/>
    <n v="24"/>
  </r>
  <r>
    <x v="5"/>
    <s v="Juni"/>
    <n v="6"/>
    <s v="T2"/>
    <x v="0"/>
    <s v="Kommunal Boenhet"/>
    <n v="254"/>
    <s v="Helse og mestring"/>
    <x v="1"/>
    <x v="1"/>
    <n v="1115"/>
    <n v="111509"/>
    <s v="Pant"/>
    <n v="0"/>
    <n v="0"/>
    <n v="0"/>
    <n v="0"/>
  </r>
  <r>
    <x v="6"/>
    <s v="Juli"/>
    <n v="7"/>
    <s v="T2"/>
    <x v="0"/>
    <s v="Kommunal Boenhet"/>
    <n v="254"/>
    <s v="Helse og mestring"/>
    <x v="1"/>
    <x v="1"/>
    <n v="1115"/>
    <n v="111509"/>
    <s v="Pant"/>
    <n v="0"/>
    <n v="0"/>
    <n v="0"/>
    <n v="0"/>
  </r>
  <r>
    <x v="7"/>
    <s v="August"/>
    <n v="8"/>
    <s v="T2"/>
    <x v="0"/>
    <s v="Kommunal Boenhet"/>
    <n v="254"/>
    <s v="Helse og mestring"/>
    <x v="1"/>
    <x v="1"/>
    <n v="1115"/>
    <n v="111509"/>
    <s v="Pant"/>
    <n v="0"/>
    <n v="0"/>
    <n v="0"/>
    <n v="0"/>
  </r>
  <r>
    <x v="8"/>
    <s v="September"/>
    <n v="9"/>
    <s v="T3"/>
    <x v="1"/>
    <s v="Kommunal Boenhet"/>
    <n v="254"/>
    <s v="Helse og mestring"/>
    <x v="1"/>
    <x v="1"/>
    <n v="1115"/>
    <n v="111509"/>
    <s v="Pant"/>
    <n v="0"/>
    <n v="0"/>
    <n v="0"/>
    <n v="0"/>
  </r>
  <r>
    <x v="9"/>
    <s v="Oktober"/>
    <n v="10"/>
    <s v="T3"/>
    <x v="1"/>
    <s v="Kommunal Boenhet"/>
    <n v="254"/>
    <s v="Helse og mestring"/>
    <x v="1"/>
    <x v="1"/>
    <n v="1115"/>
    <n v="111509"/>
    <s v="Pant"/>
    <n v="0"/>
    <n v="0"/>
    <n v="0"/>
    <n v="0"/>
  </r>
  <r>
    <x v="10"/>
    <s v="November"/>
    <n v="11"/>
    <s v="T3"/>
    <x v="1"/>
    <s v="Kommunal Boenhet"/>
    <n v="254"/>
    <s v="Helse og mestring"/>
    <x v="1"/>
    <x v="1"/>
    <n v="1115"/>
    <n v="111509"/>
    <s v="Pant"/>
    <n v="0"/>
    <n v="0"/>
    <n v="0"/>
    <n v="0"/>
  </r>
  <r>
    <x v="11"/>
    <s v="Desember"/>
    <n v="12"/>
    <s v="T3"/>
    <x v="1"/>
    <s v="Kommunal Boenhet"/>
    <n v="254"/>
    <s v="Helse og mestring"/>
    <x v="1"/>
    <x v="1"/>
    <n v="1115"/>
    <n v="111509"/>
    <s v="Pant"/>
    <n v="0"/>
    <n v="0"/>
    <n v="0"/>
    <n v="0"/>
  </r>
  <r>
    <x v="0"/>
    <s v="Januar"/>
    <n v="1"/>
    <s v="T1"/>
    <x v="0"/>
    <s v="Kommunal Boenhet"/>
    <n v="254"/>
    <s v="Helse og mestring"/>
    <x v="1"/>
    <x v="1"/>
    <n v="1120"/>
    <n v="112000"/>
    <s v="Velferdstiltak / arrangementer -  ansatte"/>
    <n v="1868"/>
    <n v="0"/>
    <n v="1868"/>
    <n v="-1868"/>
  </r>
  <r>
    <x v="1"/>
    <s v="Februar"/>
    <n v="2"/>
    <s v="T1"/>
    <x v="0"/>
    <s v="Kommunal Boenhet"/>
    <n v="254"/>
    <s v="Helse og mestring"/>
    <x v="1"/>
    <x v="1"/>
    <n v="1120"/>
    <n v="112000"/>
    <s v="Velferdstiltak / arrangementer -  ansatte"/>
    <n v="1868"/>
    <n v="0"/>
    <n v="1868"/>
    <n v="-1868"/>
  </r>
  <r>
    <x v="2"/>
    <s v="Mars"/>
    <n v="3"/>
    <s v="T1"/>
    <x v="0"/>
    <s v="Kommunal Boenhet"/>
    <n v="254"/>
    <s v="Helse og mestring"/>
    <x v="1"/>
    <x v="1"/>
    <n v="1120"/>
    <n v="112000"/>
    <s v="Velferdstiltak / arrangementer -  ansatte"/>
    <n v="1868"/>
    <n v="0"/>
    <n v="1868"/>
    <n v="-1868"/>
  </r>
  <r>
    <x v="3"/>
    <s v="April"/>
    <n v="4"/>
    <s v="T1"/>
    <x v="0"/>
    <s v="Kommunal Boenhet"/>
    <n v="254"/>
    <s v="Helse og mestring"/>
    <x v="1"/>
    <x v="1"/>
    <n v="1120"/>
    <n v="112000"/>
    <s v="Velferdstiltak / arrangementer -  ansatte"/>
    <n v="1868"/>
    <n v="103.8"/>
    <n v="1764.2"/>
    <n v="-1764.2"/>
  </r>
  <r>
    <x v="4"/>
    <s v="Mai"/>
    <n v="5"/>
    <s v="T2"/>
    <x v="0"/>
    <s v="Kommunal Boenhet"/>
    <n v="254"/>
    <s v="Helse og mestring"/>
    <x v="1"/>
    <x v="1"/>
    <n v="1120"/>
    <n v="112000"/>
    <s v="Velferdstiltak / arrangementer -  ansatte"/>
    <n v="1868"/>
    <n v="0"/>
    <n v="1868"/>
    <n v="-1868"/>
  </r>
  <r>
    <x v="5"/>
    <s v="Juni"/>
    <n v="6"/>
    <s v="T2"/>
    <x v="0"/>
    <s v="Kommunal Boenhet"/>
    <n v="254"/>
    <s v="Helse og mestring"/>
    <x v="1"/>
    <x v="1"/>
    <n v="1120"/>
    <n v="112000"/>
    <s v="Velferdstiltak / arrangementer -  ansatte"/>
    <n v="1868"/>
    <n v="483.2"/>
    <n v="1384.8"/>
    <n v="-1384.8"/>
  </r>
  <r>
    <x v="6"/>
    <s v="Juli"/>
    <n v="7"/>
    <s v="T2"/>
    <x v="0"/>
    <s v="Kommunal Boenhet"/>
    <n v="254"/>
    <s v="Helse og mestring"/>
    <x v="1"/>
    <x v="1"/>
    <n v="1120"/>
    <n v="112000"/>
    <s v="Velferdstiltak / arrangementer -  ansatte"/>
    <n v="1868"/>
    <n v="0"/>
    <n v="1868"/>
    <n v="-1868"/>
  </r>
  <r>
    <x v="7"/>
    <s v="August"/>
    <n v="8"/>
    <s v="T2"/>
    <x v="0"/>
    <s v="Kommunal Boenhet"/>
    <n v="254"/>
    <s v="Helse og mestring"/>
    <x v="1"/>
    <x v="1"/>
    <n v="1120"/>
    <n v="112000"/>
    <s v="Velferdstiltak / arrangementer -  ansatte"/>
    <n v="1868"/>
    <n v="0"/>
    <n v="1868"/>
    <n v="-1868"/>
  </r>
  <r>
    <x v="8"/>
    <s v="September"/>
    <n v="9"/>
    <s v="T3"/>
    <x v="1"/>
    <s v="Kommunal Boenhet"/>
    <n v="254"/>
    <s v="Helse og mestring"/>
    <x v="1"/>
    <x v="1"/>
    <n v="1120"/>
    <n v="112000"/>
    <s v="Velferdstiltak / arrangementer -  ansatte"/>
    <n v="1868"/>
    <n v="0"/>
    <n v="0"/>
    <n v="-1868"/>
  </r>
  <r>
    <x v="9"/>
    <s v="Oktober"/>
    <n v="10"/>
    <s v="T3"/>
    <x v="1"/>
    <s v="Kommunal Boenhet"/>
    <n v="254"/>
    <s v="Helse og mestring"/>
    <x v="1"/>
    <x v="1"/>
    <n v="1120"/>
    <n v="112000"/>
    <s v="Velferdstiltak / arrangementer -  ansatte"/>
    <n v="1868"/>
    <n v="0"/>
    <n v="0"/>
    <n v="-1868"/>
  </r>
  <r>
    <x v="10"/>
    <s v="November"/>
    <n v="11"/>
    <s v="T3"/>
    <x v="1"/>
    <s v="Kommunal Boenhet"/>
    <n v="254"/>
    <s v="Helse og mestring"/>
    <x v="1"/>
    <x v="1"/>
    <n v="1120"/>
    <n v="112000"/>
    <s v="Velferdstiltak / arrangementer -  ansatte"/>
    <n v="1868"/>
    <n v="0"/>
    <n v="0"/>
    <n v="-1868"/>
  </r>
  <r>
    <x v="11"/>
    <s v="Desember"/>
    <n v="12"/>
    <s v="T3"/>
    <x v="1"/>
    <s v="Kommunal Boenhet"/>
    <n v="254"/>
    <s v="Helse og mestring"/>
    <x v="1"/>
    <x v="1"/>
    <n v="1120"/>
    <n v="112000"/>
    <s v="Velferdstiltak / arrangementer -  ansatte"/>
    <n v="1452"/>
    <n v="0"/>
    <n v="0"/>
    <n v="-1452"/>
  </r>
  <r>
    <x v="0"/>
    <s v="Januar"/>
    <n v="1"/>
    <s v="T1"/>
    <x v="0"/>
    <s v="Kommunal Boenhet"/>
    <n v="254"/>
    <s v="Helse og mestring"/>
    <x v="1"/>
    <x v="1"/>
    <n v="1120"/>
    <n v="112002"/>
    <s v="Påskjønnelser - jfr reglement"/>
    <n v="340"/>
    <n v="491.15"/>
    <n v="-151.15"/>
    <n v="151.15"/>
  </r>
  <r>
    <x v="1"/>
    <s v="Februar"/>
    <n v="2"/>
    <s v="T1"/>
    <x v="0"/>
    <s v="Kommunal Boenhet"/>
    <n v="254"/>
    <s v="Helse og mestring"/>
    <x v="1"/>
    <x v="1"/>
    <n v="1120"/>
    <n v="112002"/>
    <s v="Påskjønnelser - jfr reglement"/>
    <n v="340"/>
    <n v="0"/>
    <n v="340"/>
    <n v="-340"/>
  </r>
  <r>
    <x v="2"/>
    <s v="Mars"/>
    <n v="3"/>
    <s v="T1"/>
    <x v="0"/>
    <s v="Kommunal Boenhet"/>
    <n v="254"/>
    <s v="Helse og mestring"/>
    <x v="1"/>
    <x v="1"/>
    <n v="1120"/>
    <n v="112002"/>
    <s v="Påskjønnelser - jfr reglement"/>
    <n v="340"/>
    <n v="0"/>
    <n v="340"/>
    <n v="-340"/>
  </r>
  <r>
    <x v="3"/>
    <s v="April"/>
    <n v="4"/>
    <s v="T1"/>
    <x v="0"/>
    <s v="Kommunal Boenhet"/>
    <n v="254"/>
    <s v="Helse og mestring"/>
    <x v="1"/>
    <x v="1"/>
    <n v="1120"/>
    <n v="112002"/>
    <s v="Påskjønnelser - jfr reglement"/>
    <n v="340"/>
    <n v="0"/>
    <n v="340"/>
    <n v="-340"/>
  </r>
  <r>
    <x v="4"/>
    <s v="Mai"/>
    <n v="5"/>
    <s v="T2"/>
    <x v="0"/>
    <s v="Kommunal Boenhet"/>
    <n v="254"/>
    <s v="Helse og mestring"/>
    <x v="1"/>
    <x v="1"/>
    <n v="1120"/>
    <n v="112002"/>
    <s v="Påskjønnelser - jfr reglement"/>
    <n v="340"/>
    <n v="0"/>
    <n v="340"/>
    <n v="-340"/>
  </r>
  <r>
    <x v="5"/>
    <s v="Juni"/>
    <n v="6"/>
    <s v="T2"/>
    <x v="0"/>
    <s v="Kommunal Boenhet"/>
    <n v="254"/>
    <s v="Helse og mestring"/>
    <x v="1"/>
    <x v="1"/>
    <n v="1120"/>
    <n v="112002"/>
    <s v="Påskjønnelser - jfr reglement"/>
    <n v="340"/>
    <n v="0"/>
    <n v="340"/>
    <n v="-340"/>
  </r>
  <r>
    <x v="6"/>
    <s v="Juli"/>
    <n v="7"/>
    <s v="T2"/>
    <x v="0"/>
    <s v="Kommunal Boenhet"/>
    <n v="254"/>
    <s v="Helse og mestring"/>
    <x v="1"/>
    <x v="1"/>
    <n v="1120"/>
    <n v="112002"/>
    <s v="Påskjønnelser - jfr reglement"/>
    <n v="340"/>
    <n v="0"/>
    <n v="340"/>
    <n v="-340"/>
  </r>
  <r>
    <x v="7"/>
    <s v="August"/>
    <n v="8"/>
    <s v="T2"/>
    <x v="0"/>
    <s v="Kommunal Boenhet"/>
    <n v="254"/>
    <s v="Helse og mestring"/>
    <x v="1"/>
    <x v="1"/>
    <n v="1120"/>
    <n v="112002"/>
    <s v="Påskjønnelser - jfr reglement"/>
    <n v="340"/>
    <n v="0"/>
    <n v="340"/>
    <n v="-340"/>
  </r>
  <r>
    <x v="8"/>
    <s v="September"/>
    <n v="9"/>
    <s v="T3"/>
    <x v="1"/>
    <s v="Kommunal Boenhet"/>
    <n v="254"/>
    <s v="Helse og mestring"/>
    <x v="1"/>
    <x v="1"/>
    <n v="1120"/>
    <n v="112002"/>
    <s v="Påskjønnelser - jfr reglement"/>
    <n v="340"/>
    <n v="0"/>
    <n v="0"/>
    <n v="-340"/>
  </r>
  <r>
    <x v="9"/>
    <s v="Oktober"/>
    <n v="10"/>
    <s v="T3"/>
    <x v="1"/>
    <s v="Kommunal Boenhet"/>
    <n v="254"/>
    <s v="Helse og mestring"/>
    <x v="1"/>
    <x v="1"/>
    <n v="1120"/>
    <n v="112002"/>
    <s v="Påskjønnelser - jfr reglement"/>
    <n v="340"/>
    <n v="0"/>
    <n v="0"/>
    <n v="-340"/>
  </r>
  <r>
    <x v="10"/>
    <s v="November"/>
    <n v="11"/>
    <s v="T3"/>
    <x v="1"/>
    <s v="Kommunal Boenhet"/>
    <n v="254"/>
    <s v="Helse og mestring"/>
    <x v="1"/>
    <x v="1"/>
    <n v="1120"/>
    <n v="112002"/>
    <s v="Påskjønnelser - jfr reglement"/>
    <n v="340"/>
    <n v="0"/>
    <n v="0"/>
    <n v="-340"/>
  </r>
  <r>
    <x v="11"/>
    <s v="Desember"/>
    <n v="12"/>
    <s v="T3"/>
    <x v="1"/>
    <s v="Kommunal Boenhet"/>
    <n v="254"/>
    <s v="Helse og mestring"/>
    <x v="1"/>
    <x v="1"/>
    <n v="1120"/>
    <n v="112002"/>
    <s v="Påskjønnelser - jfr reglement"/>
    <n v="260"/>
    <n v="0"/>
    <n v="0"/>
    <n v="-260"/>
  </r>
  <r>
    <x v="0"/>
    <s v="Januar"/>
    <n v="1"/>
    <s v="T1"/>
    <x v="0"/>
    <s v="Kommunal Boenhet"/>
    <n v="254"/>
    <s v="Helse og mestring"/>
    <x v="1"/>
    <x v="1"/>
    <n v="1120"/>
    <n v="112010"/>
    <s v="Arbeidsklær / verneutstyr / uniformer"/>
    <n v="0"/>
    <n v="1144.5"/>
    <n v="-1144.5"/>
    <n v="1144.5"/>
  </r>
  <r>
    <x v="1"/>
    <s v="Februar"/>
    <n v="2"/>
    <s v="T1"/>
    <x v="0"/>
    <s v="Kommunal Boenhet"/>
    <n v="254"/>
    <s v="Helse og mestring"/>
    <x v="1"/>
    <x v="1"/>
    <n v="1120"/>
    <n v="112010"/>
    <s v="Arbeidsklær / verneutstyr / uniformer"/>
    <n v="0"/>
    <n v="0"/>
    <n v="0"/>
    <n v="0"/>
  </r>
  <r>
    <x v="2"/>
    <s v="Mars"/>
    <n v="3"/>
    <s v="T1"/>
    <x v="0"/>
    <s v="Kommunal Boenhet"/>
    <n v="254"/>
    <s v="Helse og mestring"/>
    <x v="1"/>
    <x v="1"/>
    <n v="1120"/>
    <n v="112010"/>
    <s v="Arbeidsklær / verneutstyr / uniformer"/>
    <n v="0"/>
    <n v="0"/>
    <n v="0"/>
    <n v="0"/>
  </r>
  <r>
    <x v="3"/>
    <s v="April"/>
    <n v="4"/>
    <s v="T1"/>
    <x v="0"/>
    <s v="Kommunal Boenhet"/>
    <n v="254"/>
    <s v="Helse og mestring"/>
    <x v="1"/>
    <x v="1"/>
    <n v="1120"/>
    <n v="112010"/>
    <s v="Arbeidsklær / verneutstyr / uniformer"/>
    <n v="0"/>
    <n v="2289"/>
    <n v="-2289"/>
    <n v="2289"/>
  </r>
  <r>
    <x v="4"/>
    <s v="Mai"/>
    <n v="5"/>
    <s v="T2"/>
    <x v="0"/>
    <s v="Kommunal Boenhet"/>
    <n v="254"/>
    <s v="Helse og mestring"/>
    <x v="1"/>
    <x v="1"/>
    <n v="1120"/>
    <n v="112010"/>
    <s v="Arbeidsklær / verneutstyr / uniformer"/>
    <n v="0"/>
    <n v="0"/>
    <n v="0"/>
    <n v="0"/>
  </r>
  <r>
    <x v="5"/>
    <s v="Juni"/>
    <n v="6"/>
    <s v="T2"/>
    <x v="0"/>
    <s v="Kommunal Boenhet"/>
    <n v="254"/>
    <s v="Helse og mestring"/>
    <x v="1"/>
    <x v="1"/>
    <n v="1120"/>
    <n v="112010"/>
    <s v="Arbeidsklær / verneutstyr / uniformer"/>
    <n v="0"/>
    <n v="0"/>
    <n v="0"/>
    <n v="0"/>
  </r>
  <r>
    <x v="6"/>
    <s v="Juli"/>
    <n v="7"/>
    <s v="T2"/>
    <x v="0"/>
    <s v="Kommunal Boenhet"/>
    <n v="254"/>
    <s v="Helse og mestring"/>
    <x v="1"/>
    <x v="1"/>
    <n v="1120"/>
    <n v="112010"/>
    <s v="Arbeidsklær / verneutstyr / uniformer"/>
    <n v="0"/>
    <n v="0"/>
    <n v="0"/>
    <n v="0"/>
  </r>
  <r>
    <x v="7"/>
    <s v="August"/>
    <n v="8"/>
    <s v="T2"/>
    <x v="0"/>
    <s v="Kommunal Boenhet"/>
    <n v="254"/>
    <s v="Helse og mestring"/>
    <x v="1"/>
    <x v="1"/>
    <n v="1120"/>
    <n v="112010"/>
    <s v="Arbeidsklær / verneutstyr / uniformer"/>
    <n v="0"/>
    <n v="881"/>
    <n v="-881"/>
    <n v="881"/>
  </r>
  <r>
    <x v="8"/>
    <s v="September"/>
    <n v="9"/>
    <s v="T3"/>
    <x v="1"/>
    <s v="Kommunal Boenhet"/>
    <n v="254"/>
    <s v="Helse og mestring"/>
    <x v="1"/>
    <x v="1"/>
    <n v="1120"/>
    <n v="112010"/>
    <s v="Arbeidsklær / verneutstyr / uniformer"/>
    <n v="0"/>
    <n v="0"/>
    <n v="0"/>
    <n v="0"/>
  </r>
  <r>
    <x v="9"/>
    <s v="Oktober"/>
    <n v="10"/>
    <s v="T3"/>
    <x v="1"/>
    <s v="Kommunal Boenhet"/>
    <n v="254"/>
    <s v="Helse og mestring"/>
    <x v="1"/>
    <x v="1"/>
    <n v="1120"/>
    <n v="112010"/>
    <s v="Arbeidsklær / verneutstyr / uniformer"/>
    <n v="0"/>
    <n v="0"/>
    <n v="0"/>
    <n v="0"/>
  </r>
  <r>
    <x v="10"/>
    <s v="November"/>
    <n v="11"/>
    <s v="T3"/>
    <x v="1"/>
    <s v="Kommunal Boenhet"/>
    <n v="254"/>
    <s v="Helse og mestring"/>
    <x v="1"/>
    <x v="1"/>
    <n v="1120"/>
    <n v="112010"/>
    <s v="Arbeidsklær / verneutstyr / uniformer"/>
    <n v="0"/>
    <n v="0"/>
    <n v="0"/>
    <n v="0"/>
  </r>
  <r>
    <x v="11"/>
    <s v="Desember"/>
    <n v="12"/>
    <s v="T3"/>
    <x v="1"/>
    <s v="Kommunal Boenhet"/>
    <n v="254"/>
    <s v="Helse og mestring"/>
    <x v="1"/>
    <x v="1"/>
    <n v="1120"/>
    <n v="112010"/>
    <s v="Arbeidsklær / verneutstyr / uniformer"/>
    <n v="0"/>
    <n v="0"/>
    <n v="0"/>
    <n v="0"/>
  </r>
  <r>
    <x v="0"/>
    <s v="Januar"/>
    <n v="1"/>
    <s v="T1"/>
    <x v="0"/>
    <s v="Kommunal Boenhet"/>
    <n v="254"/>
    <s v="Helse og mestring"/>
    <x v="1"/>
    <x v="1"/>
    <n v="1120"/>
    <n v="112012"/>
    <s v="GAVE EKOM USKATT (LT 4800)"/>
    <n v="0"/>
    <n v="0"/>
    <n v="0"/>
    <n v="0"/>
  </r>
  <r>
    <x v="1"/>
    <s v="Februar"/>
    <n v="2"/>
    <s v="T1"/>
    <x v="0"/>
    <s v="Kommunal Boenhet"/>
    <n v="254"/>
    <s v="Helse og mestring"/>
    <x v="1"/>
    <x v="1"/>
    <n v="1120"/>
    <n v="112012"/>
    <s v="GAVE EKOM USKATT (LT 4800)"/>
    <n v="0"/>
    <n v="732"/>
    <n v="-732"/>
    <n v="732"/>
  </r>
  <r>
    <x v="2"/>
    <s v="Mars"/>
    <n v="3"/>
    <s v="T1"/>
    <x v="0"/>
    <s v="Kommunal Boenhet"/>
    <n v="254"/>
    <s v="Helse og mestring"/>
    <x v="1"/>
    <x v="1"/>
    <n v="1120"/>
    <n v="112012"/>
    <s v="GAVE EKOM USKATT (LT 4800)"/>
    <n v="0"/>
    <n v="0"/>
    <n v="0"/>
    <n v="0"/>
  </r>
  <r>
    <x v="3"/>
    <s v="April"/>
    <n v="4"/>
    <s v="T1"/>
    <x v="0"/>
    <s v="Kommunal Boenhet"/>
    <n v="254"/>
    <s v="Helse og mestring"/>
    <x v="1"/>
    <x v="1"/>
    <n v="1120"/>
    <n v="112012"/>
    <s v="GAVE EKOM USKATT (LT 4800)"/>
    <n v="0"/>
    <n v="1098"/>
    <n v="-1098"/>
    <n v="1098"/>
  </r>
  <r>
    <x v="4"/>
    <s v="Mai"/>
    <n v="5"/>
    <s v="T2"/>
    <x v="0"/>
    <s v="Kommunal Boenhet"/>
    <n v="254"/>
    <s v="Helse og mestring"/>
    <x v="1"/>
    <x v="1"/>
    <n v="1120"/>
    <n v="112012"/>
    <s v="GAVE EKOM USKATT (LT 4800)"/>
    <n v="0"/>
    <n v="366"/>
    <n v="-366"/>
    <n v="366"/>
  </r>
  <r>
    <x v="5"/>
    <s v="Juni"/>
    <n v="6"/>
    <s v="T2"/>
    <x v="0"/>
    <s v="Kommunal Boenhet"/>
    <n v="254"/>
    <s v="Helse og mestring"/>
    <x v="1"/>
    <x v="1"/>
    <n v="1120"/>
    <n v="112012"/>
    <s v="GAVE EKOM USKATT (LT 4800)"/>
    <n v="0"/>
    <n v="0"/>
    <n v="0"/>
    <n v="0"/>
  </r>
  <r>
    <x v="6"/>
    <s v="Juli"/>
    <n v="7"/>
    <s v="T2"/>
    <x v="0"/>
    <s v="Kommunal Boenhet"/>
    <n v="254"/>
    <s v="Helse og mestring"/>
    <x v="1"/>
    <x v="1"/>
    <n v="1120"/>
    <n v="112012"/>
    <s v="GAVE EKOM USKATT (LT 4800)"/>
    <n v="0"/>
    <n v="366"/>
    <n v="-366"/>
    <n v="366"/>
  </r>
  <r>
    <x v="7"/>
    <s v="August"/>
    <n v="8"/>
    <s v="T2"/>
    <x v="0"/>
    <s v="Kommunal Boenhet"/>
    <n v="254"/>
    <s v="Helse og mestring"/>
    <x v="1"/>
    <x v="1"/>
    <n v="1120"/>
    <n v="112012"/>
    <s v="GAVE EKOM USKATT (LT 4800)"/>
    <n v="0"/>
    <n v="366"/>
    <n v="-366"/>
    <n v="366"/>
  </r>
  <r>
    <x v="8"/>
    <s v="September"/>
    <n v="9"/>
    <s v="T3"/>
    <x v="1"/>
    <s v="Kommunal Boenhet"/>
    <n v="254"/>
    <s v="Helse og mestring"/>
    <x v="1"/>
    <x v="1"/>
    <n v="1120"/>
    <n v="112012"/>
    <s v="GAVE EKOM USKATT (LT 4800)"/>
    <n v="0"/>
    <n v="0"/>
    <n v="0"/>
    <n v="0"/>
  </r>
  <r>
    <x v="9"/>
    <s v="Oktober"/>
    <n v="10"/>
    <s v="T3"/>
    <x v="1"/>
    <s v="Kommunal Boenhet"/>
    <n v="254"/>
    <s v="Helse og mestring"/>
    <x v="1"/>
    <x v="1"/>
    <n v="1120"/>
    <n v="112012"/>
    <s v="GAVE EKOM USKATT (LT 4800)"/>
    <n v="0"/>
    <n v="0"/>
    <n v="0"/>
    <n v="0"/>
  </r>
  <r>
    <x v="10"/>
    <s v="November"/>
    <n v="11"/>
    <s v="T3"/>
    <x v="1"/>
    <s v="Kommunal Boenhet"/>
    <n v="254"/>
    <s v="Helse og mestring"/>
    <x v="1"/>
    <x v="1"/>
    <n v="1120"/>
    <n v="112012"/>
    <s v="GAVE EKOM USKATT (LT 4800)"/>
    <n v="0"/>
    <n v="0"/>
    <n v="0"/>
    <n v="0"/>
  </r>
  <r>
    <x v="11"/>
    <s v="Desember"/>
    <n v="12"/>
    <s v="T3"/>
    <x v="1"/>
    <s v="Kommunal Boenhet"/>
    <n v="254"/>
    <s v="Helse og mestring"/>
    <x v="1"/>
    <x v="1"/>
    <n v="1120"/>
    <n v="112012"/>
    <s v="GAVE EKOM USKATT (LT 4800)"/>
    <n v="0"/>
    <n v="0"/>
    <n v="0"/>
    <n v="0"/>
  </r>
  <r>
    <x v="0"/>
    <s v="Januar"/>
    <n v="1"/>
    <s v="T1"/>
    <x v="0"/>
    <s v="Kommunal Boenhet"/>
    <n v="254"/>
    <s v="Helse og mestring"/>
    <x v="1"/>
    <x v="1"/>
    <n v="1120"/>
    <n v="112013"/>
    <s v="MOTPOST GAVE EKOM USKATT (LT 4802)"/>
    <n v="0"/>
    <n v="0"/>
    <n v="0"/>
    <n v="0"/>
  </r>
  <r>
    <x v="1"/>
    <s v="Februar"/>
    <n v="2"/>
    <s v="T1"/>
    <x v="0"/>
    <s v="Kommunal Boenhet"/>
    <n v="254"/>
    <s v="Helse og mestring"/>
    <x v="1"/>
    <x v="1"/>
    <n v="1120"/>
    <n v="112013"/>
    <s v="MOTPOST GAVE EKOM USKATT (LT 4802)"/>
    <n v="0"/>
    <n v="-732"/>
    <n v="732"/>
    <n v="-732"/>
  </r>
  <r>
    <x v="2"/>
    <s v="Mars"/>
    <n v="3"/>
    <s v="T1"/>
    <x v="0"/>
    <s v="Kommunal Boenhet"/>
    <n v="254"/>
    <s v="Helse og mestring"/>
    <x v="1"/>
    <x v="1"/>
    <n v="1120"/>
    <n v="112013"/>
    <s v="MOTPOST GAVE EKOM USKATT (LT 4802)"/>
    <n v="0"/>
    <n v="0"/>
    <n v="0"/>
    <n v="0"/>
  </r>
  <r>
    <x v="3"/>
    <s v="April"/>
    <n v="4"/>
    <s v="T1"/>
    <x v="0"/>
    <s v="Kommunal Boenhet"/>
    <n v="254"/>
    <s v="Helse og mestring"/>
    <x v="1"/>
    <x v="1"/>
    <n v="1120"/>
    <n v="112013"/>
    <s v="MOTPOST GAVE EKOM USKATT (LT 4802)"/>
    <n v="0"/>
    <n v="-1098"/>
    <n v="1098"/>
    <n v="-1098"/>
  </r>
  <r>
    <x v="4"/>
    <s v="Mai"/>
    <n v="5"/>
    <s v="T2"/>
    <x v="0"/>
    <s v="Kommunal Boenhet"/>
    <n v="254"/>
    <s v="Helse og mestring"/>
    <x v="1"/>
    <x v="1"/>
    <n v="1120"/>
    <n v="112013"/>
    <s v="MOTPOST GAVE EKOM USKATT (LT 4802)"/>
    <n v="0"/>
    <n v="-366"/>
    <n v="366"/>
    <n v="-366"/>
  </r>
  <r>
    <x v="5"/>
    <s v="Juni"/>
    <n v="6"/>
    <s v="T2"/>
    <x v="0"/>
    <s v="Kommunal Boenhet"/>
    <n v="254"/>
    <s v="Helse og mestring"/>
    <x v="1"/>
    <x v="1"/>
    <n v="1120"/>
    <n v="112013"/>
    <s v="MOTPOST GAVE EKOM USKATT (LT 4802)"/>
    <n v="0"/>
    <n v="0"/>
    <n v="0"/>
    <n v="0"/>
  </r>
  <r>
    <x v="6"/>
    <s v="Juli"/>
    <n v="7"/>
    <s v="T2"/>
    <x v="0"/>
    <s v="Kommunal Boenhet"/>
    <n v="254"/>
    <s v="Helse og mestring"/>
    <x v="1"/>
    <x v="1"/>
    <n v="1120"/>
    <n v="112013"/>
    <s v="MOTPOST GAVE EKOM USKATT (LT 4802)"/>
    <n v="0"/>
    <n v="-366"/>
    <n v="366"/>
    <n v="-366"/>
  </r>
  <r>
    <x v="7"/>
    <s v="August"/>
    <n v="8"/>
    <s v="T2"/>
    <x v="0"/>
    <s v="Kommunal Boenhet"/>
    <n v="254"/>
    <s v="Helse og mestring"/>
    <x v="1"/>
    <x v="1"/>
    <n v="1120"/>
    <n v="112013"/>
    <s v="MOTPOST GAVE EKOM USKATT (LT 4802)"/>
    <n v="0"/>
    <n v="-366"/>
    <n v="366"/>
    <n v="-366"/>
  </r>
  <r>
    <x v="8"/>
    <s v="September"/>
    <n v="9"/>
    <s v="T3"/>
    <x v="1"/>
    <s v="Kommunal Boenhet"/>
    <n v="254"/>
    <s v="Helse og mestring"/>
    <x v="1"/>
    <x v="1"/>
    <n v="1120"/>
    <n v="112013"/>
    <s v="MOTPOST GAVE EKOM USKATT (LT 4802)"/>
    <n v="0"/>
    <n v="0"/>
    <n v="0"/>
    <n v="0"/>
  </r>
  <r>
    <x v="9"/>
    <s v="Oktober"/>
    <n v="10"/>
    <s v="T3"/>
    <x v="1"/>
    <s v="Kommunal Boenhet"/>
    <n v="254"/>
    <s v="Helse og mestring"/>
    <x v="1"/>
    <x v="1"/>
    <n v="1120"/>
    <n v="112013"/>
    <s v="MOTPOST GAVE EKOM USKATT (LT 4802)"/>
    <n v="0"/>
    <n v="0"/>
    <n v="0"/>
    <n v="0"/>
  </r>
  <r>
    <x v="10"/>
    <s v="November"/>
    <n v="11"/>
    <s v="T3"/>
    <x v="1"/>
    <s v="Kommunal Boenhet"/>
    <n v="254"/>
    <s v="Helse og mestring"/>
    <x v="1"/>
    <x v="1"/>
    <n v="1120"/>
    <n v="112013"/>
    <s v="MOTPOST GAVE EKOM USKATT (LT 4802)"/>
    <n v="0"/>
    <n v="0"/>
    <n v="0"/>
    <n v="0"/>
  </r>
  <r>
    <x v="11"/>
    <s v="Desember"/>
    <n v="12"/>
    <s v="T3"/>
    <x v="1"/>
    <s v="Kommunal Boenhet"/>
    <n v="254"/>
    <s v="Helse og mestring"/>
    <x v="1"/>
    <x v="1"/>
    <n v="1120"/>
    <n v="112013"/>
    <s v="MOTPOST GAVE EKOM USKATT (LT 4802)"/>
    <n v="0"/>
    <n v="0"/>
    <n v="0"/>
    <n v="0"/>
  </r>
  <r>
    <x v="0"/>
    <s v="Januar"/>
    <n v="1"/>
    <s v="T1"/>
    <x v="0"/>
    <s v="Kommunal Boenhet"/>
    <n v="254"/>
    <s v="Helse og mestring"/>
    <x v="1"/>
    <x v="1"/>
    <n v="1120"/>
    <n v="112020"/>
    <s v="Plast og papir"/>
    <n v="0"/>
    <n v="786.64"/>
    <n v="-786.64"/>
    <n v="786.64"/>
  </r>
  <r>
    <x v="1"/>
    <s v="Februar"/>
    <n v="2"/>
    <s v="T1"/>
    <x v="0"/>
    <s v="Kommunal Boenhet"/>
    <n v="254"/>
    <s v="Helse og mestring"/>
    <x v="1"/>
    <x v="1"/>
    <n v="1120"/>
    <n v="112020"/>
    <s v="Plast og papir"/>
    <n v="0"/>
    <n v="0"/>
    <n v="0"/>
    <n v="0"/>
  </r>
  <r>
    <x v="2"/>
    <s v="Mars"/>
    <n v="3"/>
    <s v="T1"/>
    <x v="0"/>
    <s v="Kommunal Boenhet"/>
    <n v="254"/>
    <s v="Helse og mestring"/>
    <x v="1"/>
    <x v="1"/>
    <n v="1120"/>
    <n v="112020"/>
    <s v="Plast og papir"/>
    <n v="0"/>
    <n v="0"/>
    <n v="0"/>
    <n v="0"/>
  </r>
  <r>
    <x v="3"/>
    <s v="April"/>
    <n v="4"/>
    <s v="T1"/>
    <x v="0"/>
    <s v="Kommunal Boenhet"/>
    <n v="254"/>
    <s v="Helse og mestring"/>
    <x v="1"/>
    <x v="1"/>
    <n v="1120"/>
    <n v="112020"/>
    <s v="Plast og papir"/>
    <n v="0"/>
    <n v="0"/>
    <n v="0"/>
    <n v="0"/>
  </r>
  <r>
    <x v="4"/>
    <s v="Mai"/>
    <n v="5"/>
    <s v="T2"/>
    <x v="0"/>
    <s v="Kommunal Boenhet"/>
    <n v="254"/>
    <s v="Helse og mestring"/>
    <x v="1"/>
    <x v="1"/>
    <n v="1120"/>
    <n v="112020"/>
    <s v="Plast og papir"/>
    <n v="0"/>
    <n v="0"/>
    <n v="0"/>
    <n v="0"/>
  </r>
  <r>
    <x v="5"/>
    <s v="Juni"/>
    <n v="6"/>
    <s v="T2"/>
    <x v="0"/>
    <s v="Kommunal Boenhet"/>
    <n v="254"/>
    <s v="Helse og mestring"/>
    <x v="1"/>
    <x v="1"/>
    <n v="1120"/>
    <n v="112020"/>
    <s v="Plast og papir"/>
    <n v="0"/>
    <n v="0"/>
    <n v="0"/>
    <n v="0"/>
  </r>
  <r>
    <x v="6"/>
    <s v="Juli"/>
    <n v="7"/>
    <s v="T2"/>
    <x v="0"/>
    <s v="Kommunal Boenhet"/>
    <n v="254"/>
    <s v="Helse og mestring"/>
    <x v="1"/>
    <x v="1"/>
    <n v="1120"/>
    <n v="112020"/>
    <s v="Plast og papir"/>
    <n v="0"/>
    <n v="0"/>
    <n v="0"/>
    <n v="0"/>
  </r>
  <r>
    <x v="7"/>
    <s v="August"/>
    <n v="8"/>
    <s v="T2"/>
    <x v="0"/>
    <s v="Kommunal Boenhet"/>
    <n v="254"/>
    <s v="Helse og mestring"/>
    <x v="1"/>
    <x v="1"/>
    <n v="1120"/>
    <n v="112020"/>
    <s v="Plast og papir"/>
    <n v="0"/>
    <n v="0"/>
    <n v="0"/>
    <n v="0"/>
  </r>
  <r>
    <x v="8"/>
    <s v="September"/>
    <n v="9"/>
    <s v="T3"/>
    <x v="1"/>
    <s v="Kommunal Boenhet"/>
    <n v="254"/>
    <s v="Helse og mestring"/>
    <x v="1"/>
    <x v="1"/>
    <n v="1120"/>
    <n v="112020"/>
    <s v="Plast og papir"/>
    <n v="0"/>
    <n v="0"/>
    <n v="0"/>
    <n v="0"/>
  </r>
  <r>
    <x v="9"/>
    <s v="Oktober"/>
    <n v="10"/>
    <s v="T3"/>
    <x v="1"/>
    <s v="Kommunal Boenhet"/>
    <n v="254"/>
    <s v="Helse og mestring"/>
    <x v="1"/>
    <x v="1"/>
    <n v="1120"/>
    <n v="112020"/>
    <s v="Plast og papir"/>
    <n v="0"/>
    <n v="0"/>
    <n v="0"/>
    <n v="0"/>
  </r>
  <r>
    <x v="10"/>
    <s v="November"/>
    <n v="11"/>
    <s v="T3"/>
    <x v="1"/>
    <s v="Kommunal Boenhet"/>
    <n v="254"/>
    <s v="Helse og mestring"/>
    <x v="1"/>
    <x v="1"/>
    <n v="1120"/>
    <n v="112020"/>
    <s v="Plast og papir"/>
    <n v="0"/>
    <n v="0"/>
    <n v="0"/>
    <n v="0"/>
  </r>
  <r>
    <x v="11"/>
    <s v="Desember"/>
    <n v="12"/>
    <s v="T3"/>
    <x v="1"/>
    <s v="Kommunal Boenhet"/>
    <n v="254"/>
    <s v="Helse og mestring"/>
    <x v="1"/>
    <x v="1"/>
    <n v="1120"/>
    <n v="112020"/>
    <s v="Plast og papir"/>
    <n v="0"/>
    <n v="0"/>
    <n v="0"/>
    <n v="0"/>
  </r>
  <r>
    <x v="0"/>
    <s v="Januar"/>
    <n v="1"/>
    <s v="T1"/>
    <x v="0"/>
    <s v="Kommunal Boenhet"/>
    <n v="254"/>
    <s v="Helse og mestring"/>
    <x v="1"/>
    <x v="1"/>
    <n v="1120"/>
    <n v="112021"/>
    <s v="Renholdsutstyr"/>
    <n v="1868"/>
    <n v="805.51"/>
    <n v="1062.49"/>
    <n v="-1062.49"/>
  </r>
  <r>
    <x v="1"/>
    <s v="Februar"/>
    <n v="2"/>
    <s v="T1"/>
    <x v="0"/>
    <s v="Kommunal Boenhet"/>
    <n v="254"/>
    <s v="Helse og mestring"/>
    <x v="1"/>
    <x v="1"/>
    <n v="1120"/>
    <n v="112021"/>
    <s v="Renholdsutstyr"/>
    <n v="1868"/>
    <n v="0"/>
    <n v="1868"/>
    <n v="-1868"/>
  </r>
  <r>
    <x v="2"/>
    <s v="Mars"/>
    <n v="3"/>
    <s v="T1"/>
    <x v="0"/>
    <s v="Kommunal Boenhet"/>
    <n v="254"/>
    <s v="Helse og mestring"/>
    <x v="1"/>
    <x v="1"/>
    <n v="1120"/>
    <n v="112021"/>
    <s v="Renholdsutstyr"/>
    <n v="1868"/>
    <n v="0"/>
    <n v="1868"/>
    <n v="-1868"/>
  </r>
  <r>
    <x v="3"/>
    <s v="April"/>
    <n v="4"/>
    <s v="T1"/>
    <x v="0"/>
    <s v="Kommunal Boenhet"/>
    <n v="254"/>
    <s v="Helse og mestring"/>
    <x v="1"/>
    <x v="1"/>
    <n v="1120"/>
    <n v="112021"/>
    <s v="Renholdsutstyr"/>
    <n v="1868"/>
    <n v="5108.25"/>
    <n v="-3240.25"/>
    <n v="3240.25"/>
  </r>
  <r>
    <x v="4"/>
    <s v="Mai"/>
    <n v="5"/>
    <s v="T2"/>
    <x v="0"/>
    <s v="Kommunal Boenhet"/>
    <n v="254"/>
    <s v="Helse og mestring"/>
    <x v="1"/>
    <x v="1"/>
    <n v="1120"/>
    <n v="112021"/>
    <s v="Renholdsutstyr"/>
    <n v="1868"/>
    <n v="1999.8"/>
    <n v="-131.8"/>
    <n v="131.8"/>
  </r>
  <r>
    <x v="5"/>
    <s v="Juni"/>
    <n v="6"/>
    <s v="T2"/>
    <x v="0"/>
    <s v="Kommunal Boenhet"/>
    <n v="254"/>
    <s v="Helse og mestring"/>
    <x v="1"/>
    <x v="1"/>
    <n v="1120"/>
    <n v="112021"/>
    <s v="Renholdsutstyr"/>
    <n v="1868"/>
    <n v="2043.3"/>
    <n v="-175.3"/>
    <n v="175.3"/>
  </r>
  <r>
    <x v="6"/>
    <s v="Juli"/>
    <n v="7"/>
    <s v="T2"/>
    <x v="0"/>
    <s v="Kommunal Boenhet"/>
    <n v="254"/>
    <s v="Helse og mestring"/>
    <x v="1"/>
    <x v="1"/>
    <n v="1120"/>
    <n v="112021"/>
    <s v="Renholdsutstyr"/>
    <n v="1868"/>
    <n v="0"/>
    <n v="1868"/>
    <n v="-1868"/>
  </r>
  <r>
    <x v="7"/>
    <s v="August"/>
    <n v="8"/>
    <s v="T2"/>
    <x v="0"/>
    <s v="Kommunal Boenhet"/>
    <n v="254"/>
    <s v="Helse og mestring"/>
    <x v="1"/>
    <x v="1"/>
    <n v="1120"/>
    <n v="112021"/>
    <s v="Renholdsutstyr"/>
    <n v="1868"/>
    <n v="0"/>
    <n v="1868"/>
    <n v="-1868"/>
  </r>
  <r>
    <x v="8"/>
    <s v="September"/>
    <n v="9"/>
    <s v="T3"/>
    <x v="1"/>
    <s v="Kommunal Boenhet"/>
    <n v="254"/>
    <s v="Helse og mestring"/>
    <x v="1"/>
    <x v="1"/>
    <n v="1120"/>
    <n v="112021"/>
    <s v="Renholdsutstyr"/>
    <n v="1868"/>
    <n v="0"/>
    <n v="0"/>
    <n v="-1868"/>
  </r>
  <r>
    <x v="9"/>
    <s v="Oktober"/>
    <n v="10"/>
    <s v="T3"/>
    <x v="1"/>
    <s v="Kommunal Boenhet"/>
    <n v="254"/>
    <s v="Helse og mestring"/>
    <x v="1"/>
    <x v="1"/>
    <n v="1120"/>
    <n v="112021"/>
    <s v="Renholdsutstyr"/>
    <n v="1868"/>
    <n v="0"/>
    <n v="0"/>
    <n v="-1868"/>
  </r>
  <r>
    <x v="10"/>
    <s v="November"/>
    <n v="11"/>
    <s v="T3"/>
    <x v="1"/>
    <s v="Kommunal Boenhet"/>
    <n v="254"/>
    <s v="Helse og mestring"/>
    <x v="1"/>
    <x v="1"/>
    <n v="1120"/>
    <n v="112021"/>
    <s v="Renholdsutstyr"/>
    <n v="1868"/>
    <n v="0"/>
    <n v="0"/>
    <n v="-1868"/>
  </r>
  <r>
    <x v="11"/>
    <s v="Desember"/>
    <n v="12"/>
    <s v="T3"/>
    <x v="1"/>
    <s v="Kommunal Boenhet"/>
    <n v="254"/>
    <s v="Helse og mestring"/>
    <x v="1"/>
    <x v="1"/>
    <n v="1120"/>
    <n v="112021"/>
    <s v="Renholdsutstyr"/>
    <n v="1452"/>
    <n v="0"/>
    <n v="0"/>
    <n v="-1452"/>
  </r>
  <r>
    <x v="0"/>
    <s v="Januar"/>
    <n v="1"/>
    <s v="T1"/>
    <x v="0"/>
    <s v="Kommunal Boenhet"/>
    <n v="254"/>
    <s v="Helse og mestring"/>
    <x v="1"/>
    <x v="1"/>
    <n v="1120"/>
    <n v="112022"/>
    <s v="Rengjøringsmidler"/>
    <n v="850"/>
    <n v="7132.57"/>
    <n v="-6282.57"/>
    <n v="6282.57"/>
  </r>
  <r>
    <x v="1"/>
    <s v="Februar"/>
    <n v="2"/>
    <s v="T1"/>
    <x v="0"/>
    <s v="Kommunal Boenhet"/>
    <n v="254"/>
    <s v="Helse og mestring"/>
    <x v="1"/>
    <x v="1"/>
    <n v="1120"/>
    <n v="112022"/>
    <s v="Rengjøringsmidler"/>
    <n v="850"/>
    <n v="0"/>
    <n v="850"/>
    <n v="-850"/>
  </r>
  <r>
    <x v="2"/>
    <s v="Mars"/>
    <n v="3"/>
    <s v="T1"/>
    <x v="0"/>
    <s v="Kommunal Boenhet"/>
    <n v="254"/>
    <s v="Helse og mestring"/>
    <x v="1"/>
    <x v="1"/>
    <n v="1120"/>
    <n v="112022"/>
    <s v="Rengjøringsmidler"/>
    <n v="850"/>
    <n v="0"/>
    <n v="850"/>
    <n v="-850"/>
  </r>
  <r>
    <x v="3"/>
    <s v="April"/>
    <n v="4"/>
    <s v="T1"/>
    <x v="0"/>
    <s v="Kommunal Boenhet"/>
    <n v="254"/>
    <s v="Helse og mestring"/>
    <x v="1"/>
    <x v="1"/>
    <n v="1120"/>
    <n v="112022"/>
    <s v="Rengjøringsmidler"/>
    <n v="850"/>
    <n v="0"/>
    <n v="850"/>
    <n v="-850"/>
  </r>
  <r>
    <x v="4"/>
    <s v="Mai"/>
    <n v="5"/>
    <s v="T2"/>
    <x v="0"/>
    <s v="Kommunal Boenhet"/>
    <n v="254"/>
    <s v="Helse og mestring"/>
    <x v="1"/>
    <x v="1"/>
    <n v="1120"/>
    <n v="112022"/>
    <s v="Rengjøringsmidler"/>
    <n v="850"/>
    <n v="0"/>
    <n v="850"/>
    <n v="-850"/>
  </r>
  <r>
    <x v="5"/>
    <s v="Juni"/>
    <n v="6"/>
    <s v="T2"/>
    <x v="0"/>
    <s v="Kommunal Boenhet"/>
    <n v="254"/>
    <s v="Helse og mestring"/>
    <x v="1"/>
    <x v="1"/>
    <n v="1120"/>
    <n v="112022"/>
    <s v="Rengjøringsmidler"/>
    <n v="850"/>
    <n v="0"/>
    <n v="850"/>
    <n v="-850"/>
  </r>
  <r>
    <x v="6"/>
    <s v="Juli"/>
    <n v="7"/>
    <s v="T2"/>
    <x v="0"/>
    <s v="Kommunal Boenhet"/>
    <n v="254"/>
    <s v="Helse og mestring"/>
    <x v="1"/>
    <x v="1"/>
    <n v="1120"/>
    <n v="112022"/>
    <s v="Rengjøringsmidler"/>
    <n v="850"/>
    <n v="0"/>
    <n v="850"/>
    <n v="-850"/>
  </r>
  <r>
    <x v="7"/>
    <s v="August"/>
    <n v="8"/>
    <s v="T2"/>
    <x v="0"/>
    <s v="Kommunal Boenhet"/>
    <n v="254"/>
    <s v="Helse og mestring"/>
    <x v="1"/>
    <x v="1"/>
    <n v="1120"/>
    <n v="112022"/>
    <s v="Rengjøringsmidler"/>
    <n v="850"/>
    <n v="0"/>
    <n v="850"/>
    <n v="-850"/>
  </r>
  <r>
    <x v="8"/>
    <s v="September"/>
    <n v="9"/>
    <s v="T3"/>
    <x v="1"/>
    <s v="Kommunal Boenhet"/>
    <n v="254"/>
    <s v="Helse og mestring"/>
    <x v="1"/>
    <x v="1"/>
    <n v="1120"/>
    <n v="112022"/>
    <s v="Rengjøringsmidler"/>
    <n v="850"/>
    <n v="0"/>
    <n v="0"/>
    <n v="-850"/>
  </r>
  <r>
    <x v="9"/>
    <s v="Oktober"/>
    <n v="10"/>
    <s v="T3"/>
    <x v="1"/>
    <s v="Kommunal Boenhet"/>
    <n v="254"/>
    <s v="Helse og mestring"/>
    <x v="1"/>
    <x v="1"/>
    <n v="1120"/>
    <n v="112022"/>
    <s v="Rengjøringsmidler"/>
    <n v="850"/>
    <n v="0"/>
    <n v="0"/>
    <n v="-850"/>
  </r>
  <r>
    <x v="10"/>
    <s v="November"/>
    <n v="11"/>
    <s v="T3"/>
    <x v="1"/>
    <s v="Kommunal Boenhet"/>
    <n v="254"/>
    <s v="Helse og mestring"/>
    <x v="1"/>
    <x v="1"/>
    <n v="1120"/>
    <n v="112022"/>
    <s v="Rengjøringsmidler"/>
    <n v="850"/>
    <n v="0"/>
    <n v="0"/>
    <n v="-850"/>
  </r>
  <r>
    <x v="11"/>
    <s v="Desember"/>
    <n v="12"/>
    <s v="T3"/>
    <x v="1"/>
    <s v="Kommunal Boenhet"/>
    <n v="254"/>
    <s v="Helse og mestring"/>
    <x v="1"/>
    <x v="1"/>
    <n v="1120"/>
    <n v="112022"/>
    <s v="Rengjøringsmidler"/>
    <n v="650"/>
    <n v="0"/>
    <n v="0"/>
    <n v="-650"/>
  </r>
  <r>
    <x v="0"/>
    <s v="Januar"/>
    <n v="1"/>
    <s v="T1"/>
    <x v="0"/>
    <s v="Kommunal Boenhet"/>
    <n v="254"/>
    <s v="Helse og mestring"/>
    <x v="1"/>
    <x v="1"/>
    <n v="1120"/>
    <n v="112024"/>
    <s v="Tekstiler og gardiner"/>
    <n v="0"/>
    <n v="0"/>
    <n v="0"/>
    <n v="0"/>
  </r>
  <r>
    <x v="1"/>
    <s v="Februar"/>
    <n v="2"/>
    <s v="T1"/>
    <x v="0"/>
    <s v="Kommunal Boenhet"/>
    <n v="254"/>
    <s v="Helse og mestring"/>
    <x v="1"/>
    <x v="1"/>
    <n v="1120"/>
    <n v="112024"/>
    <s v="Tekstiler og gardiner"/>
    <n v="0"/>
    <n v="0"/>
    <n v="0"/>
    <n v="0"/>
  </r>
  <r>
    <x v="2"/>
    <s v="Mars"/>
    <n v="3"/>
    <s v="T1"/>
    <x v="0"/>
    <s v="Kommunal Boenhet"/>
    <n v="254"/>
    <s v="Helse og mestring"/>
    <x v="1"/>
    <x v="1"/>
    <n v="1120"/>
    <n v="112024"/>
    <s v="Tekstiler og gardiner"/>
    <n v="0"/>
    <n v="0"/>
    <n v="0"/>
    <n v="0"/>
  </r>
  <r>
    <x v="3"/>
    <s v="April"/>
    <n v="4"/>
    <s v="T1"/>
    <x v="0"/>
    <s v="Kommunal Boenhet"/>
    <n v="254"/>
    <s v="Helse og mestring"/>
    <x v="1"/>
    <x v="1"/>
    <n v="1120"/>
    <n v="112024"/>
    <s v="Tekstiler og gardiner"/>
    <n v="0"/>
    <n v="0"/>
    <n v="0"/>
    <n v="0"/>
  </r>
  <r>
    <x v="4"/>
    <s v="Mai"/>
    <n v="5"/>
    <s v="T2"/>
    <x v="0"/>
    <s v="Kommunal Boenhet"/>
    <n v="254"/>
    <s v="Helse og mestring"/>
    <x v="1"/>
    <x v="1"/>
    <n v="1120"/>
    <n v="112024"/>
    <s v="Tekstiler og gardiner"/>
    <n v="0"/>
    <n v="0"/>
    <n v="0"/>
    <n v="0"/>
  </r>
  <r>
    <x v="5"/>
    <s v="Juni"/>
    <n v="6"/>
    <s v="T2"/>
    <x v="0"/>
    <s v="Kommunal Boenhet"/>
    <n v="254"/>
    <s v="Helse og mestring"/>
    <x v="1"/>
    <x v="1"/>
    <n v="1120"/>
    <n v="112024"/>
    <s v="Tekstiler og gardiner"/>
    <n v="0"/>
    <n v="0"/>
    <n v="0"/>
    <n v="0"/>
  </r>
  <r>
    <x v="6"/>
    <s v="Juli"/>
    <n v="7"/>
    <s v="T2"/>
    <x v="0"/>
    <s v="Kommunal Boenhet"/>
    <n v="254"/>
    <s v="Helse og mestring"/>
    <x v="1"/>
    <x v="1"/>
    <n v="1120"/>
    <n v="112024"/>
    <s v="Tekstiler og gardiner"/>
    <n v="0"/>
    <n v="600"/>
    <n v="-600"/>
    <n v="600"/>
  </r>
  <r>
    <x v="7"/>
    <s v="August"/>
    <n v="8"/>
    <s v="T2"/>
    <x v="0"/>
    <s v="Kommunal Boenhet"/>
    <n v="254"/>
    <s v="Helse og mestring"/>
    <x v="1"/>
    <x v="1"/>
    <n v="1120"/>
    <n v="112024"/>
    <s v="Tekstiler og gardiner"/>
    <n v="0"/>
    <n v="0"/>
    <n v="0"/>
    <n v="0"/>
  </r>
  <r>
    <x v="8"/>
    <s v="September"/>
    <n v="9"/>
    <s v="T3"/>
    <x v="1"/>
    <s v="Kommunal Boenhet"/>
    <n v="254"/>
    <s v="Helse og mestring"/>
    <x v="1"/>
    <x v="1"/>
    <n v="1120"/>
    <n v="112024"/>
    <s v="Tekstiler og gardiner"/>
    <n v="0"/>
    <n v="0"/>
    <n v="0"/>
    <n v="0"/>
  </r>
  <r>
    <x v="9"/>
    <s v="Oktober"/>
    <n v="10"/>
    <s v="T3"/>
    <x v="1"/>
    <s v="Kommunal Boenhet"/>
    <n v="254"/>
    <s v="Helse og mestring"/>
    <x v="1"/>
    <x v="1"/>
    <n v="1120"/>
    <n v="112024"/>
    <s v="Tekstiler og gardiner"/>
    <n v="0"/>
    <n v="0"/>
    <n v="0"/>
    <n v="0"/>
  </r>
  <r>
    <x v="10"/>
    <s v="November"/>
    <n v="11"/>
    <s v="T3"/>
    <x v="1"/>
    <s v="Kommunal Boenhet"/>
    <n v="254"/>
    <s v="Helse og mestring"/>
    <x v="1"/>
    <x v="1"/>
    <n v="1120"/>
    <n v="112024"/>
    <s v="Tekstiler og gardiner"/>
    <n v="0"/>
    <n v="0"/>
    <n v="0"/>
    <n v="0"/>
  </r>
  <r>
    <x v="11"/>
    <s v="Desember"/>
    <n v="12"/>
    <s v="T3"/>
    <x v="1"/>
    <s v="Kommunal Boenhet"/>
    <n v="254"/>
    <s v="Helse og mestring"/>
    <x v="1"/>
    <x v="1"/>
    <n v="1120"/>
    <n v="112024"/>
    <s v="Tekstiler og gardiner"/>
    <n v="0"/>
    <n v="0"/>
    <n v="0"/>
    <n v="0"/>
  </r>
  <r>
    <x v="0"/>
    <s v="Januar"/>
    <n v="1"/>
    <s v="T1"/>
    <x v="0"/>
    <s v="Kommunal Boenhet"/>
    <n v="254"/>
    <s v="Helse og mestring"/>
    <x v="1"/>
    <x v="1"/>
    <n v="1120"/>
    <n v="112025"/>
    <s v="Planter"/>
    <n v="0"/>
    <n v="0"/>
    <n v="0"/>
    <n v="0"/>
  </r>
  <r>
    <x v="1"/>
    <s v="Februar"/>
    <n v="2"/>
    <s v="T1"/>
    <x v="0"/>
    <s v="Kommunal Boenhet"/>
    <n v="254"/>
    <s v="Helse og mestring"/>
    <x v="1"/>
    <x v="1"/>
    <n v="1120"/>
    <n v="112025"/>
    <s v="Planter"/>
    <n v="0"/>
    <n v="0"/>
    <n v="0"/>
    <n v="0"/>
  </r>
  <r>
    <x v="2"/>
    <s v="Mars"/>
    <n v="3"/>
    <s v="T1"/>
    <x v="0"/>
    <s v="Kommunal Boenhet"/>
    <n v="254"/>
    <s v="Helse og mestring"/>
    <x v="1"/>
    <x v="1"/>
    <n v="1120"/>
    <n v="112025"/>
    <s v="Planter"/>
    <n v="0"/>
    <n v="0"/>
    <n v="0"/>
    <n v="0"/>
  </r>
  <r>
    <x v="3"/>
    <s v="April"/>
    <n v="4"/>
    <s v="T1"/>
    <x v="0"/>
    <s v="Kommunal Boenhet"/>
    <n v="254"/>
    <s v="Helse og mestring"/>
    <x v="1"/>
    <x v="1"/>
    <n v="1120"/>
    <n v="112025"/>
    <s v="Planter"/>
    <n v="0"/>
    <n v="0"/>
    <n v="0"/>
    <n v="0"/>
  </r>
  <r>
    <x v="4"/>
    <s v="Mai"/>
    <n v="5"/>
    <s v="T2"/>
    <x v="0"/>
    <s v="Kommunal Boenhet"/>
    <n v="254"/>
    <s v="Helse og mestring"/>
    <x v="1"/>
    <x v="1"/>
    <n v="1120"/>
    <n v="112025"/>
    <s v="Planter"/>
    <n v="0"/>
    <n v="0"/>
    <n v="0"/>
    <n v="0"/>
  </r>
  <r>
    <x v="5"/>
    <s v="Juni"/>
    <n v="6"/>
    <s v="T2"/>
    <x v="0"/>
    <s v="Kommunal Boenhet"/>
    <n v="254"/>
    <s v="Helse og mestring"/>
    <x v="1"/>
    <x v="1"/>
    <n v="1120"/>
    <n v="112025"/>
    <s v="Planter"/>
    <n v="0"/>
    <n v="3486"/>
    <n v="-3486"/>
    <n v="3486"/>
  </r>
  <r>
    <x v="6"/>
    <s v="Juli"/>
    <n v="7"/>
    <s v="T2"/>
    <x v="0"/>
    <s v="Kommunal Boenhet"/>
    <n v="254"/>
    <s v="Helse og mestring"/>
    <x v="1"/>
    <x v="1"/>
    <n v="1120"/>
    <n v="112025"/>
    <s v="Planter"/>
    <n v="0"/>
    <n v="0"/>
    <n v="0"/>
    <n v="0"/>
  </r>
  <r>
    <x v="7"/>
    <s v="August"/>
    <n v="8"/>
    <s v="T2"/>
    <x v="0"/>
    <s v="Kommunal Boenhet"/>
    <n v="254"/>
    <s v="Helse og mestring"/>
    <x v="1"/>
    <x v="1"/>
    <n v="1120"/>
    <n v="112025"/>
    <s v="Planter"/>
    <n v="0"/>
    <n v="0"/>
    <n v="0"/>
    <n v="0"/>
  </r>
  <r>
    <x v="8"/>
    <s v="September"/>
    <n v="9"/>
    <s v="T3"/>
    <x v="1"/>
    <s v="Kommunal Boenhet"/>
    <n v="254"/>
    <s v="Helse og mestring"/>
    <x v="1"/>
    <x v="1"/>
    <n v="1120"/>
    <n v="112025"/>
    <s v="Planter"/>
    <n v="0"/>
    <n v="0"/>
    <n v="0"/>
    <n v="0"/>
  </r>
  <r>
    <x v="9"/>
    <s v="Oktober"/>
    <n v="10"/>
    <s v="T3"/>
    <x v="1"/>
    <s v="Kommunal Boenhet"/>
    <n v="254"/>
    <s v="Helse og mestring"/>
    <x v="1"/>
    <x v="1"/>
    <n v="1120"/>
    <n v="112025"/>
    <s v="Planter"/>
    <n v="0"/>
    <n v="0"/>
    <n v="0"/>
    <n v="0"/>
  </r>
  <r>
    <x v="10"/>
    <s v="November"/>
    <n v="11"/>
    <s v="T3"/>
    <x v="1"/>
    <s v="Kommunal Boenhet"/>
    <n v="254"/>
    <s v="Helse og mestring"/>
    <x v="1"/>
    <x v="1"/>
    <n v="1120"/>
    <n v="112025"/>
    <s v="Planter"/>
    <n v="0"/>
    <n v="0"/>
    <n v="0"/>
    <n v="0"/>
  </r>
  <r>
    <x v="11"/>
    <s v="Desember"/>
    <n v="12"/>
    <s v="T3"/>
    <x v="1"/>
    <s v="Kommunal Boenhet"/>
    <n v="254"/>
    <s v="Helse og mestring"/>
    <x v="1"/>
    <x v="1"/>
    <n v="1120"/>
    <n v="112025"/>
    <s v="Planter"/>
    <n v="0"/>
    <n v="0"/>
    <n v="0"/>
    <n v="0"/>
  </r>
  <r>
    <x v="0"/>
    <s v="Januar"/>
    <n v="1"/>
    <s v="T1"/>
    <x v="0"/>
    <s v="Kommunal Boenhet"/>
    <n v="254"/>
    <s v="Helse og mestring"/>
    <x v="1"/>
    <x v="1"/>
    <n v="1120"/>
    <n v="112060"/>
    <s v="Brukerbelønning"/>
    <n v="170"/>
    <n v="0"/>
    <n v="170"/>
    <n v="-170"/>
  </r>
  <r>
    <x v="1"/>
    <s v="Februar"/>
    <n v="2"/>
    <s v="T1"/>
    <x v="0"/>
    <s v="Kommunal Boenhet"/>
    <n v="254"/>
    <s v="Helse og mestring"/>
    <x v="1"/>
    <x v="1"/>
    <n v="1120"/>
    <n v="112060"/>
    <s v="Brukerbelønning"/>
    <n v="170"/>
    <n v="0"/>
    <n v="170"/>
    <n v="-170"/>
  </r>
  <r>
    <x v="2"/>
    <s v="Mars"/>
    <n v="3"/>
    <s v="T1"/>
    <x v="0"/>
    <s v="Kommunal Boenhet"/>
    <n v="254"/>
    <s v="Helse og mestring"/>
    <x v="1"/>
    <x v="1"/>
    <n v="1120"/>
    <n v="112060"/>
    <s v="Brukerbelønning"/>
    <n v="170"/>
    <n v="0"/>
    <n v="170"/>
    <n v="-170"/>
  </r>
  <r>
    <x v="3"/>
    <s v="April"/>
    <n v="4"/>
    <s v="T1"/>
    <x v="0"/>
    <s v="Kommunal Boenhet"/>
    <n v="254"/>
    <s v="Helse og mestring"/>
    <x v="1"/>
    <x v="1"/>
    <n v="1120"/>
    <n v="112060"/>
    <s v="Brukerbelønning"/>
    <n v="170"/>
    <n v="0"/>
    <n v="170"/>
    <n v="-170"/>
  </r>
  <r>
    <x v="4"/>
    <s v="Mai"/>
    <n v="5"/>
    <s v="T2"/>
    <x v="0"/>
    <s v="Kommunal Boenhet"/>
    <n v="254"/>
    <s v="Helse og mestring"/>
    <x v="1"/>
    <x v="1"/>
    <n v="1120"/>
    <n v="112060"/>
    <s v="Brukerbelønning"/>
    <n v="170"/>
    <n v="0"/>
    <n v="170"/>
    <n v="-170"/>
  </r>
  <r>
    <x v="5"/>
    <s v="Juni"/>
    <n v="6"/>
    <s v="T2"/>
    <x v="0"/>
    <s v="Kommunal Boenhet"/>
    <n v="254"/>
    <s v="Helse og mestring"/>
    <x v="1"/>
    <x v="1"/>
    <n v="1120"/>
    <n v="112060"/>
    <s v="Brukerbelønning"/>
    <n v="170"/>
    <n v="0"/>
    <n v="170"/>
    <n v="-170"/>
  </r>
  <r>
    <x v="6"/>
    <s v="Juli"/>
    <n v="7"/>
    <s v="T2"/>
    <x v="0"/>
    <s v="Kommunal Boenhet"/>
    <n v="254"/>
    <s v="Helse og mestring"/>
    <x v="1"/>
    <x v="1"/>
    <n v="1120"/>
    <n v="112060"/>
    <s v="Brukerbelønning"/>
    <n v="170"/>
    <n v="0"/>
    <n v="170"/>
    <n v="-170"/>
  </r>
  <r>
    <x v="7"/>
    <s v="August"/>
    <n v="8"/>
    <s v="T2"/>
    <x v="0"/>
    <s v="Kommunal Boenhet"/>
    <n v="254"/>
    <s v="Helse og mestring"/>
    <x v="1"/>
    <x v="1"/>
    <n v="1120"/>
    <n v="112060"/>
    <s v="Brukerbelønning"/>
    <n v="170"/>
    <n v="0"/>
    <n v="170"/>
    <n v="-170"/>
  </r>
  <r>
    <x v="8"/>
    <s v="September"/>
    <n v="9"/>
    <s v="T3"/>
    <x v="1"/>
    <s v="Kommunal Boenhet"/>
    <n v="254"/>
    <s v="Helse og mestring"/>
    <x v="1"/>
    <x v="1"/>
    <n v="1120"/>
    <n v="112060"/>
    <s v="Brukerbelønning"/>
    <n v="170"/>
    <n v="0"/>
    <n v="0"/>
    <n v="-170"/>
  </r>
  <r>
    <x v="9"/>
    <s v="Oktober"/>
    <n v="10"/>
    <s v="T3"/>
    <x v="1"/>
    <s v="Kommunal Boenhet"/>
    <n v="254"/>
    <s v="Helse og mestring"/>
    <x v="1"/>
    <x v="1"/>
    <n v="1120"/>
    <n v="112060"/>
    <s v="Brukerbelønning"/>
    <n v="170"/>
    <n v="0"/>
    <n v="0"/>
    <n v="-170"/>
  </r>
  <r>
    <x v="10"/>
    <s v="November"/>
    <n v="11"/>
    <s v="T3"/>
    <x v="1"/>
    <s v="Kommunal Boenhet"/>
    <n v="254"/>
    <s v="Helse og mestring"/>
    <x v="1"/>
    <x v="1"/>
    <n v="1120"/>
    <n v="112060"/>
    <s v="Brukerbelønning"/>
    <n v="170"/>
    <n v="0"/>
    <n v="0"/>
    <n v="-170"/>
  </r>
  <r>
    <x v="11"/>
    <s v="Desember"/>
    <n v="12"/>
    <s v="T3"/>
    <x v="1"/>
    <s v="Kommunal Boenhet"/>
    <n v="254"/>
    <s v="Helse og mestring"/>
    <x v="1"/>
    <x v="1"/>
    <n v="1120"/>
    <n v="112060"/>
    <s v="Brukerbelønning"/>
    <n v="130"/>
    <n v="0"/>
    <n v="0"/>
    <n v="-130"/>
  </r>
  <r>
    <x v="0"/>
    <s v="Januar"/>
    <n v="1"/>
    <s v="T1"/>
    <x v="0"/>
    <s v="Kommunal Boenhet"/>
    <n v="254"/>
    <s v="Helse og mestring"/>
    <x v="1"/>
    <x v="1"/>
    <n v="1120"/>
    <n v="112090"/>
    <s v="Annet forbruksmateriell, varer og tjenester"/>
    <n v="3536"/>
    <n v="4413.72"/>
    <n v="-877.72"/>
    <n v="877.72"/>
  </r>
  <r>
    <x v="1"/>
    <s v="Februar"/>
    <n v="2"/>
    <s v="T1"/>
    <x v="0"/>
    <s v="Kommunal Boenhet"/>
    <n v="254"/>
    <s v="Helse og mestring"/>
    <x v="1"/>
    <x v="1"/>
    <n v="1120"/>
    <n v="112090"/>
    <s v="Annet forbruksmateriell, varer og tjenester"/>
    <n v="3536"/>
    <n v="3804.96"/>
    <n v="-268.96"/>
    <n v="268.96"/>
  </r>
  <r>
    <x v="2"/>
    <s v="Mars"/>
    <n v="3"/>
    <s v="T1"/>
    <x v="0"/>
    <s v="Kommunal Boenhet"/>
    <n v="254"/>
    <s v="Helse og mestring"/>
    <x v="1"/>
    <x v="1"/>
    <n v="1120"/>
    <n v="112090"/>
    <s v="Annet forbruksmateriell, varer og tjenester"/>
    <n v="3536"/>
    <n v="2925.8"/>
    <n v="610.2"/>
    <n v="-610.2"/>
  </r>
  <r>
    <x v="3"/>
    <s v="April"/>
    <n v="4"/>
    <s v="T1"/>
    <x v="0"/>
    <s v="Kommunal Boenhet"/>
    <n v="254"/>
    <s v="Helse og mestring"/>
    <x v="1"/>
    <x v="1"/>
    <n v="1120"/>
    <n v="112090"/>
    <s v="Annet forbruksmateriell, varer og tjenester"/>
    <n v="3536"/>
    <n v="4818.5"/>
    <n v="-1282.5"/>
    <n v="1282.5"/>
  </r>
  <r>
    <x v="4"/>
    <s v="Mai"/>
    <n v="5"/>
    <s v="T2"/>
    <x v="0"/>
    <s v="Kommunal Boenhet"/>
    <n v="254"/>
    <s v="Helse og mestring"/>
    <x v="1"/>
    <x v="1"/>
    <n v="1120"/>
    <n v="112090"/>
    <s v="Annet forbruksmateriell, varer og tjenester"/>
    <n v="3536"/>
    <n v="4414.29"/>
    <n v="-878.29"/>
    <n v="878.29"/>
  </r>
  <r>
    <x v="5"/>
    <s v="Juni"/>
    <n v="6"/>
    <s v="T2"/>
    <x v="0"/>
    <s v="Kommunal Boenhet"/>
    <n v="254"/>
    <s v="Helse og mestring"/>
    <x v="1"/>
    <x v="1"/>
    <n v="1120"/>
    <n v="112090"/>
    <s v="Annet forbruksmateriell, varer og tjenester"/>
    <n v="3536"/>
    <n v="7675.68"/>
    <n v="-4139.68"/>
    <n v="4139.68"/>
  </r>
  <r>
    <x v="6"/>
    <s v="Juli"/>
    <n v="7"/>
    <s v="T2"/>
    <x v="0"/>
    <s v="Kommunal Boenhet"/>
    <n v="254"/>
    <s v="Helse og mestring"/>
    <x v="1"/>
    <x v="1"/>
    <n v="1120"/>
    <n v="112090"/>
    <s v="Annet forbruksmateriell, varer og tjenester"/>
    <n v="3536"/>
    <n v="1358.36"/>
    <n v="2177.64"/>
    <n v="-2177.64"/>
  </r>
  <r>
    <x v="7"/>
    <s v="August"/>
    <n v="8"/>
    <s v="T2"/>
    <x v="0"/>
    <s v="Kommunal Boenhet"/>
    <n v="254"/>
    <s v="Helse og mestring"/>
    <x v="1"/>
    <x v="1"/>
    <n v="1120"/>
    <n v="112090"/>
    <s v="Annet forbruksmateriell, varer og tjenester"/>
    <n v="3536"/>
    <n v="48.4"/>
    <n v="3487.6"/>
    <n v="-3487.6"/>
  </r>
  <r>
    <x v="8"/>
    <s v="September"/>
    <n v="9"/>
    <s v="T3"/>
    <x v="1"/>
    <s v="Kommunal Boenhet"/>
    <n v="254"/>
    <s v="Helse og mestring"/>
    <x v="1"/>
    <x v="1"/>
    <n v="1120"/>
    <n v="112090"/>
    <s v="Annet forbruksmateriell, varer og tjenester"/>
    <n v="3536"/>
    <n v="0"/>
    <n v="0"/>
    <n v="-3536"/>
  </r>
  <r>
    <x v="9"/>
    <s v="Oktober"/>
    <n v="10"/>
    <s v="T3"/>
    <x v="1"/>
    <s v="Kommunal Boenhet"/>
    <n v="254"/>
    <s v="Helse og mestring"/>
    <x v="1"/>
    <x v="1"/>
    <n v="1120"/>
    <n v="112090"/>
    <s v="Annet forbruksmateriell, varer og tjenester"/>
    <n v="3536"/>
    <n v="0"/>
    <n v="0"/>
    <n v="-3536"/>
  </r>
  <r>
    <x v="10"/>
    <s v="November"/>
    <n v="11"/>
    <s v="T3"/>
    <x v="1"/>
    <s v="Kommunal Boenhet"/>
    <n v="254"/>
    <s v="Helse og mestring"/>
    <x v="1"/>
    <x v="1"/>
    <n v="1120"/>
    <n v="112090"/>
    <s v="Annet forbruksmateriell, varer og tjenester"/>
    <n v="3536"/>
    <n v="0"/>
    <n v="0"/>
    <n v="-3536"/>
  </r>
  <r>
    <x v="11"/>
    <s v="Desember"/>
    <n v="12"/>
    <s v="T3"/>
    <x v="1"/>
    <s v="Kommunal Boenhet"/>
    <n v="254"/>
    <s v="Helse og mestring"/>
    <x v="1"/>
    <x v="1"/>
    <n v="1120"/>
    <n v="112090"/>
    <s v="Annet forbruksmateriell, varer og tjenester"/>
    <n v="4104"/>
    <n v="0"/>
    <n v="0"/>
    <n v="-4104"/>
  </r>
  <r>
    <x v="0"/>
    <s v="Januar"/>
    <n v="1"/>
    <s v="T1"/>
    <x v="0"/>
    <s v="Kommunal Boenhet"/>
    <n v="254"/>
    <s v="Helse og mestring"/>
    <x v="1"/>
    <x v="1"/>
    <n v="1120"/>
    <n v="112098"/>
    <s v="Tilskudd lærlinger (intern)"/>
    <n v="0"/>
    <n v="0"/>
    <n v="0"/>
    <n v="0"/>
  </r>
  <r>
    <x v="1"/>
    <s v="Februar"/>
    <n v="2"/>
    <s v="T1"/>
    <x v="0"/>
    <s v="Kommunal Boenhet"/>
    <n v="254"/>
    <s v="Helse og mestring"/>
    <x v="1"/>
    <x v="1"/>
    <n v="1120"/>
    <n v="112098"/>
    <s v="Tilskudd lærlinger (intern)"/>
    <n v="0"/>
    <n v="0"/>
    <n v="0"/>
    <n v="0"/>
  </r>
  <r>
    <x v="2"/>
    <s v="Mars"/>
    <n v="3"/>
    <s v="T1"/>
    <x v="0"/>
    <s v="Kommunal Boenhet"/>
    <n v="254"/>
    <s v="Helse og mestring"/>
    <x v="1"/>
    <x v="1"/>
    <n v="1120"/>
    <n v="112098"/>
    <s v="Tilskudd lærlinger (intern)"/>
    <n v="0"/>
    <n v="0"/>
    <n v="0"/>
    <n v="0"/>
  </r>
  <r>
    <x v="3"/>
    <s v="April"/>
    <n v="4"/>
    <s v="T1"/>
    <x v="0"/>
    <s v="Kommunal Boenhet"/>
    <n v="254"/>
    <s v="Helse og mestring"/>
    <x v="1"/>
    <x v="1"/>
    <n v="1120"/>
    <n v="112098"/>
    <s v="Tilskudd lærlinger (intern)"/>
    <n v="0"/>
    <n v="-61447"/>
    <n v="61447"/>
    <n v="-61447"/>
  </r>
  <r>
    <x v="4"/>
    <s v="Mai"/>
    <n v="5"/>
    <s v="T2"/>
    <x v="0"/>
    <s v="Kommunal Boenhet"/>
    <n v="254"/>
    <s v="Helse og mestring"/>
    <x v="1"/>
    <x v="1"/>
    <n v="1120"/>
    <n v="112098"/>
    <s v="Tilskudd lærlinger (intern)"/>
    <n v="0"/>
    <n v="0"/>
    <n v="0"/>
    <n v="0"/>
  </r>
  <r>
    <x v="5"/>
    <s v="Juni"/>
    <n v="6"/>
    <s v="T2"/>
    <x v="0"/>
    <s v="Kommunal Boenhet"/>
    <n v="254"/>
    <s v="Helse og mestring"/>
    <x v="1"/>
    <x v="1"/>
    <n v="1120"/>
    <n v="112098"/>
    <s v="Tilskudd lærlinger (intern)"/>
    <n v="0"/>
    <n v="0"/>
    <n v="0"/>
    <n v="0"/>
  </r>
  <r>
    <x v="6"/>
    <s v="Juli"/>
    <n v="7"/>
    <s v="T2"/>
    <x v="0"/>
    <s v="Kommunal Boenhet"/>
    <n v="254"/>
    <s v="Helse og mestring"/>
    <x v="1"/>
    <x v="1"/>
    <n v="1120"/>
    <n v="112098"/>
    <s v="Tilskudd lærlinger (intern)"/>
    <n v="0"/>
    <n v="0"/>
    <n v="0"/>
    <n v="0"/>
  </r>
  <r>
    <x v="7"/>
    <s v="August"/>
    <n v="8"/>
    <s v="T2"/>
    <x v="0"/>
    <s v="Kommunal Boenhet"/>
    <n v="254"/>
    <s v="Helse og mestring"/>
    <x v="1"/>
    <x v="1"/>
    <n v="1120"/>
    <n v="112098"/>
    <s v="Tilskudd lærlinger (intern)"/>
    <n v="0"/>
    <n v="-99000"/>
    <n v="99000"/>
    <n v="-99000"/>
  </r>
  <r>
    <x v="8"/>
    <s v="September"/>
    <n v="9"/>
    <s v="T3"/>
    <x v="1"/>
    <s v="Kommunal Boenhet"/>
    <n v="254"/>
    <s v="Helse og mestring"/>
    <x v="1"/>
    <x v="1"/>
    <n v="1120"/>
    <n v="112098"/>
    <s v="Tilskudd lærlinger (intern)"/>
    <n v="0"/>
    <n v="0"/>
    <n v="0"/>
    <n v="0"/>
  </r>
  <r>
    <x v="9"/>
    <s v="Oktober"/>
    <n v="10"/>
    <s v="T3"/>
    <x v="1"/>
    <s v="Kommunal Boenhet"/>
    <n v="254"/>
    <s v="Helse og mestring"/>
    <x v="1"/>
    <x v="1"/>
    <n v="1120"/>
    <n v="112098"/>
    <s v="Tilskudd lærlinger (intern)"/>
    <n v="0"/>
    <n v="0"/>
    <n v="0"/>
    <n v="0"/>
  </r>
  <r>
    <x v="10"/>
    <s v="November"/>
    <n v="11"/>
    <s v="T3"/>
    <x v="1"/>
    <s v="Kommunal Boenhet"/>
    <n v="254"/>
    <s v="Helse og mestring"/>
    <x v="1"/>
    <x v="1"/>
    <n v="1120"/>
    <n v="112098"/>
    <s v="Tilskudd lærlinger (intern)"/>
    <n v="0"/>
    <n v="0"/>
    <n v="0"/>
    <n v="0"/>
  </r>
  <r>
    <x v="11"/>
    <s v="Desember"/>
    <n v="12"/>
    <s v="T3"/>
    <x v="1"/>
    <s v="Kommunal Boenhet"/>
    <n v="254"/>
    <s v="Helse og mestring"/>
    <x v="1"/>
    <x v="1"/>
    <n v="1120"/>
    <n v="112098"/>
    <s v="Tilskudd lærlinger (intern)"/>
    <n v="0"/>
    <n v="0"/>
    <n v="0"/>
    <n v="0"/>
  </r>
  <r>
    <x v="0"/>
    <s v="Januar"/>
    <n v="1"/>
    <s v="T1"/>
    <x v="0"/>
    <s v="Kommunal Boenhet"/>
    <n v="254"/>
    <s v="Helse og mestring"/>
    <x v="1"/>
    <x v="1"/>
    <n v="1120"/>
    <n v="112099"/>
    <s v="Interne inntekter/utgifter"/>
    <n v="0"/>
    <n v="0"/>
    <n v="0"/>
    <n v="0"/>
  </r>
  <r>
    <x v="1"/>
    <s v="Februar"/>
    <n v="2"/>
    <s v="T1"/>
    <x v="0"/>
    <s v="Kommunal Boenhet"/>
    <n v="254"/>
    <s v="Helse og mestring"/>
    <x v="1"/>
    <x v="1"/>
    <n v="1120"/>
    <n v="112099"/>
    <s v="Interne inntekter/utgifter"/>
    <n v="0"/>
    <n v="0"/>
    <n v="0"/>
    <n v="0"/>
  </r>
  <r>
    <x v="2"/>
    <s v="Mars"/>
    <n v="3"/>
    <s v="T1"/>
    <x v="0"/>
    <s v="Kommunal Boenhet"/>
    <n v="254"/>
    <s v="Helse og mestring"/>
    <x v="1"/>
    <x v="1"/>
    <n v="1120"/>
    <n v="112099"/>
    <s v="Interne inntekter/utgifter"/>
    <n v="0"/>
    <n v="100"/>
    <n v="-100"/>
    <n v="100"/>
  </r>
  <r>
    <x v="3"/>
    <s v="April"/>
    <n v="4"/>
    <s v="T1"/>
    <x v="0"/>
    <s v="Kommunal Boenhet"/>
    <n v="254"/>
    <s v="Helse og mestring"/>
    <x v="1"/>
    <x v="1"/>
    <n v="1120"/>
    <n v="112099"/>
    <s v="Interne inntekter/utgifter"/>
    <n v="0"/>
    <n v="308"/>
    <n v="-308"/>
    <n v="308"/>
  </r>
  <r>
    <x v="4"/>
    <s v="Mai"/>
    <n v="5"/>
    <s v="T2"/>
    <x v="0"/>
    <s v="Kommunal Boenhet"/>
    <n v="254"/>
    <s v="Helse og mestring"/>
    <x v="1"/>
    <x v="1"/>
    <n v="1120"/>
    <n v="112099"/>
    <s v="Interne inntekter/utgifter"/>
    <n v="0"/>
    <n v="0"/>
    <n v="0"/>
    <n v="0"/>
  </r>
  <r>
    <x v="5"/>
    <s v="Juni"/>
    <n v="6"/>
    <s v="T2"/>
    <x v="0"/>
    <s v="Kommunal Boenhet"/>
    <n v="254"/>
    <s v="Helse og mestring"/>
    <x v="1"/>
    <x v="1"/>
    <n v="1120"/>
    <n v="112099"/>
    <s v="Interne inntekter/utgifter"/>
    <n v="0"/>
    <n v="205"/>
    <n v="-205"/>
    <n v="205"/>
  </r>
  <r>
    <x v="6"/>
    <s v="Juli"/>
    <n v="7"/>
    <s v="T2"/>
    <x v="0"/>
    <s v="Kommunal Boenhet"/>
    <n v="254"/>
    <s v="Helse og mestring"/>
    <x v="1"/>
    <x v="1"/>
    <n v="1120"/>
    <n v="112099"/>
    <s v="Interne inntekter/utgifter"/>
    <n v="0"/>
    <n v="0"/>
    <n v="0"/>
    <n v="0"/>
  </r>
  <r>
    <x v="7"/>
    <s v="August"/>
    <n v="8"/>
    <s v="T2"/>
    <x v="0"/>
    <s v="Kommunal Boenhet"/>
    <n v="254"/>
    <s v="Helse og mestring"/>
    <x v="1"/>
    <x v="1"/>
    <n v="1120"/>
    <n v="112099"/>
    <s v="Interne inntekter/utgifter"/>
    <n v="0"/>
    <n v="0"/>
    <n v="0"/>
    <n v="0"/>
  </r>
  <r>
    <x v="8"/>
    <s v="September"/>
    <n v="9"/>
    <s v="T3"/>
    <x v="1"/>
    <s v="Kommunal Boenhet"/>
    <n v="254"/>
    <s v="Helse og mestring"/>
    <x v="1"/>
    <x v="1"/>
    <n v="1120"/>
    <n v="112099"/>
    <s v="Interne inntekter/utgifter"/>
    <n v="0"/>
    <n v="0"/>
    <n v="0"/>
    <n v="0"/>
  </r>
  <r>
    <x v="9"/>
    <s v="Oktober"/>
    <n v="10"/>
    <s v="T3"/>
    <x v="1"/>
    <s v="Kommunal Boenhet"/>
    <n v="254"/>
    <s v="Helse og mestring"/>
    <x v="1"/>
    <x v="1"/>
    <n v="1120"/>
    <n v="112099"/>
    <s v="Interne inntekter/utgifter"/>
    <n v="0"/>
    <n v="0"/>
    <n v="0"/>
    <n v="0"/>
  </r>
  <r>
    <x v="10"/>
    <s v="November"/>
    <n v="11"/>
    <s v="T3"/>
    <x v="1"/>
    <s v="Kommunal Boenhet"/>
    <n v="254"/>
    <s v="Helse og mestring"/>
    <x v="1"/>
    <x v="1"/>
    <n v="1120"/>
    <n v="112099"/>
    <s v="Interne inntekter/utgifter"/>
    <n v="0"/>
    <n v="0"/>
    <n v="0"/>
    <n v="0"/>
  </r>
  <r>
    <x v="11"/>
    <s v="Desember"/>
    <n v="12"/>
    <s v="T3"/>
    <x v="1"/>
    <s v="Kommunal Boenhet"/>
    <n v="254"/>
    <s v="Helse og mestring"/>
    <x v="1"/>
    <x v="1"/>
    <n v="1120"/>
    <n v="112099"/>
    <s v="Interne inntekter/utgifter"/>
    <n v="0"/>
    <n v="0"/>
    <n v="0"/>
    <n v="0"/>
  </r>
  <r>
    <x v="0"/>
    <s v="Januar"/>
    <n v="1"/>
    <s v="T1"/>
    <x v="0"/>
    <s v="Kommunal Boenhet"/>
    <n v="254"/>
    <s v="Helse og mestring"/>
    <x v="1"/>
    <x v="1"/>
    <n v="1130"/>
    <n v="113000"/>
    <s v="Abonnement / samtale for mobil, telefon, nettbrett"/>
    <n v="850"/>
    <n v="0"/>
    <n v="850"/>
    <n v="-850"/>
  </r>
  <r>
    <x v="1"/>
    <s v="Februar"/>
    <n v="2"/>
    <s v="T1"/>
    <x v="0"/>
    <s v="Kommunal Boenhet"/>
    <n v="254"/>
    <s v="Helse og mestring"/>
    <x v="1"/>
    <x v="1"/>
    <n v="1130"/>
    <n v="113000"/>
    <s v="Abonnement / samtale for mobil, telefon, nettbrett"/>
    <n v="850"/>
    <n v="137.99"/>
    <n v="712.01"/>
    <n v="-712.01"/>
  </r>
  <r>
    <x v="2"/>
    <s v="Mars"/>
    <n v="3"/>
    <s v="T1"/>
    <x v="0"/>
    <s v="Kommunal Boenhet"/>
    <n v="254"/>
    <s v="Helse og mestring"/>
    <x v="1"/>
    <x v="1"/>
    <n v="1130"/>
    <n v="113000"/>
    <s v="Abonnement / samtale for mobil, telefon, nettbrett"/>
    <n v="850"/>
    <n v="273.21"/>
    <n v="576.79"/>
    <n v="-576.79"/>
  </r>
  <r>
    <x v="3"/>
    <s v="April"/>
    <n v="4"/>
    <s v="T1"/>
    <x v="0"/>
    <s v="Kommunal Boenhet"/>
    <n v="254"/>
    <s v="Helse og mestring"/>
    <x v="1"/>
    <x v="1"/>
    <n v="1130"/>
    <n v="113000"/>
    <s v="Abonnement / samtale for mobil, telefon, nettbrett"/>
    <n v="850"/>
    <n v="137"/>
    <n v="713"/>
    <n v="-713"/>
  </r>
  <r>
    <x v="4"/>
    <s v="Mai"/>
    <n v="5"/>
    <s v="T2"/>
    <x v="0"/>
    <s v="Kommunal Boenhet"/>
    <n v="254"/>
    <s v="Helse og mestring"/>
    <x v="1"/>
    <x v="1"/>
    <n v="1130"/>
    <n v="113000"/>
    <s v="Abonnement / samtale for mobil, telefon, nettbrett"/>
    <n v="850"/>
    <n v="138.98"/>
    <n v="711.02"/>
    <n v="-711.02"/>
  </r>
  <r>
    <x v="5"/>
    <s v="Juni"/>
    <n v="6"/>
    <s v="T2"/>
    <x v="0"/>
    <s v="Kommunal Boenhet"/>
    <n v="254"/>
    <s v="Helse og mestring"/>
    <x v="1"/>
    <x v="1"/>
    <n v="1130"/>
    <n v="113000"/>
    <s v="Abonnement / samtale for mobil, telefon, nettbrett"/>
    <n v="850"/>
    <n v="135.42"/>
    <n v="714.58"/>
    <n v="-714.58"/>
  </r>
  <r>
    <x v="6"/>
    <s v="Juli"/>
    <n v="7"/>
    <s v="T2"/>
    <x v="0"/>
    <s v="Kommunal Boenhet"/>
    <n v="254"/>
    <s v="Helse og mestring"/>
    <x v="1"/>
    <x v="1"/>
    <n v="1130"/>
    <n v="113000"/>
    <s v="Abonnement / samtale for mobil, telefon, nettbrett"/>
    <n v="850"/>
    <n v="545.08"/>
    <n v="304.92"/>
    <n v="-304.92"/>
  </r>
  <r>
    <x v="7"/>
    <s v="August"/>
    <n v="8"/>
    <s v="T2"/>
    <x v="0"/>
    <s v="Kommunal Boenhet"/>
    <n v="254"/>
    <s v="Helse og mestring"/>
    <x v="1"/>
    <x v="1"/>
    <n v="1130"/>
    <n v="113000"/>
    <s v="Abonnement / samtale for mobil, telefon, nettbrett"/>
    <n v="850"/>
    <n v="491.99"/>
    <n v="358.01"/>
    <n v="-358.01"/>
  </r>
  <r>
    <x v="8"/>
    <s v="September"/>
    <n v="9"/>
    <s v="T3"/>
    <x v="1"/>
    <s v="Kommunal Boenhet"/>
    <n v="254"/>
    <s v="Helse og mestring"/>
    <x v="1"/>
    <x v="1"/>
    <n v="1130"/>
    <n v="113000"/>
    <s v="Abonnement / samtale for mobil, telefon, nettbrett"/>
    <n v="850"/>
    <n v="0"/>
    <n v="0"/>
    <n v="-850"/>
  </r>
  <r>
    <x v="9"/>
    <s v="Oktober"/>
    <n v="10"/>
    <s v="T3"/>
    <x v="1"/>
    <s v="Kommunal Boenhet"/>
    <n v="254"/>
    <s v="Helse og mestring"/>
    <x v="1"/>
    <x v="1"/>
    <n v="1130"/>
    <n v="113000"/>
    <s v="Abonnement / samtale for mobil, telefon, nettbrett"/>
    <n v="850"/>
    <n v="0"/>
    <n v="0"/>
    <n v="-850"/>
  </r>
  <r>
    <x v="10"/>
    <s v="November"/>
    <n v="11"/>
    <s v="T3"/>
    <x v="1"/>
    <s v="Kommunal Boenhet"/>
    <n v="254"/>
    <s v="Helse og mestring"/>
    <x v="1"/>
    <x v="1"/>
    <n v="1130"/>
    <n v="113000"/>
    <s v="Abonnement / samtale for mobil, telefon, nettbrett"/>
    <n v="850"/>
    <n v="0"/>
    <n v="0"/>
    <n v="-850"/>
  </r>
  <r>
    <x v="11"/>
    <s v="Desember"/>
    <n v="12"/>
    <s v="T3"/>
    <x v="1"/>
    <s v="Kommunal Boenhet"/>
    <n v="254"/>
    <s v="Helse og mestring"/>
    <x v="1"/>
    <x v="1"/>
    <n v="1130"/>
    <n v="113000"/>
    <s v="Abonnement / samtale for mobil, telefon, nettbrett"/>
    <n v="650"/>
    <n v="0"/>
    <n v="0"/>
    <n v="-650"/>
  </r>
  <r>
    <x v="0"/>
    <s v="Januar"/>
    <n v="1"/>
    <s v="T1"/>
    <x v="0"/>
    <s v="Kommunal Boenhet"/>
    <n v="254"/>
    <s v="Helse og mestring"/>
    <x v="1"/>
    <x v="1"/>
    <n v="1130"/>
    <n v="113004"/>
    <s v="Bank og finansielle gebyrer"/>
    <n v="0"/>
    <n v="0"/>
    <n v="0"/>
    <n v="0"/>
  </r>
  <r>
    <x v="1"/>
    <s v="Februar"/>
    <n v="2"/>
    <s v="T1"/>
    <x v="0"/>
    <s v="Kommunal Boenhet"/>
    <n v="254"/>
    <s v="Helse og mestring"/>
    <x v="1"/>
    <x v="1"/>
    <n v="1130"/>
    <n v="113004"/>
    <s v="Bank og finansielle gebyrer"/>
    <n v="0"/>
    <n v="0"/>
    <n v="0"/>
    <n v="0"/>
  </r>
  <r>
    <x v="2"/>
    <s v="Mars"/>
    <n v="3"/>
    <s v="T1"/>
    <x v="0"/>
    <s v="Kommunal Boenhet"/>
    <n v="254"/>
    <s v="Helse og mestring"/>
    <x v="1"/>
    <x v="1"/>
    <n v="1130"/>
    <n v="113004"/>
    <s v="Bank og finansielle gebyrer"/>
    <n v="0"/>
    <n v="0"/>
    <n v="0"/>
    <n v="0"/>
  </r>
  <r>
    <x v="3"/>
    <s v="April"/>
    <n v="4"/>
    <s v="T1"/>
    <x v="0"/>
    <s v="Kommunal Boenhet"/>
    <n v="254"/>
    <s v="Helse og mestring"/>
    <x v="1"/>
    <x v="1"/>
    <n v="1130"/>
    <n v="113004"/>
    <s v="Bank og finansielle gebyrer"/>
    <n v="0"/>
    <n v="0"/>
    <n v="0"/>
    <n v="0"/>
  </r>
  <r>
    <x v="4"/>
    <s v="Mai"/>
    <n v="5"/>
    <s v="T2"/>
    <x v="0"/>
    <s v="Kommunal Boenhet"/>
    <n v="254"/>
    <s v="Helse og mestring"/>
    <x v="1"/>
    <x v="1"/>
    <n v="1130"/>
    <n v="113004"/>
    <s v="Bank og finansielle gebyrer"/>
    <n v="0"/>
    <n v="295"/>
    <n v="-295"/>
    <n v="295"/>
  </r>
  <r>
    <x v="5"/>
    <s v="Juni"/>
    <n v="6"/>
    <s v="T2"/>
    <x v="0"/>
    <s v="Kommunal Boenhet"/>
    <n v="254"/>
    <s v="Helse og mestring"/>
    <x v="1"/>
    <x v="1"/>
    <n v="1130"/>
    <n v="113004"/>
    <s v="Bank og finansielle gebyrer"/>
    <n v="0"/>
    <n v="0"/>
    <n v="0"/>
    <n v="0"/>
  </r>
  <r>
    <x v="6"/>
    <s v="Juli"/>
    <n v="7"/>
    <s v="T2"/>
    <x v="0"/>
    <s v="Kommunal Boenhet"/>
    <n v="254"/>
    <s v="Helse og mestring"/>
    <x v="1"/>
    <x v="1"/>
    <n v="1130"/>
    <n v="113004"/>
    <s v="Bank og finansielle gebyrer"/>
    <n v="0"/>
    <n v="0"/>
    <n v="0"/>
    <n v="0"/>
  </r>
  <r>
    <x v="7"/>
    <s v="August"/>
    <n v="8"/>
    <s v="T2"/>
    <x v="0"/>
    <s v="Kommunal Boenhet"/>
    <n v="254"/>
    <s v="Helse og mestring"/>
    <x v="1"/>
    <x v="1"/>
    <n v="1130"/>
    <n v="113004"/>
    <s v="Bank og finansielle gebyrer"/>
    <n v="0"/>
    <n v="0"/>
    <n v="0"/>
    <n v="0"/>
  </r>
  <r>
    <x v="8"/>
    <s v="September"/>
    <n v="9"/>
    <s v="T3"/>
    <x v="1"/>
    <s v="Kommunal Boenhet"/>
    <n v="254"/>
    <s v="Helse og mestring"/>
    <x v="1"/>
    <x v="1"/>
    <n v="1130"/>
    <n v="113004"/>
    <s v="Bank og finansielle gebyrer"/>
    <n v="0"/>
    <n v="0"/>
    <n v="0"/>
    <n v="0"/>
  </r>
  <r>
    <x v="9"/>
    <s v="Oktober"/>
    <n v="10"/>
    <s v="T3"/>
    <x v="1"/>
    <s v="Kommunal Boenhet"/>
    <n v="254"/>
    <s v="Helse og mestring"/>
    <x v="1"/>
    <x v="1"/>
    <n v="1130"/>
    <n v="113004"/>
    <s v="Bank og finansielle gebyrer"/>
    <n v="0"/>
    <n v="0"/>
    <n v="0"/>
    <n v="0"/>
  </r>
  <r>
    <x v="10"/>
    <s v="November"/>
    <n v="11"/>
    <s v="T3"/>
    <x v="1"/>
    <s v="Kommunal Boenhet"/>
    <n v="254"/>
    <s v="Helse og mestring"/>
    <x v="1"/>
    <x v="1"/>
    <n v="1130"/>
    <n v="113004"/>
    <s v="Bank og finansielle gebyrer"/>
    <n v="0"/>
    <n v="0"/>
    <n v="0"/>
    <n v="0"/>
  </r>
  <r>
    <x v="11"/>
    <s v="Desember"/>
    <n v="12"/>
    <s v="T3"/>
    <x v="1"/>
    <s v="Kommunal Boenhet"/>
    <n v="254"/>
    <s v="Helse og mestring"/>
    <x v="1"/>
    <x v="1"/>
    <n v="1130"/>
    <n v="113004"/>
    <s v="Bank og finansielle gebyrer"/>
    <n v="0"/>
    <n v="0"/>
    <n v="0"/>
    <n v="0"/>
  </r>
  <r>
    <x v="0"/>
    <s v="Januar"/>
    <n v="1"/>
    <s v="T1"/>
    <x v="0"/>
    <s v="Kommunal Boenhet"/>
    <n v="254"/>
    <s v="Helse og mestring"/>
    <x v="1"/>
    <x v="1"/>
    <n v="1140"/>
    <n v="114000"/>
    <s v="Stillingsannonser"/>
    <n v="2550"/>
    <n v="0"/>
    <n v="2550"/>
    <n v="-2550"/>
  </r>
  <r>
    <x v="1"/>
    <s v="Februar"/>
    <n v="2"/>
    <s v="T1"/>
    <x v="0"/>
    <s v="Kommunal Boenhet"/>
    <n v="254"/>
    <s v="Helse og mestring"/>
    <x v="1"/>
    <x v="1"/>
    <n v="1140"/>
    <n v="114000"/>
    <s v="Stillingsannonser"/>
    <n v="2550"/>
    <n v="6875"/>
    <n v="-4325"/>
    <n v="4325"/>
  </r>
  <r>
    <x v="2"/>
    <s v="Mars"/>
    <n v="3"/>
    <s v="T1"/>
    <x v="0"/>
    <s v="Kommunal Boenhet"/>
    <n v="254"/>
    <s v="Helse og mestring"/>
    <x v="1"/>
    <x v="1"/>
    <n v="1140"/>
    <n v="114000"/>
    <s v="Stillingsannonser"/>
    <n v="2550"/>
    <n v="137.5"/>
    <n v="2412.5"/>
    <n v="-2412.5"/>
  </r>
  <r>
    <x v="3"/>
    <s v="April"/>
    <n v="4"/>
    <s v="T1"/>
    <x v="0"/>
    <s v="Kommunal Boenhet"/>
    <n v="254"/>
    <s v="Helse og mestring"/>
    <x v="1"/>
    <x v="1"/>
    <n v="1140"/>
    <n v="114000"/>
    <s v="Stillingsannonser"/>
    <n v="2550"/>
    <n v="0"/>
    <n v="2550"/>
    <n v="-2550"/>
  </r>
  <r>
    <x v="4"/>
    <s v="Mai"/>
    <n v="5"/>
    <s v="T2"/>
    <x v="0"/>
    <s v="Kommunal Boenhet"/>
    <n v="254"/>
    <s v="Helse og mestring"/>
    <x v="1"/>
    <x v="1"/>
    <n v="1140"/>
    <n v="114000"/>
    <s v="Stillingsannonser"/>
    <n v="2550"/>
    <n v="0"/>
    <n v="2550"/>
    <n v="-2550"/>
  </r>
  <r>
    <x v="5"/>
    <s v="Juni"/>
    <n v="6"/>
    <s v="T2"/>
    <x v="0"/>
    <s v="Kommunal Boenhet"/>
    <n v="254"/>
    <s v="Helse og mestring"/>
    <x v="1"/>
    <x v="1"/>
    <n v="1140"/>
    <n v="114000"/>
    <s v="Stillingsannonser"/>
    <n v="2550"/>
    <n v="3300"/>
    <n v="-750"/>
    <n v="750"/>
  </r>
  <r>
    <x v="6"/>
    <s v="Juli"/>
    <n v="7"/>
    <s v="T2"/>
    <x v="0"/>
    <s v="Kommunal Boenhet"/>
    <n v="254"/>
    <s v="Helse og mestring"/>
    <x v="1"/>
    <x v="1"/>
    <n v="1140"/>
    <n v="114000"/>
    <s v="Stillingsannonser"/>
    <n v="2550"/>
    <n v="0"/>
    <n v="2550"/>
    <n v="-2550"/>
  </r>
  <r>
    <x v="7"/>
    <s v="August"/>
    <n v="8"/>
    <s v="T2"/>
    <x v="0"/>
    <s v="Kommunal Boenhet"/>
    <n v="254"/>
    <s v="Helse og mestring"/>
    <x v="1"/>
    <x v="1"/>
    <n v="1140"/>
    <n v="114000"/>
    <s v="Stillingsannonser"/>
    <n v="2550"/>
    <n v="0"/>
    <n v="2550"/>
    <n v="-2550"/>
  </r>
  <r>
    <x v="8"/>
    <s v="September"/>
    <n v="9"/>
    <s v="T3"/>
    <x v="1"/>
    <s v="Kommunal Boenhet"/>
    <n v="254"/>
    <s v="Helse og mestring"/>
    <x v="1"/>
    <x v="1"/>
    <n v="1140"/>
    <n v="114000"/>
    <s v="Stillingsannonser"/>
    <n v="2550"/>
    <n v="0"/>
    <n v="0"/>
    <n v="-2550"/>
  </r>
  <r>
    <x v="9"/>
    <s v="Oktober"/>
    <n v="10"/>
    <s v="T3"/>
    <x v="1"/>
    <s v="Kommunal Boenhet"/>
    <n v="254"/>
    <s v="Helse og mestring"/>
    <x v="1"/>
    <x v="1"/>
    <n v="1140"/>
    <n v="114000"/>
    <s v="Stillingsannonser"/>
    <n v="2550"/>
    <n v="0"/>
    <n v="0"/>
    <n v="-2550"/>
  </r>
  <r>
    <x v="10"/>
    <s v="November"/>
    <n v="11"/>
    <s v="T3"/>
    <x v="1"/>
    <s v="Kommunal Boenhet"/>
    <n v="254"/>
    <s v="Helse og mestring"/>
    <x v="1"/>
    <x v="1"/>
    <n v="1140"/>
    <n v="114000"/>
    <s v="Stillingsannonser"/>
    <n v="2550"/>
    <n v="0"/>
    <n v="0"/>
    <n v="-2550"/>
  </r>
  <r>
    <x v="11"/>
    <s v="Desember"/>
    <n v="12"/>
    <s v="T3"/>
    <x v="1"/>
    <s v="Kommunal Boenhet"/>
    <n v="254"/>
    <s v="Helse og mestring"/>
    <x v="1"/>
    <x v="1"/>
    <n v="1140"/>
    <n v="114000"/>
    <s v="Stillingsannonser"/>
    <n v="2950"/>
    <n v="0"/>
    <n v="0"/>
    <n v="-2950"/>
  </r>
  <r>
    <x v="0"/>
    <s v="Januar"/>
    <n v="1"/>
    <s v="T1"/>
    <x v="0"/>
    <s v="Kommunal Boenhet"/>
    <n v="254"/>
    <s v="Helse og mestring"/>
    <x v="1"/>
    <x v="1"/>
    <n v="1150"/>
    <n v="115000"/>
    <s v="Kurs / konferanser/opplæring - inkl. hotell"/>
    <n v="5268"/>
    <n v="0"/>
    <n v="5268"/>
    <n v="-5268"/>
  </r>
  <r>
    <x v="1"/>
    <s v="Februar"/>
    <n v="2"/>
    <s v="T1"/>
    <x v="0"/>
    <s v="Kommunal Boenhet"/>
    <n v="254"/>
    <s v="Helse og mestring"/>
    <x v="1"/>
    <x v="1"/>
    <n v="1150"/>
    <n v="115000"/>
    <s v="Kurs / konferanser/opplæring - inkl. hotell"/>
    <n v="5268"/>
    <n v="0"/>
    <n v="5268"/>
    <n v="-5268"/>
  </r>
  <r>
    <x v="2"/>
    <s v="Mars"/>
    <n v="3"/>
    <s v="T1"/>
    <x v="0"/>
    <s v="Kommunal Boenhet"/>
    <n v="254"/>
    <s v="Helse og mestring"/>
    <x v="1"/>
    <x v="1"/>
    <n v="1150"/>
    <n v="115000"/>
    <s v="Kurs / konferanser/opplæring - inkl. hotell"/>
    <n v="5268"/>
    <n v="282"/>
    <n v="4986"/>
    <n v="-4986"/>
  </r>
  <r>
    <x v="3"/>
    <s v="April"/>
    <n v="4"/>
    <s v="T1"/>
    <x v="0"/>
    <s v="Kommunal Boenhet"/>
    <n v="254"/>
    <s v="Helse og mestring"/>
    <x v="1"/>
    <x v="1"/>
    <n v="1150"/>
    <n v="115000"/>
    <s v="Kurs / konferanser/opplæring - inkl. hotell"/>
    <n v="5268"/>
    <n v="1125"/>
    <n v="4143"/>
    <n v="-4143"/>
  </r>
  <r>
    <x v="4"/>
    <s v="Mai"/>
    <n v="5"/>
    <s v="T2"/>
    <x v="0"/>
    <s v="Kommunal Boenhet"/>
    <n v="254"/>
    <s v="Helse og mestring"/>
    <x v="1"/>
    <x v="1"/>
    <n v="1150"/>
    <n v="115000"/>
    <s v="Kurs / konferanser/opplæring - inkl. hotell"/>
    <n v="5268"/>
    <n v="6640.18"/>
    <n v="-1372.18"/>
    <n v="1372.18"/>
  </r>
  <r>
    <x v="5"/>
    <s v="Juni"/>
    <n v="6"/>
    <s v="T2"/>
    <x v="0"/>
    <s v="Kommunal Boenhet"/>
    <n v="254"/>
    <s v="Helse og mestring"/>
    <x v="1"/>
    <x v="1"/>
    <n v="1150"/>
    <n v="115000"/>
    <s v="Kurs / konferanser/opplæring - inkl. hotell"/>
    <n v="5268"/>
    <n v="0"/>
    <n v="5268"/>
    <n v="-5268"/>
  </r>
  <r>
    <x v="6"/>
    <s v="Juli"/>
    <n v="7"/>
    <s v="T2"/>
    <x v="0"/>
    <s v="Kommunal Boenhet"/>
    <n v="254"/>
    <s v="Helse og mestring"/>
    <x v="1"/>
    <x v="1"/>
    <n v="1150"/>
    <n v="115000"/>
    <s v="Kurs / konferanser/opplæring - inkl. hotell"/>
    <n v="5268"/>
    <n v="0"/>
    <n v="5268"/>
    <n v="-5268"/>
  </r>
  <r>
    <x v="7"/>
    <s v="August"/>
    <n v="8"/>
    <s v="T2"/>
    <x v="0"/>
    <s v="Kommunal Boenhet"/>
    <n v="254"/>
    <s v="Helse og mestring"/>
    <x v="1"/>
    <x v="1"/>
    <n v="1150"/>
    <n v="115000"/>
    <s v="Kurs / konferanser/opplæring - inkl. hotell"/>
    <n v="5268"/>
    <n v="0"/>
    <n v="5268"/>
    <n v="-5268"/>
  </r>
  <r>
    <x v="8"/>
    <s v="September"/>
    <n v="9"/>
    <s v="T3"/>
    <x v="1"/>
    <s v="Kommunal Boenhet"/>
    <n v="254"/>
    <s v="Helse og mestring"/>
    <x v="1"/>
    <x v="1"/>
    <n v="1150"/>
    <n v="115000"/>
    <s v="Kurs / konferanser/opplæring - inkl. hotell"/>
    <n v="5268"/>
    <n v="0"/>
    <n v="0"/>
    <n v="-5268"/>
  </r>
  <r>
    <x v="9"/>
    <s v="Oktober"/>
    <n v="10"/>
    <s v="T3"/>
    <x v="1"/>
    <s v="Kommunal Boenhet"/>
    <n v="254"/>
    <s v="Helse og mestring"/>
    <x v="1"/>
    <x v="1"/>
    <n v="1150"/>
    <n v="115000"/>
    <s v="Kurs / konferanser/opplæring - inkl. hotell"/>
    <n v="5268"/>
    <n v="0"/>
    <n v="0"/>
    <n v="-5268"/>
  </r>
  <r>
    <x v="10"/>
    <s v="November"/>
    <n v="11"/>
    <s v="T3"/>
    <x v="1"/>
    <s v="Kommunal Boenhet"/>
    <n v="254"/>
    <s v="Helse og mestring"/>
    <x v="1"/>
    <x v="1"/>
    <n v="1150"/>
    <n v="115000"/>
    <s v="Kurs / konferanser/opplæring - inkl. hotell"/>
    <n v="5268"/>
    <n v="0"/>
    <n v="0"/>
    <n v="-5268"/>
  </r>
  <r>
    <x v="11"/>
    <s v="Desember"/>
    <n v="12"/>
    <s v="T3"/>
    <x v="1"/>
    <s v="Kommunal Boenhet"/>
    <n v="254"/>
    <s v="Helse og mestring"/>
    <x v="1"/>
    <x v="1"/>
    <n v="1150"/>
    <n v="115000"/>
    <s v="Kurs / konferanser/opplæring - inkl. hotell"/>
    <n v="5052"/>
    <n v="0"/>
    <n v="0"/>
    <n v="-5052"/>
  </r>
  <r>
    <x v="0"/>
    <s v="Januar"/>
    <n v="1"/>
    <s v="T1"/>
    <x v="0"/>
    <s v="Kommunal Boenhet"/>
    <n v="254"/>
    <s v="Helse og mestring"/>
    <x v="1"/>
    <x v="1"/>
    <n v="1160"/>
    <n v="116000"/>
    <s v="Km-godtgjørelse, inkl. passasjertillegg - oppl.pl"/>
    <n v="850"/>
    <n v="0"/>
    <n v="850"/>
    <n v="-850"/>
  </r>
  <r>
    <x v="1"/>
    <s v="Februar"/>
    <n v="2"/>
    <s v="T1"/>
    <x v="0"/>
    <s v="Kommunal Boenhet"/>
    <n v="254"/>
    <s v="Helse og mestring"/>
    <x v="1"/>
    <x v="1"/>
    <n v="1160"/>
    <n v="116000"/>
    <s v="Km-godtgjørelse, inkl. passasjertillegg - oppl.pl"/>
    <n v="850"/>
    <n v="0"/>
    <n v="850"/>
    <n v="-850"/>
  </r>
  <r>
    <x v="2"/>
    <s v="Mars"/>
    <n v="3"/>
    <s v="T1"/>
    <x v="0"/>
    <s v="Kommunal Boenhet"/>
    <n v="254"/>
    <s v="Helse og mestring"/>
    <x v="1"/>
    <x v="1"/>
    <n v="1160"/>
    <n v="116000"/>
    <s v="Km-godtgjørelse, inkl. passasjertillegg - oppl.pl"/>
    <n v="850"/>
    <n v="0"/>
    <n v="850"/>
    <n v="-850"/>
  </r>
  <r>
    <x v="3"/>
    <s v="April"/>
    <n v="4"/>
    <s v="T1"/>
    <x v="0"/>
    <s v="Kommunal Boenhet"/>
    <n v="254"/>
    <s v="Helse og mestring"/>
    <x v="1"/>
    <x v="1"/>
    <n v="1160"/>
    <n v="116000"/>
    <s v="Km-godtgjørelse, inkl. passasjertillegg - oppl.pl"/>
    <n v="850"/>
    <n v="0"/>
    <n v="850"/>
    <n v="-850"/>
  </r>
  <r>
    <x v="4"/>
    <s v="Mai"/>
    <n v="5"/>
    <s v="T2"/>
    <x v="0"/>
    <s v="Kommunal Boenhet"/>
    <n v="254"/>
    <s v="Helse og mestring"/>
    <x v="1"/>
    <x v="1"/>
    <n v="1160"/>
    <n v="116000"/>
    <s v="Km-godtgjørelse, inkl. passasjertillegg - oppl.pl"/>
    <n v="850"/>
    <n v="0"/>
    <n v="850"/>
    <n v="-850"/>
  </r>
  <r>
    <x v="5"/>
    <s v="Juni"/>
    <n v="6"/>
    <s v="T2"/>
    <x v="0"/>
    <s v="Kommunal Boenhet"/>
    <n v="254"/>
    <s v="Helse og mestring"/>
    <x v="1"/>
    <x v="1"/>
    <n v="1160"/>
    <n v="116000"/>
    <s v="Km-godtgjørelse, inkl. passasjertillegg - oppl.pl"/>
    <n v="850"/>
    <n v="538.2"/>
    <n v="311.8"/>
    <n v="-311.8"/>
  </r>
  <r>
    <x v="6"/>
    <s v="Juli"/>
    <n v="7"/>
    <s v="T2"/>
    <x v="0"/>
    <s v="Kommunal Boenhet"/>
    <n v="254"/>
    <s v="Helse og mestring"/>
    <x v="1"/>
    <x v="1"/>
    <n v="1160"/>
    <n v="116000"/>
    <s v="Km-godtgjørelse, inkl. passasjertillegg - oppl.pl"/>
    <n v="850"/>
    <n v="1471.05"/>
    <n v="-621.05"/>
    <n v="621.05"/>
  </r>
  <r>
    <x v="7"/>
    <s v="August"/>
    <n v="8"/>
    <s v="T2"/>
    <x v="0"/>
    <s v="Kommunal Boenhet"/>
    <n v="254"/>
    <s v="Helse og mestring"/>
    <x v="1"/>
    <x v="1"/>
    <n v="1160"/>
    <n v="116000"/>
    <s v="Km-godtgjørelse, inkl. passasjertillegg - oppl.pl"/>
    <n v="850"/>
    <n v="0"/>
    <n v="850"/>
    <n v="-850"/>
  </r>
  <r>
    <x v="8"/>
    <s v="September"/>
    <n v="9"/>
    <s v="T3"/>
    <x v="1"/>
    <s v="Kommunal Boenhet"/>
    <n v="254"/>
    <s v="Helse og mestring"/>
    <x v="1"/>
    <x v="1"/>
    <n v="1160"/>
    <n v="116000"/>
    <s v="Km-godtgjørelse, inkl. passasjertillegg - oppl.pl"/>
    <n v="850"/>
    <n v="0"/>
    <n v="0"/>
    <n v="-850"/>
  </r>
  <r>
    <x v="9"/>
    <s v="Oktober"/>
    <n v="10"/>
    <s v="T3"/>
    <x v="1"/>
    <s v="Kommunal Boenhet"/>
    <n v="254"/>
    <s v="Helse og mestring"/>
    <x v="1"/>
    <x v="1"/>
    <n v="1160"/>
    <n v="116000"/>
    <s v="Km-godtgjørelse, inkl. passasjertillegg - oppl.pl"/>
    <n v="850"/>
    <n v="0"/>
    <n v="0"/>
    <n v="-850"/>
  </r>
  <r>
    <x v="10"/>
    <s v="November"/>
    <n v="11"/>
    <s v="T3"/>
    <x v="1"/>
    <s v="Kommunal Boenhet"/>
    <n v="254"/>
    <s v="Helse og mestring"/>
    <x v="1"/>
    <x v="1"/>
    <n v="1160"/>
    <n v="116000"/>
    <s v="Km-godtgjørelse, inkl. passasjertillegg - oppl.pl"/>
    <n v="850"/>
    <n v="0"/>
    <n v="0"/>
    <n v="-850"/>
  </r>
  <r>
    <x v="11"/>
    <s v="Desember"/>
    <n v="12"/>
    <s v="T3"/>
    <x v="1"/>
    <s v="Kommunal Boenhet"/>
    <n v="254"/>
    <s v="Helse og mestring"/>
    <x v="1"/>
    <x v="1"/>
    <n v="1160"/>
    <n v="116000"/>
    <s v="Km-godtgjørelse, inkl. passasjertillegg - oppl.pl"/>
    <n v="650"/>
    <n v="0"/>
    <n v="0"/>
    <n v="-650"/>
  </r>
  <r>
    <x v="0"/>
    <s v="Januar"/>
    <n v="1"/>
    <s v="T1"/>
    <x v="0"/>
    <s v="Kommunal Boenhet"/>
    <n v="254"/>
    <s v="Helse og mestring"/>
    <x v="1"/>
    <x v="1"/>
    <n v="1170"/>
    <n v="117000"/>
    <s v="Drivstoff - inkludert strøm til el-biler, bio"/>
    <n v="4078"/>
    <n v="1287.68"/>
    <n v="2790.32"/>
    <n v="-2790.32"/>
  </r>
  <r>
    <x v="1"/>
    <s v="Februar"/>
    <n v="2"/>
    <s v="T1"/>
    <x v="0"/>
    <s v="Kommunal Boenhet"/>
    <n v="254"/>
    <s v="Helse og mestring"/>
    <x v="1"/>
    <x v="1"/>
    <n v="1170"/>
    <n v="117000"/>
    <s v="Drivstoff - inkludert strøm til el-biler, bio"/>
    <n v="4078"/>
    <n v="1206.14"/>
    <n v="2871.86"/>
    <n v="-2871.86"/>
  </r>
  <r>
    <x v="2"/>
    <s v="Mars"/>
    <n v="3"/>
    <s v="T1"/>
    <x v="0"/>
    <s v="Kommunal Boenhet"/>
    <n v="254"/>
    <s v="Helse og mestring"/>
    <x v="1"/>
    <x v="1"/>
    <n v="1170"/>
    <n v="117000"/>
    <s v="Drivstoff - inkludert strøm til el-biler, bio"/>
    <n v="4078"/>
    <n v="1272.76"/>
    <n v="2805.24"/>
    <n v="-2805.24"/>
  </r>
  <r>
    <x v="3"/>
    <s v="April"/>
    <n v="4"/>
    <s v="T1"/>
    <x v="0"/>
    <s v="Kommunal Boenhet"/>
    <n v="254"/>
    <s v="Helse og mestring"/>
    <x v="1"/>
    <x v="1"/>
    <n v="1170"/>
    <n v="117000"/>
    <s v="Drivstoff - inkludert strøm til el-biler, bio"/>
    <n v="4078"/>
    <n v="1002.81"/>
    <n v="3075.19"/>
    <n v="-3075.19"/>
  </r>
  <r>
    <x v="4"/>
    <s v="Mai"/>
    <n v="5"/>
    <s v="T2"/>
    <x v="0"/>
    <s v="Kommunal Boenhet"/>
    <n v="254"/>
    <s v="Helse og mestring"/>
    <x v="1"/>
    <x v="1"/>
    <n v="1170"/>
    <n v="117000"/>
    <s v="Drivstoff - inkludert strøm til el-biler, bio"/>
    <n v="4078"/>
    <n v="1113.62"/>
    <n v="2964.38"/>
    <n v="-2964.38"/>
  </r>
  <r>
    <x v="5"/>
    <s v="Juni"/>
    <n v="6"/>
    <s v="T2"/>
    <x v="0"/>
    <s v="Kommunal Boenhet"/>
    <n v="254"/>
    <s v="Helse og mestring"/>
    <x v="1"/>
    <x v="1"/>
    <n v="1170"/>
    <n v="117000"/>
    <s v="Drivstoff - inkludert strøm til el-biler, bio"/>
    <n v="4078"/>
    <n v="999.62"/>
    <n v="3078.38"/>
    <n v="-3078.38"/>
  </r>
  <r>
    <x v="6"/>
    <s v="Juli"/>
    <n v="7"/>
    <s v="T2"/>
    <x v="0"/>
    <s v="Kommunal Boenhet"/>
    <n v="254"/>
    <s v="Helse og mestring"/>
    <x v="1"/>
    <x v="1"/>
    <n v="1170"/>
    <n v="117000"/>
    <s v="Drivstoff - inkludert strøm til el-biler, bio"/>
    <n v="4078"/>
    <n v="3184.4"/>
    <n v="893.6"/>
    <n v="-893.6"/>
  </r>
  <r>
    <x v="7"/>
    <s v="August"/>
    <n v="8"/>
    <s v="T2"/>
    <x v="0"/>
    <s v="Kommunal Boenhet"/>
    <n v="254"/>
    <s v="Helse og mestring"/>
    <x v="1"/>
    <x v="1"/>
    <n v="1170"/>
    <n v="117000"/>
    <s v="Drivstoff - inkludert strøm til el-biler, bio"/>
    <n v="4078"/>
    <n v="1211.48"/>
    <n v="2866.52"/>
    <n v="-2866.52"/>
  </r>
  <r>
    <x v="8"/>
    <s v="September"/>
    <n v="9"/>
    <s v="T3"/>
    <x v="1"/>
    <s v="Kommunal Boenhet"/>
    <n v="254"/>
    <s v="Helse og mestring"/>
    <x v="1"/>
    <x v="1"/>
    <n v="1170"/>
    <n v="117000"/>
    <s v="Drivstoff - inkludert strøm til el-biler, bio"/>
    <n v="4078"/>
    <n v="0"/>
    <n v="0"/>
    <n v="-4078"/>
  </r>
  <r>
    <x v="9"/>
    <s v="Oktober"/>
    <n v="10"/>
    <s v="T3"/>
    <x v="1"/>
    <s v="Kommunal Boenhet"/>
    <n v="254"/>
    <s v="Helse og mestring"/>
    <x v="1"/>
    <x v="1"/>
    <n v="1170"/>
    <n v="117000"/>
    <s v="Drivstoff - inkludert strøm til el-biler, bio"/>
    <n v="4078"/>
    <n v="0"/>
    <n v="0"/>
    <n v="-4078"/>
  </r>
  <r>
    <x v="10"/>
    <s v="November"/>
    <n v="11"/>
    <s v="T3"/>
    <x v="1"/>
    <s v="Kommunal Boenhet"/>
    <n v="254"/>
    <s v="Helse og mestring"/>
    <x v="1"/>
    <x v="1"/>
    <n v="1170"/>
    <n v="117000"/>
    <s v="Drivstoff - inkludert strøm til el-biler, bio"/>
    <n v="4078"/>
    <n v="0"/>
    <n v="0"/>
    <n v="-4078"/>
  </r>
  <r>
    <x v="11"/>
    <s v="Desember"/>
    <n v="12"/>
    <s v="T3"/>
    <x v="1"/>
    <s v="Kommunal Boenhet"/>
    <n v="254"/>
    <s v="Helse og mestring"/>
    <x v="1"/>
    <x v="1"/>
    <n v="1170"/>
    <n v="117000"/>
    <s v="Drivstoff - inkludert strøm til el-biler, bio"/>
    <n v="4142"/>
    <n v="0"/>
    <n v="0"/>
    <n v="-4142"/>
  </r>
  <r>
    <x v="0"/>
    <s v="Januar"/>
    <n v="1"/>
    <s v="T1"/>
    <x v="0"/>
    <s v="Kommunal Boenhet"/>
    <n v="254"/>
    <s v="Helse og mestring"/>
    <x v="1"/>
    <x v="1"/>
    <n v="1170"/>
    <n v="117002"/>
    <s v="Vedlikehold / service transportmidler og anleggsm."/>
    <n v="0"/>
    <n v="0"/>
    <n v="0"/>
    <n v="0"/>
  </r>
  <r>
    <x v="1"/>
    <s v="Februar"/>
    <n v="2"/>
    <s v="T1"/>
    <x v="0"/>
    <s v="Kommunal Boenhet"/>
    <n v="254"/>
    <s v="Helse og mestring"/>
    <x v="1"/>
    <x v="1"/>
    <n v="1170"/>
    <n v="117002"/>
    <s v="Vedlikehold / service transportmidler og anleggsm."/>
    <n v="0"/>
    <n v="0"/>
    <n v="0"/>
    <n v="0"/>
  </r>
  <r>
    <x v="2"/>
    <s v="Mars"/>
    <n v="3"/>
    <s v="T1"/>
    <x v="0"/>
    <s v="Kommunal Boenhet"/>
    <n v="254"/>
    <s v="Helse og mestring"/>
    <x v="1"/>
    <x v="1"/>
    <n v="1170"/>
    <n v="117002"/>
    <s v="Vedlikehold / service transportmidler og anleggsm."/>
    <n v="0"/>
    <n v="400"/>
    <n v="-400"/>
    <n v="400"/>
  </r>
  <r>
    <x v="3"/>
    <s v="April"/>
    <n v="4"/>
    <s v="T1"/>
    <x v="0"/>
    <s v="Kommunal Boenhet"/>
    <n v="254"/>
    <s v="Helse og mestring"/>
    <x v="1"/>
    <x v="1"/>
    <n v="1170"/>
    <n v="117002"/>
    <s v="Vedlikehold / service transportmidler og anleggsm."/>
    <n v="0"/>
    <n v="0"/>
    <n v="0"/>
    <n v="0"/>
  </r>
  <r>
    <x v="4"/>
    <s v="Mai"/>
    <n v="5"/>
    <s v="T2"/>
    <x v="0"/>
    <s v="Kommunal Boenhet"/>
    <n v="254"/>
    <s v="Helse og mestring"/>
    <x v="1"/>
    <x v="1"/>
    <n v="1170"/>
    <n v="117002"/>
    <s v="Vedlikehold / service transportmidler og anleggsm."/>
    <n v="0"/>
    <n v="0"/>
    <n v="0"/>
    <n v="0"/>
  </r>
  <r>
    <x v="5"/>
    <s v="Juni"/>
    <n v="6"/>
    <s v="T2"/>
    <x v="0"/>
    <s v="Kommunal Boenhet"/>
    <n v="254"/>
    <s v="Helse og mestring"/>
    <x v="1"/>
    <x v="1"/>
    <n v="1170"/>
    <n v="117002"/>
    <s v="Vedlikehold / service transportmidler og anleggsm."/>
    <n v="0"/>
    <n v="0"/>
    <n v="0"/>
    <n v="0"/>
  </r>
  <r>
    <x v="6"/>
    <s v="Juli"/>
    <n v="7"/>
    <s v="T2"/>
    <x v="0"/>
    <s v="Kommunal Boenhet"/>
    <n v="254"/>
    <s v="Helse og mestring"/>
    <x v="1"/>
    <x v="1"/>
    <n v="1170"/>
    <n v="117002"/>
    <s v="Vedlikehold / service transportmidler og anleggsm."/>
    <n v="0"/>
    <n v="0"/>
    <n v="0"/>
    <n v="0"/>
  </r>
  <r>
    <x v="7"/>
    <s v="August"/>
    <n v="8"/>
    <s v="T2"/>
    <x v="0"/>
    <s v="Kommunal Boenhet"/>
    <n v="254"/>
    <s v="Helse og mestring"/>
    <x v="1"/>
    <x v="1"/>
    <n v="1170"/>
    <n v="117002"/>
    <s v="Vedlikehold / service transportmidler og anleggsm."/>
    <n v="0"/>
    <n v="0"/>
    <n v="0"/>
    <n v="0"/>
  </r>
  <r>
    <x v="8"/>
    <s v="September"/>
    <n v="9"/>
    <s v="T3"/>
    <x v="1"/>
    <s v="Kommunal Boenhet"/>
    <n v="254"/>
    <s v="Helse og mestring"/>
    <x v="1"/>
    <x v="1"/>
    <n v="1170"/>
    <n v="117002"/>
    <s v="Vedlikehold / service transportmidler og anleggsm."/>
    <n v="0"/>
    <n v="0"/>
    <n v="0"/>
    <n v="0"/>
  </r>
  <r>
    <x v="9"/>
    <s v="Oktober"/>
    <n v="10"/>
    <s v="T3"/>
    <x v="1"/>
    <s v="Kommunal Boenhet"/>
    <n v="254"/>
    <s v="Helse og mestring"/>
    <x v="1"/>
    <x v="1"/>
    <n v="1170"/>
    <n v="117002"/>
    <s v="Vedlikehold / service transportmidler og anleggsm."/>
    <n v="0"/>
    <n v="0"/>
    <n v="0"/>
    <n v="0"/>
  </r>
  <r>
    <x v="10"/>
    <s v="November"/>
    <n v="11"/>
    <s v="T3"/>
    <x v="1"/>
    <s v="Kommunal Boenhet"/>
    <n v="254"/>
    <s v="Helse og mestring"/>
    <x v="1"/>
    <x v="1"/>
    <n v="1170"/>
    <n v="117002"/>
    <s v="Vedlikehold / service transportmidler og anleggsm."/>
    <n v="0"/>
    <n v="0"/>
    <n v="0"/>
    <n v="0"/>
  </r>
  <r>
    <x v="11"/>
    <s v="Desember"/>
    <n v="12"/>
    <s v="T3"/>
    <x v="1"/>
    <s v="Kommunal Boenhet"/>
    <n v="254"/>
    <s v="Helse og mestring"/>
    <x v="1"/>
    <x v="1"/>
    <n v="1170"/>
    <n v="117002"/>
    <s v="Vedlikehold / service transportmidler og anleggsm."/>
    <n v="0"/>
    <n v="0"/>
    <n v="0"/>
    <n v="0"/>
  </r>
  <r>
    <x v="0"/>
    <s v="Januar"/>
    <n v="1"/>
    <s v="T1"/>
    <x v="0"/>
    <s v="Kommunal Boenhet"/>
    <n v="254"/>
    <s v="Helse og mestring"/>
    <x v="1"/>
    <x v="1"/>
    <n v="1170"/>
    <n v="117004"/>
    <s v="SKADER OG EGENANDELER TRANSPORTMIDLER OG ANLEGGSMASKINER"/>
    <n v="0"/>
    <n v="0"/>
    <n v="0"/>
    <n v="0"/>
  </r>
  <r>
    <x v="1"/>
    <s v="Februar"/>
    <n v="2"/>
    <s v="T1"/>
    <x v="0"/>
    <s v="Kommunal Boenhet"/>
    <n v="254"/>
    <s v="Helse og mestring"/>
    <x v="1"/>
    <x v="1"/>
    <n v="1170"/>
    <n v="117004"/>
    <s v="SKADER OG EGENANDELER TRANSPORTMIDLER OG ANLEGGSMASKINER"/>
    <n v="0"/>
    <n v="0"/>
    <n v="0"/>
    <n v="0"/>
  </r>
  <r>
    <x v="2"/>
    <s v="Mars"/>
    <n v="3"/>
    <s v="T1"/>
    <x v="0"/>
    <s v="Kommunal Boenhet"/>
    <n v="254"/>
    <s v="Helse og mestring"/>
    <x v="1"/>
    <x v="1"/>
    <n v="1170"/>
    <n v="117004"/>
    <s v="SKADER OG EGENANDELER TRANSPORTMIDLER OG ANLEGGSMASKINER"/>
    <n v="0"/>
    <n v="0"/>
    <n v="0"/>
    <n v="0"/>
  </r>
  <r>
    <x v="3"/>
    <s v="April"/>
    <n v="4"/>
    <s v="T1"/>
    <x v="0"/>
    <s v="Kommunal Boenhet"/>
    <n v="254"/>
    <s v="Helse og mestring"/>
    <x v="1"/>
    <x v="1"/>
    <n v="1170"/>
    <n v="117004"/>
    <s v="SKADER OG EGENANDELER TRANSPORTMIDLER OG ANLEGGSMASKINER"/>
    <n v="0"/>
    <n v="0"/>
    <n v="0"/>
    <n v="0"/>
  </r>
  <r>
    <x v="4"/>
    <s v="Mai"/>
    <n v="5"/>
    <s v="T2"/>
    <x v="0"/>
    <s v="Kommunal Boenhet"/>
    <n v="254"/>
    <s v="Helse og mestring"/>
    <x v="1"/>
    <x v="1"/>
    <n v="1170"/>
    <n v="117004"/>
    <s v="SKADER OG EGENANDELER TRANSPORTMIDLER OG ANLEGGSMASKINER"/>
    <n v="0"/>
    <n v="0"/>
    <n v="0"/>
    <n v="0"/>
  </r>
  <r>
    <x v="5"/>
    <s v="Juni"/>
    <n v="6"/>
    <s v="T2"/>
    <x v="0"/>
    <s v="Kommunal Boenhet"/>
    <n v="254"/>
    <s v="Helse og mestring"/>
    <x v="1"/>
    <x v="1"/>
    <n v="1170"/>
    <n v="117004"/>
    <s v="SKADER OG EGENANDELER TRANSPORTMIDLER OG ANLEGGSMASKINER"/>
    <n v="0"/>
    <n v="0"/>
    <n v="0"/>
    <n v="0"/>
  </r>
  <r>
    <x v="6"/>
    <s v="Juli"/>
    <n v="7"/>
    <s v="T2"/>
    <x v="0"/>
    <s v="Kommunal Boenhet"/>
    <n v="254"/>
    <s v="Helse og mestring"/>
    <x v="1"/>
    <x v="1"/>
    <n v="1170"/>
    <n v="117004"/>
    <s v="SKADER OG EGENANDELER TRANSPORTMIDLER OG ANLEGGSMASKINER"/>
    <n v="0"/>
    <n v="0"/>
    <n v="0"/>
    <n v="0"/>
  </r>
  <r>
    <x v="7"/>
    <s v="August"/>
    <n v="8"/>
    <s v="T2"/>
    <x v="0"/>
    <s v="Kommunal Boenhet"/>
    <n v="254"/>
    <s v="Helse og mestring"/>
    <x v="1"/>
    <x v="1"/>
    <n v="1170"/>
    <n v="117004"/>
    <s v="SKADER OG EGENANDELER TRANSPORTMIDLER OG ANLEGGSMASKINER"/>
    <n v="0"/>
    <n v="0"/>
    <n v="0"/>
    <n v="0"/>
  </r>
  <r>
    <x v="8"/>
    <s v="September"/>
    <n v="9"/>
    <s v="T3"/>
    <x v="1"/>
    <s v="Kommunal Boenhet"/>
    <n v="254"/>
    <s v="Helse og mestring"/>
    <x v="1"/>
    <x v="1"/>
    <n v="1170"/>
    <n v="117004"/>
    <s v="SKADER OG EGENANDELER TRANSPORTMIDLER OG ANLEGGSMASKINER"/>
    <n v="0"/>
    <n v="0"/>
    <n v="0"/>
    <n v="0"/>
  </r>
  <r>
    <x v="9"/>
    <s v="Oktober"/>
    <n v="10"/>
    <s v="T3"/>
    <x v="1"/>
    <s v="Kommunal Boenhet"/>
    <n v="254"/>
    <s v="Helse og mestring"/>
    <x v="1"/>
    <x v="1"/>
    <n v="1170"/>
    <n v="117004"/>
    <s v="SKADER OG EGENANDELER TRANSPORTMIDLER OG ANLEGGSMASKINER"/>
    <n v="0"/>
    <n v="0"/>
    <n v="0"/>
    <n v="0"/>
  </r>
  <r>
    <x v="10"/>
    <s v="November"/>
    <n v="11"/>
    <s v="T3"/>
    <x v="1"/>
    <s v="Kommunal Boenhet"/>
    <n v="254"/>
    <s v="Helse og mestring"/>
    <x v="1"/>
    <x v="1"/>
    <n v="1170"/>
    <n v="117004"/>
    <s v="SKADER OG EGENANDELER TRANSPORTMIDLER OG ANLEGGSMASKINER"/>
    <n v="0"/>
    <n v="0"/>
    <n v="0"/>
    <n v="0"/>
  </r>
  <r>
    <x v="11"/>
    <s v="Desember"/>
    <n v="12"/>
    <s v="T3"/>
    <x v="1"/>
    <s v="Kommunal Boenhet"/>
    <n v="254"/>
    <s v="Helse og mestring"/>
    <x v="1"/>
    <x v="1"/>
    <n v="1170"/>
    <n v="117004"/>
    <s v="SKADER OG EGENANDELER TRANSPORTMIDLER OG ANLEGGSMASKINER"/>
    <n v="0"/>
    <n v="0"/>
    <n v="0"/>
    <n v="0"/>
  </r>
  <r>
    <x v="0"/>
    <s v="Januar"/>
    <n v="1"/>
    <s v="T1"/>
    <x v="0"/>
    <s v="Kommunal Boenhet"/>
    <n v="254"/>
    <s v="Helse og mestring"/>
    <x v="1"/>
    <x v="1"/>
    <n v="1170"/>
    <n v="117030"/>
    <s v="Reiseutg. buss, tog,taxi, fly, leiebil, bom, park."/>
    <n v="858"/>
    <n v="2250"/>
    <n v="-1392"/>
    <n v="1392"/>
  </r>
  <r>
    <x v="1"/>
    <s v="Februar"/>
    <n v="2"/>
    <s v="T1"/>
    <x v="0"/>
    <s v="Kommunal Boenhet"/>
    <n v="254"/>
    <s v="Helse og mestring"/>
    <x v="1"/>
    <x v="1"/>
    <n v="1170"/>
    <n v="117030"/>
    <s v="Reiseutg. buss, tog,taxi, fly, leiebil, bom, park."/>
    <n v="858"/>
    <n v="1250"/>
    <n v="-392"/>
    <n v="392"/>
  </r>
  <r>
    <x v="2"/>
    <s v="Mars"/>
    <n v="3"/>
    <s v="T1"/>
    <x v="0"/>
    <s v="Kommunal Boenhet"/>
    <n v="254"/>
    <s v="Helse og mestring"/>
    <x v="1"/>
    <x v="1"/>
    <n v="1170"/>
    <n v="117030"/>
    <s v="Reiseutg. buss, tog,taxi, fly, leiebil, bom, park."/>
    <n v="858"/>
    <n v="1739.5"/>
    <n v="-881.5"/>
    <n v="881.5"/>
  </r>
  <r>
    <x v="3"/>
    <s v="April"/>
    <n v="4"/>
    <s v="T1"/>
    <x v="0"/>
    <s v="Kommunal Boenhet"/>
    <n v="254"/>
    <s v="Helse og mestring"/>
    <x v="1"/>
    <x v="1"/>
    <n v="1170"/>
    <n v="117030"/>
    <s v="Reiseutg. buss, tog,taxi, fly, leiebil, bom, park."/>
    <n v="858"/>
    <n v="1250"/>
    <n v="-392"/>
    <n v="392"/>
  </r>
  <r>
    <x v="4"/>
    <s v="Mai"/>
    <n v="5"/>
    <s v="T2"/>
    <x v="0"/>
    <s v="Kommunal Boenhet"/>
    <n v="254"/>
    <s v="Helse og mestring"/>
    <x v="1"/>
    <x v="1"/>
    <n v="1170"/>
    <n v="117030"/>
    <s v="Reiseutg. buss, tog,taxi, fly, leiebil, bom, park."/>
    <n v="858"/>
    <n v="1250"/>
    <n v="-392"/>
    <n v="392"/>
  </r>
  <r>
    <x v="5"/>
    <s v="Juni"/>
    <n v="6"/>
    <s v="T2"/>
    <x v="0"/>
    <s v="Kommunal Boenhet"/>
    <n v="254"/>
    <s v="Helse og mestring"/>
    <x v="1"/>
    <x v="1"/>
    <n v="1170"/>
    <n v="117030"/>
    <s v="Reiseutg. buss, tog,taxi, fly, leiebil, bom, park."/>
    <n v="858"/>
    <n v="26317.58"/>
    <n v="-25459.58"/>
    <n v="25459.58"/>
  </r>
  <r>
    <x v="6"/>
    <s v="Juli"/>
    <n v="7"/>
    <s v="T2"/>
    <x v="0"/>
    <s v="Kommunal Boenhet"/>
    <n v="254"/>
    <s v="Helse og mestring"/>
    <x v="1"/>
    <x v="1"/>
    <n v="1170"/>
    <n v="117030"/>
    <s v="Reiseutg. buss, tog,taxi, fly, leiebil, bom, park."/>
    <n v="858"/>
    <n v="2175.64"/>
    <n v="-1317.64"/>
    <n v="1317.64"/>
  </r>
  <r>
    <x v="7"/>
    <s v="August"/>
    <n v="8"/>
    <s v="T2"/>
    <x v="0"/>
    <s v="Kommunal Boenhet"/>
    <n v="254"/>
    <s v="Helse og mestring"/>
    <x v="1"/>
    <x v="1"/>
    <n v="1170"/>
    <n v="117030"/>
    <s v="Reiseutg. buss, tog,taxi, fly, leiebil, bom, park."/>
    <n v="858"/>
    <n v="3317"/>
    <n v="-2459"/>
    <n v="2459"/>
  </r>
  <r>
    <x v="8"/>
    <s v="September"/>
    <n v="9"/>
    <s v="T3"/>
    <x v="1"/>
    <s v="Kommunal Boenhet"/>
    <n v="254"/>
    <s v="Helse og mestring"/>
    <x v="1"/>
    <x v="1"/>
    <n v="1170"/>
    <n v="117030"/>
    <s v="Reiseutg. buss, tog,taxi, fly, leiebil, bom, park."/>
    <n v="858"/>
    <n v="0"/>
    <n v="0"/>
    <n v="-858"/>
  </r>
  <r>
    <x v="9"/>
    <s v="Oktober"/>
    <n v="10"/>
    <s v="T3"/>
    <x v="1"/>
    <s v="Kommunal Boenhet"/>
    <n v="254"/>
    <s v="Helse og mestring"/>
    <x v="1"/>
    <x v="1"/>
    <n v="1170"/>
    <n v="117030"/>
    <s v="Reiseutg. buss, tog,taxi, fly, leiebil, bom, park."/>
    <n v="858"/>
    <n v="0"/>
    <n v="0"/>
    <n v="-858"/>
  </r>
  <r>
    <x v="10"/>
    <s v="November"/>
    <n v="11"/>
    <s v="T3"/>
    <x v="1"/>
    <s v="Kommunal Boenhet"/>
    <n v="254"/>
    <s v="Helse og mestring"/>
    <x v="1"/>
    <x v="1"/>
    <n v="1170"/>
    <n v="117030"/>
    <s v="Reiseutg. buss, tog,taxi, fly, leiebil, bom, park."/>
    <n v="858"/>
    <n v="0"/>
    <n v="0"/>
    <n v="-858"/>
  </r>
  <r>
    <x v="11"/>
    <s v="Desember"/>
    <n v="12"/>
    <s v="T3"/>
    <x v="1"/>
    <s v="Kommunal Boenhet"/>
    <n v="254"/>
    <s v="Helse og mestring"/>
    <x v="1"/>
    <x v="1"/>
    <n v="1170"/>
    <n v="117030"/>
    <s v="Reiseutg. buss, tog,taxi, fly, leiebil, bom, park."/>
    <n v="562"/>
    <n v="0"/>
    <n v="0"/>
    <n v="-562"/>
  </r>
  <r>
    <x v="0"/>
    <s v="Januar"/>
    <n v="1"/>
    <s v="T1"/>
    <x v="0"/>
    <s v="Kommunal Boenhet"/>
    <n v="254"/>
    <s v="Helse og mestring"/>
    <x v="1"/>
    <x v="1"/>
    <n v="1170"/>
    <n v="117040"/>
    <s v="Flyttetjenester"/>
    <n v="0"/>
    <n v="0"/>
    <n v="0"/>
    <n v="0"/>
  </r>
  <r>
    <x v="1"/>
    <s v="Februar"/>
    <n v="2"/>
    <s v="T1"/>
    <x v="0"/>
    <s v="Kommunal Boenhet"/>
    <n v="254"/>
    <s v="Helse og mestring"/>
    <x v="1"/>
    <x v="1"/>
    <n v="1170"/>
    <n v="117040"/>
    <s v="Flyttetjenester"/>
    <n v="0"/>
    <n v="0"/>
    <n v="0"/>
    <n v="0"/>
  </r>
  <r>
    <x v="2"/>
    <s v="Mars"/>
    <n v="3"/>
    <s v="T1"/>
    <x v="0"/>
    <s v="Kommunal Boenhet"/>
    <n v="254"/>
    <s v="Helse og mestring"/>
    <x v="1"/>
    <x v="1"/>
    <n v="1170"/>
    <n v="117040"/>
    <s v="Flyttetjenester"/>
    <n v="0"/>
    <n v="0"/>
    <n v="0"/>
    <n v="0"/>
  </r>
  <r>
    <x v="3"/>
    <s v="April"/>
    <n v="4"/>
    <s v="T1"/>
    <x v="0"/>
    <s v="Kommunal Boenhet"/>
    <n v="254"/>
    <s v="Helse og mestring"/>
    <x v="1"/>
    <x v="1"/>
    <n v="1170"/>
    <n v="117040"/>
    <s v="Flyttetjenester"/>
    <n v="0"/>
    <n v="0"/>
    <n v="0"/>
    <n v="0"/>
  </r>
  <r>
    <x v="4"/>
    <s v="Mai"/>
    <n v="5"/>
    <s v="T2"/>
    <x v="0"/>
    <s v="Kommunal Boenhet"/>
    <n v="254"/>
    <s v="Helse og mestring"/>
    <x v="1"/>
    <x v="1"/>
    <n v="1170"/>
    <n v="117040"/>
    <s v="Flyttetjenester"/>
    <n v="0"/>
    <n v="0"/>
    <n v="0"/>
    <n v="0"/>
  </r>
  <r>
    <x v="5"/>
    <s v="Juni"/>
    <n v="6"/>
    <s v="T2"/>
    <x v="0"/>
    <s v="Kommunal Boenhet"/>
    <n v="254"/>
    <s v="Helse og mestring"/>
    <x v="1"/>
    <x v="1"/>
    <n v="1170"/>
    <n v="117040"/>
    <s v="Flyttetjenester"/>
    <n v="0"/>
    <n v="0"/>
    <n v="0"/>
    <n v="0"/>
  </r>
  <r>
    <x v="6"/>
    <s v="Juli"/>
    <n v="7"/>
    <s v="T2"/>
    <x v="0"/>
    <s v="Kommunal Boenhet"/>
    <n v="254"/>
    <s v="Helse og mestring"/>
    <x v="1"/>
    <x v="1"/>
    <n v="1170"/>
    <n v="117040"/>
    <s v="Flyttetjenester"/>
    <n v="0"/>
    <n v="0"/>
    <n v="0"/>
    <n v="0"/>
  </r>
  <r>
    <x v="7"/>
    <s v="August"/>
    <n v="8"/>
    <s v="T2"/>
    <x v="0"/>
    <s v="Kommunal Boenhet"/>
    <n v="254"/>
    <s v="Helse og mestring"/>
    <x v="1"/>
    <x v="1"/>
    <n v="1170"/>
    <n v="117040"/>
    <s v="Flyttetjenester"/>
    <n v="0"/>
    <n v="0"/>
    <n v="0"/>
    <n v="0"/>
  </r>
  <r>
    <x v="8"/>
    <s v="September"/>
    <n v="9"/>
    <s v="T3"/>
    <x v="1"/>
    <s v="Kommunal Boenhet"/>
    <n v="254"/>
    <s v="Helse og mestring"/>
    <x v="1"/>
    <x v="1"/>
    <n v="1170"/>
    <n v="117040"/>
    <s v="Flyttetjenester"/>
    <n v="0"/>
    <n v="0"/>
    <n v="0"/>
    <n v="0"/>
  </r>
  <r>
    <x v="9"/>
    <s v="Oktober"/>
    <n v="10"/>
    <s v="T3"/>
    <x v="1"/>
    <s v="Kommunal Boenhet"/>
    <n v="254"/>
    <s v="Helse og mestring"/>
    <x v="1"/>
    <x v="1"/>
    <n v="1170"/>
    <n v="117040"/>
    <s v="Flyttetjenester"/>
    <n v="0"/>
    <n v="0"/>
    <n v="0"/>
    <n v="0"/>
  </r>
  <r>
    <x v="10"/>
    <s v="November"/>
    <n v="11"/>
    <s v="T3"/>
    <x v="1"/>
    <s v="Kommunal Boenhet"/>
    <n v="254"/>
    <s v="Helse og mestring"/>
    <x v="1"/>
    <x v="1"/>
    <n v="1170"/>
    <n v="117040"/>
    <s v="Flyttetjenester"/>
    <n v="0"/>
    <n v="0"/>
    <n v="0"/>
    <n v="0"/>
  </r>
  <r>
    <x v="11"/>
    <s v="Desember"/>
    <n v="12"/>
    <s v="T3"/>
    <x v="1"/>
    <s v="Kommunal Boenhet"/>
    <n v="254"/>
    <s v="Helse og mestring"/>
    <x v="1"/>
    <x v="1"/>
    <n v="1170"/>
    <n v="117040"/>
    <s v="Flyttetjenester"/>
    <n v="0"/>
    <n v="0"/>
    <n v="0"/>
    <n v="0"/>
  </r>
  <r>
    <x v="0"/>
    <s v="Januar"/>
    <n v="1"/>
    <s v="T1"/>
    <x v="0"/>
    <s v="Kommunal Boenhet"/>
    <n v="254"/>
    <s v="Helse og mestring"/>
    <x v="1"/>
    <x v="1"/>
    <n v="1195"/>
    <n v="119520"/>
    <s v="Tv-lisens og kabel-tv"/>
    <n v="850"/>
    <n v="0"/>
    <n v="850"/>
    <n v="-850"/>
  </r>
  <r>
    <x v="1"/>
    <s v="Februar"/>
    <n v="2"/>
    <s v="T1"/>
    <x v="0"/>
    <s v="Kommunal Boenhet"/>
    <n v="254"/>
    <s v="Helse og mestring"/>
    <x v="1"/>
    <x v="1"/>
    <n v="1195"/>
    <n v="119520"/>
    <s v="Tv-lisens og kabel-tv"/>
    <n v="850"/>
    <n v="0"/>
    <n v="850"/>
    <n v="-850"/>
  </r>
  <r>
    <x v="2"/>
    <s v="Mars"/>
    <n v="3"/>
    <s v="T1"/>
    <x v="0"/>
    <s v="Kommunal Boenhet"/>
    <n v="254"/>
    <s v="Helse og mestring"/>
    <x v="1"/>
    <x v="1"/>
    <n v="1195"/>
    <n v="119520"/>
    <s v="Tv-lisens og kabel-tv"/>
    <n v="850"/>
    <n v="0"/>
    <n v="850"/>
    <n v="-850"/>
  </r>
  <r>
    <x v="3"/>
    <s v="April"/>
    <n v="4"/>
    <s v="T1"/>
    <x v="0"/>
    <s v="Kommunal Boenhet"/>
    <n v="254"/>
    <s v="Helse og mestring"/>
    <x v="1"/>
    <x v="1"/>
    <n v="1195"/>
    <n v="119520"/>
    <s v="Tv-lisens og kabel-tv"/>
    <n v="850"/>
    <n v="0"/>
    <n v="850"/>
    <n v="-850"/>
  </r>
  <r>
    <x v="4"/>
    <s v="Mai"/>
    <n v="5"/>
    <s v="T2"/>
    <x v="0"/>
    <s v="Kommunal Boenhet"/>
    <n v="254"/>
    <s v="Helse og mestring"/>
    <x v="1"/>
    <x v="1"/>
    <n v="1195"/>
    <n v="119520"/>
    <s v="Tv-lisens og kabel-tv"/>
    <n v="850"/>
    <n v="0"/>
    <n v="850"/>
    <n v="-850"/>
  </r>
  <r>
    <x v="5"/>
    <s v="Juni"/>
    <n v="6"/>
    <s v="T2"/>
    <x v="0"/>
    <s v="Kommunal Boenhet"/>
    <n v="254"/>
    <s v="Helse og mestring"/>
    <x v="1"/>
    <x v="1"/>
    <n v="1195"/>
    <n v="119520"/>
    <s v="Tv-lisens og kabel-tv"/>
    <n v="850"/>
    <n v="0"/>
    <n v="850"/>
    <n v="-850"/>
  </r>
  <r>
    <x v="6"/>
    <s v="Juli"/>
    <n v="7"/>
    <s v="T2"/>
    <x v="0"/>
    <s v="Kommunal Boenhet"/>
    <n v="254"/>
    <s v="Helse og mestring"/>
    <x v="1"/>
    <x v="1"/>
    <n v="1195"/>
    <n v="119520"/>
    <s v="Tv-lisens og kabel-tv"/>
    <n v="850"/>
    <n v="0"/>
    <n v="850"/>
    <n v="-850"/>
  </r>
  <r>
    <x v="7"/>
    <s v="August"/>
    <n v="8"/>
    <s v="T2"/>
    <x v="0"/>
    <s v="Kommunal Boenhet"/>
    <n v="254"/>
    <s v="Helse og mestring"/>
    <x v="1"/>
    <x v="1"/>
    <n v="1195"/>
    <n v="119520"/>
    <s v="Tv-lisens og kabel-tv"/>
    <n v="850"/>
    <n v="0"/>
    <n v="850"/>
    <n v="-850"/>
  </r>
  <r>
    <x v="8"/>
    <s v="September"/>
    <n v="9"/>
    <s v="T3"/>
    <x v="1"/>
    <s v="Kommunal Boenhet"/>
    <n v="254"/>
    <s v="Helse og mestring"/>
    <x v="1"/>
    <x v="1"/>
    <n v="1195"/>
    <n v="119520"/>
    <s v="Tv-lisens og kabel-tv"/>
    <n v="850"/>
    <n v="0"/>
    <n v="0"/>
    <n v="-850"/>
  </r>
  <r>
    <x v="9"/>
    <s v="Oktober"/>
    <n v="10"/>
    <s v="T3"/>
    <x v="1"/>
    <s v="Kommunal Boenhet"/>
    <n v="254"/>
    <s v="Helse og mestring"/>
    <x v="1"/>
    <x v="1"/>
    <n v="1195"/>
    <n v="119520"/>
    <s v="Tv-lisens og kabel-tv"/>
    <n v="850"/>
    <n v="0"/>
    <n v="0"/>
    <n v="-850"/>
  </r>
  <r>
    <x v="10"/>
    <s v="November"/>
    <n v="11"/>
    <s v="T3"/>
    <x v="1"/>
    <s v="Kommunal Boenhet"/>
    <n v="254"/>
    <s v="Helse og mestring"/>
    <x v="1"/>
    <x v="1"/>
    <n v="1195"/>
    <n v="119520"/>
    <s v="Tv-lisens og kabel-tv"/>
    <n v="850"/>
    <n v="0"/>
    <n v="0"/>
    <n v="-850"/>
  </r>
  <r>
    <x v="11"/>
    <s v="Desember"/>
    <n v="12"/>
    <s v="T3"/>
    <x v="1"/>
    <s v="Kommunal Boenhet"/>
    <n v="254"/>
    <s v="Helse og mestring"/>
    <x v="1"/>
    <x v="1"/>
    <n v="1195"/>
    <n v="119520"/>
    <s v="Tv-lisens og kabel-tv"/>
    <n v="650"/>
    <n v="0"/>
    <n v="0"/>
    <n v="-650"/>
  </r>
  <r>
    <x v="0"/>
    <s v="Januar"/>
    <n v="1"/>
    <s v="T1"/>
    <x v="0"/>
    <s v="Kommunal Boenhet"/>
    <n v="254"/>
    <s v="Helse og mestring"/>
    <x v="1"/>
    <x v="1"/>
    <n v="1195"/>
    <n v="119550"/>
    <s v="Kommunale gebyrer"/>
    <n v="0"/>
    <n v="0"/>
    <n v="0"/>
    <n v="0"/>
  </r>
  <r>
    <x v="1"/>
    <s v="Februar"/>
    <n v="2"/>
    <s v="T1"/>
    <x v="0"/>
    <s v="Kommunal Boenhet"/>
    <n v="254"/>
    <s v="Helse og mestring"/>
    <x v="1"/>
    <x v="1"/>
    <n v="1195"/>
    <n v="119550"/>
    <s v="Kommunale gebyrer"/>
    <n v="0"/>
    <n v="0"/>
    <n v="0"/>
    <n v="0"/>
  </r>
  <r>
    <x v="2"/>
    <s v="Mars"/>
    <n v="3"/>
    <s v="T1"/>
    <x v="0"/>
    <s v="Kommunal Boenhet"/>
    <n v="254"/>
    <s v="Helse og mestring"/>
    <x v="1"/>
    <x v="1"/>
    <n v="1195"/>
    <n v="119550"/>
    <s v="Kommunale gebyrer"/>
    <n v="0"/>
    <n v="150"/>
    <n v="-150"/>
    <n v="150"/>
  </r>
  <r>
    <x v="3"/>
    <s v="April"/>
    <n v="4"/>
    <s v="T1"/>
    <x v="0"/>
    <s v="Kommunal Boenhet"/>
    <n v="254"/>
    <s v="Helse og mestring"/>
    <x v="1"/>
    <x v="1"/>
    <n v="1195"/>
    <n v="119550"/>
    <s v="Kommunale gebyrer"/>
    <n v="0"/>
    <n v="0"/>
    <n v="0"/>
    <n v="0"/>
  </r>
  <r>
    <x v="4"/>
    <s v="Mai"/>
    <n v="5"/>
    <s v="T2"/>
    <x v="0"/>
    <s v="Kommunal Boenhet"/>
    <n v="254"/>
    <s v="Helse og mestring"/>
    <x v="1"/>
    <x v="1"/>
    <n v="1195"/>
    <n v="119550"/>
    <s v="Kommunale gebyrer"/>
    <n v="0"/>
    <n v="0"/>
    <n v="0"/>
    <n v="0"/>
  </r>
  <r>
    <x v="5"/>
    <s v="Juni"/>
    <n v="6"/>
    <s v="T2"/>
    <x v="0"/>
    <s v="Kommunal Boenhet"/>
    <n v="254"/>
    <s v="Helse og mestring"/>
    <x v="1"/>
    <x v="1"/>
    <n v="1195"/>
    <n v="119550"/>
    <s v="Kommunale gebyrer"/>
    <n v="0"/>
    <n v="0"/>
    <n v="0"/>
    <n v="0"/>
  </r>
  <r>
    <x v="6"/>
    <s v="Juli"/>
    <n v="7"/>
    <s v="T2"/>
    <x v="0"/>
    <s v="Kommunal Boenhet"/>
    <n v="254"/>
    <s v="Helse og mestring"/>
    <x v="1"/>
    <x v="1"/>
    <n v="1195"/>
    <n v="119550"/>
    <s v="Kommunale gebyrer"/>
    <n v="0"/>
    <n v="0"/>
    <n v="0"/>
    <n v="0"/>
  </r>
  <r>
    <x v="7"/>
    <s v="August"/>
    <n v="8"/>
    <s v="T2"/>
    <x v="0"/>
    <s v="Kommunal Boenhet"/>
    <n v="254"/>
    <s v="Helse og mestring"/>
    <x v="1"/>
    <x v="1"/>
    <n v="1195"/>
    <n v="119550"/>
    <s v="Kommunale gebyrer"/>
    <n v="0"/>
    <n v="11.95"/>
    <n v="-11.95"/>
    <n v="11.95"/>
  </r>
  <r>
    <x v="8"/>
    <s v="September"/>
    <n v="9"/>
    <s v="T3"/>
    <x v="1"/>
    <s v="Kommunal Boenhet"/>
    <n v="254"/>
    <s v="Helse og mestring"/>
    <x v="1"/>
    <x v="1"/>
    <n v="1195"/>
    <n v="119550"/>
    <s v="Kommunale gebyrer"/>
    <n v="0"/>
    <n v="0"/>
    <n v="0"/>
    <n v="0"/>
  </r>
  <r>
    <x v="9"/>
    <s v="Oktober"/>
    <n v="10"/>
    <s v="T3"/>
    <x v="1"/>
    <s v="Kommunal Boenhet"/>
    <n v="254"/>
    <s v="Helse og mestring"/>
    <x v="1"/>
    <x v="1"/>
    <n v="1195"/>
    <n v="119550"/>
    <s v="Kommunale gebyrer"/>
    <n v="0"/>
    <n v="0"/>
    <n v="0"/>
    <n v="0"/>
  </r>
  <r>
    <x v="10"/>
    <s v="November"/>
    <n v="11"/>
    <s v="T3"/>
    <x v="1"/>
    <s v="Kommunal Boenhet"/>
    <n v="254"/>
    <s v="Helse og mestring"/>
    <x v="1"/>
    <x v="1"/>
    <n v="1195"/>
    <n v="119550"/>
    <s v="Kommunale gebyrer"/>
    <n v="0"/>
    <n v="0"/>
    <n v="0"/>
    <n v="0"/>
  </r>
  <r>
    <x v="11"/>
    <s v="Desember"/>
    <n v="12"/>
    <s v="T3"/>
    <x v="1"/>
    <s v="Kommunal Boenhet"/>
    <n v="254"/>
    <s v="Helse og mestring"/>
    <x v="1"/>
    <x v="1"/>
    <n v="1195"/>
    <n v="119550"/>
    <s v="Kommunale gebyrer"/>
    <n v="0"/>
    <n v="0"/>
    <n v="0"/>
    <n v="0"/>
  </r>
  <r>
    <x v="0"/>
    <s v="Januar"/>
    <n v="1"/>
    <s v="T1"/>
    <x v="0"/>
    <s v="Kommunal Boenhet"/>
    <n v="254"/>
    <s v="Helse og mestring"/>
    <x v="1"/>
    <x v="1"/>
    <n v="1195"/>
    <n v="119590"/>
    <s v="Andre avgifter, gebyrer og lisenser"/>
    <n v="0"/>
    <n v="0"/>
    <n v="0"/>
    <n v="0"/>
  </r>
  <r>
    <x v="1"/>
    <s v="Februar"/>
    <n v="2"/>
    <s v="T1"/>
    <x v="0"/>
    <s v="Kommunal Boenhet"/>
    <n v="254"/>
    <s v="Helse og mestring"/>
    <x v="1"/>
    <x v="1"/>
    <n v="1195"/>
    <n v="119590"/>
    <s v="Andre avgifter, gebyrer og lisenser"/>
    <n v="0"/>
    <n v="0"/>
    <n v="0"/>
    <n v="0"/>
  </r>
  <r>
    <x v="2"/>
    <s v="Mars"/>
    <n v="3"/>
    <s v="T1"/>
    <x v="0"/>
    <s v="Kommunal Boenhet"/>
    <n v="254"/>
    <s v="Helse og mestring"/>
    <x v="1"/>
    <x v="1"/>
    <n v="1195"/>
    <n v="119590"/>
    <s v="Andre avgifter, gebyrer og lisenser"/>
    <n v="0"/>
    <n v="0"/>
    <n v="0"/>
    <n v="0"/>
  </r>
  <r>
    <x v="3"/>
    <s v="April"/>
    <n v="4"/>
    <s v="T1"/>
    <x v="0"/>
    <s v="Kommunal Boenhet"/>
    <n v="254"/>
    <s v="Helse og mestring"/>
    <x v="1"/>
    <x v="1"/>
    <n v="1195"/>
    <n v="119590"/>
    <s v="Andre avgifter, gebyrer og lisenser"/>
    <n v="0"/>
    <n v="0"/>
    <n v="0"/>
    <n v="0"/>
  </r>
  <r>
    <x v="4"/>
    <s v="Mai"/>
    <n v="5"/>
    <s v="T2"/>
    <x v="0"/>
    <s v="Kommunal Boenhet"/>
    <n v="254"/>
    <s v="Helse og mestring"/>
    <x v="1"/>
    <x v="1"/>
    <n v="1195"/>
    <n v="119590"/>
    <s v="Andre avgifter, gebyrer og lisenser"/>
    <n v="0"/>
    <n v="0"/>
    <n v="0"/>
    <n v="0"/>
  </r>
  <r>
    <x v="5"/>
    <s v="Juni"/>
    <n v="6"/>
    <s v="T2"/>
    <x v="0"/>
    <s v="Kommunal Boenhet"/>
    <n v="254"/>
    <s v="Helse og mestring"/>
    <x v="1"/>
    <x v="1"/>
    <n v="1195"/>
    <n v="119590"/>
    <s v="Andre avgifter, gebyrer og lisenser"/>
    <n v="0"/>
    <n v="0"/>
    <n v="0"/>
    <n v="0"/>
  </r>
  <r>
    <x v="6"/>
    <s v="Juli"/>
    <n v="7"/>
    <s v="T2"/>
    <x v="0"/>
    <s v="Kommunal Boenhet"/>
    <n v="254"/>
    <s v="Helse og mestring"/>
    <x v="1"/>
    <x v="1"/>
    <n v="1195"/>
    <n v="119590"/>
    <s v="Andre avgifter, gebyrer og lisenser"/>
    <n v="0"/>
    <n v="0"/>
    <n v="0"/>
    <n v="0"/>
  </r>
  <r>
    <x v="7"/>
    <s v="August"/>
    <n v="8"/>
    <s v="T2"/>
    <x v="0"/>
    <s v="Kommunal Boenhet"/>
    <n v="254"/>
    <s v="Helse og mestring"/>
    <x v="1"/>
    <x v="1"/>
    <n v="1195"/>
    <n v="119590"/>
    <s v="Andre avgifter, gebyrer og lisenser"/>
    <n v="0"/>
    <n v="0"/>
    <n v="0"/>
    <n v="0"/>
  </r>
  <r>
    <x v="8"/>
    <s v="September"/>
    <n v="9"/>
    <s v="T3"/>
    <x v="1"/>
    <s v="Kommunal Boenhet"/>
    <n v="254"/>
    <s v="Helse og mestring"/>
    <x v="1"/>
    <x v="1"/>
    <n v="1195"/>
    <n v="119590"/>
    <s v="Andre avgifter, gebyrer og lisenser"/>
    <n v="0"/>
    <n v="0"/>
    <n v="0"/>
    <n v="0"/>
  </r>
  <r>
    <x v="9"/>
    <s v="Oktober"/>
    <n v="10"/>
    <s v="T3"/>
    <x v="1"/>
    <s v="Kommunal Boenhet"/>
    <n v="254"/>
    <s v="Helse og mestring"/>
    <x v="1"/>
    <x v="1"/>
    <n v="1195"/>
    <n v="119590"/>
    <s v="Andre avgifter, gebyrer og lisenser"/>
    <n v="0"/>
    <n v="0"/>
    <n v="0"/>
    <n v="0"/>
  </r>
  <r>
    <x v="10"/>
    <s v="November"/>
    <n v="11"/>
    <s v="T3"/>
    <x v="1"/>
    <s v="Kommunal Boenhet"/>
    <n v="254"/>
    <s v="Helse og mestring"/>
    <x v="1"/>
    <x v="1"/>
    <n v="1195"/>
    <n v="119590"/>
    <s v="Andre avgifter, gebyrer og lisenser"/>
    <n v="0"/>
    <n v="0"/>
    <n v="0"/>
    <n v="0"/>
  </r>
  <r>
    <x v="11"/>
    <s v="Desember"/>
    <n v="12"/>
    <s v="T3"/>
    <x v="1"/>
    <s v="Kommunal Boenhet"/>
    <n v="254"/>
    <s v="Helse og mestring"/>
    <x v="1"/>
    <x v="1"/>
    <n v="1195"/>
    <n v="119590"/>
    <s v="Andre avgifter, gebyrer og lisenser"/>
    <n v="0"/>
    <n v="0"/>
    <n v="0"/>
    <n v="0"/>
  </r>
  <r>
    <x v="0"/>
    <s v="Januar"/>
    <n v="1"/>
    <s v="T1"/>
    <x v="0"/>
    <s v="Kommunal Boenhet"/>
    <n v="254"/>
    <s v="Helse og mestring"/>
    <x v="1"/>
    <x v="1"/>
    <n v="1200"/>
    <n v="120000"/>
    <s v="Inventar - møbler, madrasser"/>
    <n v="4078"/>
    <n v="0"/>
    <n v="4078"/>
    <n v="-4078"/>
  </r>
  <r>
    <x v="1"/>
    <s v="Februar"/>
    <n v="2"/>
    <s v="T1"/>
    <x v="0"/>
    <s v="Kommunal Boenhet"/>
    <n v="254"/>
    <s v="Helse og mestring"/>
    <x v="1"/>
    <x v="1"/>
    <n v="1200"/>
    <n v="120000"/>
    <s v="Inventar - møbler, madrasser"/>
    <n v="4078"/>
    <n v="0"/>
    <n v="4078"/>
    <n v="-4078"/>
  </r>
  <r>
    <x v="2"/>
    <s v="Mars"/>
    <n v="3"/>
    <s v="T1"/>
    <x v="0"/>
    <s v="Kommunal Boenhet"/>
    <n v="254"/>
    <s v="Helse og mestring"/>
    <x v="1"/>
    <x v="1"/>
    <n v="1200"/>
    <n v="120000"/>
    <s v="Inventar - møbler, madrasser"/>
    <n v="4078"/>
    <n v="0"/>
    <n v="4078"/>
    <n v="-4078"/>
  </r>
  <r>
    <x v="3"/>
    <s v="April"/>
    <n v="4"/>
    <s v="T1"/>
    <x v="0"/>
    <s v="Kommunal Boenhet"/>
    <n v="254"/>
    <s v="Helse og mestring"/>
    <x v="1"/>
    <x v="1"/>
    <n v="1200"/>
    <n v="120000"/>
    <s v="Inventar - møbler, madrasser"/>
    <n v="4078"/>
    <n v="0"/>
    <n v="4078"/>
    <n v="-4078"/>
  </r>
  <r>
    <x v="4"/>
    <s v="Mai"/>
    <n v="5"/>
    <s v="T2"/>
    <x v="0"/>
    <s v="Kommunal Boenhet"/>
    <n v="254"/>
    <s v="Helse og mestring"/>
    <x v="1"/>
    <x v="1"/>
    <n v="1200"/>
    <n v="120000"/>
    <s v="Inventar - møbler, madrasser"/>
    <n v="4078"/>
    <n v="0"/>
    <n v="4078"/>
    <n v="-4078"/>
  </r>
  <r>
    <x v="5"/>
    <s v="Juni"/>
    <n v="6"/>
    <s v="T2"/>
    <x v="0"/>
    <s v="Kommunal Boenhet"/>
    <n v="254"/>
    <s v="Helse og mestring"/>
    <x v="1"/>
    <x v="1"/>
    <n v="1200"/>
    <n v="120000"/>
    <s v="Inventar - møbler, madrasser"/>
    <n v="4078"/>
    <n v="0"/>
    <n v="4078"/>
    <n v="-4078"/>
  </r>
  <r>
    <x v="6"/>
    <s v="Juli"/>
    <n v="7"/>
    <s v="T2"/>
    <x v="0"/>
    <s v="Kommunal Boenhet"/>
    <n v="254"/>
    <s v="Helse og mestring"/>
    <x v="1"/>
    <x v="1"/>
    <n v="1200"/>
    <n v="120000"/>
    <s v="Inventar - møbler, madrasser"/>
    <n v="4078"/>
    <n v="0"/>
    <n v="4078"/>
    <n v="-4078"/>
  </r>
  <r>
    <x v="7"/>
    <s v="August"/>
    <n v="8"/>
    <s v="T2"/>
    <x v="0"/>
    <s v="Kommunal Boenhet"/>
    <n v="254"/>
    <s v="Helse og mestring"/>
    <x v="1"/>
    <x v="1"/>
    <n v="1200"/>
    <n v="120000"/>
    <s v="Inventar - møbler, madrasser"/>
    <n v="4078"/>
    <n v="0"/>
    <n v="4078"/>
    <n v="-4078"/>
  </r>
  <r>
    <x v="8"/>
    <s v="September"/>
    <n v="9"/>
    <s v="T3"/>
    <x v="1"/>
    <s v="Kommunal Boenhet"/>
    <n v="254"/>
    <s v="Helse og mestring"/>
    <x v="1"/>
    <x v="1"/>
    <n v="1200"/>
    <n v="120000"/>
    <s v="Inventar - møbler, madrasser"/>
    <n v="4078"/>
    <n v="0"/>
    <n v="0"/>
    <n v="-4078"/>
  </r>
  <r>
    <x v="9"/>
    <s v="Oktober"/>
    <n v="10"/>
    <s v="T3"/>
    <x v="1"/>
    <s v="Kommunal Boenhet"/>
    <n v="254"/>
    <s v="Helse og mestring"/>
    <x v="1"/>
    <x v="1"/>
    <n v="1200"/>
    <n v="120000"/>
    <s v="Inventar - møbler, madrasser"/>
    <n v="4078"/>
    <n v="0"/>
    <n v="0"/>
    <n v="-4078"/>
  </r>
  <r>
    <x v="10"/>
    <s v="November"/>
    <n v="11"/>
    <s v="T3"/>
    <x v="1"/>
    <s v="Kommunal Boenhet"/>
    <n v="254"/>
    <s v="Helse og mestring"/>
    <x v="1"/>
    <x v="1"/>
    <n v="1200"/>
    <n v="120000"/>
    <s v="Inventar - møbler, madrasser"/>
    <n v="4078"/>
    <n v="0"/>
    <n v="0"/>
    <n v="-4078"/>
  </r>
  <r>
    <x v="11"/>
    <s v="Desember"/>
    <n v="12"/>
    <s v="T3"/>
    <x v="1"/>
    <s v="Kommunal Boenhet"/>
    <n v="254"/>
    <s v="Helse og mestring"/>
    <x v="1"/>
    <x v="1"/>
    <n v="1200"/>
    <n v="120000"/>
    <s v="Inventar - møbler, madrasser"/>
    <n v="4142"/>
    <n v="0"/>
    <n v="0"/>
    <n v="-4142"/>
  </r>
  <r>
    <x v="0"/>
    <s v="Januar"/>
    <n v="1"/>
    <s v="T1"/>
    <x v="0"/>
    <s v="Kommunal Boenhet"/>
    <n v="254"/>
    <s v="Helse og mestring"/>
    <x v="1"/>
    <x v="1"/>
    <n v="1200"/>
    <n v="120010"/>
    <s v="Datautstyr, ikke elev-pcer"/>
    <n v="1164"/>
    <n v="0"/>
    <n v="1164"/>
    <n v="-1164"/>
  </r>
  <r>
    <x v="1"/>
    <s v="Februar"/>
    <n v="2"/>
    <s v="T1"/>
    <x v="0"/>
    <s v="Kommunal Boenhet"/>
    <n v="254"/>
    <s v="Helse og mestring"/>
    <x v="1"/>
    <x v="1"/>
    <n v="1200"/>
    <n v="120010"/>
    <s v="Datautstyr, ikke elev-pcer"/>
    <n v="1164"/>
    <n v="4026"/>
    <n v="-2862"/>
    <n v="2862"/>
  </r>
  <r>
    <x v="2"/>
    <s v="Mars"/>
    <n v="3"/>
    <s v="T1"/>
    <x v="0"/>
    <s v="Kommunal Boenhet"/>
    <n v="254"/>
    <s v="Helse og mestring"/>
    <x v="1"/>
    <x v="1"/>
    <n v="1200"/>
    <n v="120010"/>
    <s v="Datautstyr, ikke elev-pcer"/>
    <n v="1164"/>
    <n v="0"/>
    <n v="1164"/>
    <n v="-1164"/>
  </r>
  <r>
    <x v="3"/>
    <s v="April"/>
    <n v="4"/>
    <s v="T1"/>
    <x v="0"/>
    <s v="Kommunal Boenhet"/>
    <n v="254"/>
    <s v="Helse og mestring"/>
    <x v="1"/>
    <x v="1"/>
    <n v="1200"/>
    <n v="120010"/>
    <s v="Datautstyr, ikke elev-pcer"/>
    <n v="1164"/>
    <n v="0"/>
    <n v="1164"/>
    <n v="-1164"/>
  </r>
  <r>
    <x v="4"/>
    <s v="Mai"/>
    <n v="5"/>
    <s v="T2"/>
    <x v="0"/>
    <s v="Kommunal Boenhet"/>
    <n v="254"/>
    <s v="Helse og mestring"/>
    <x v="1"/>
    <x v="1"/>
    <n v="1200"/>
    <n v="120010"/>
    <s v="Datautstyr, ikke elev-pcer"/>
    <n v="1164"/>
    <n v="0"/>
    <n v="1164"/>
    <n v="-1164"/>
  </r>
  <r>
    <x v="5"/>
    <s v="Juni"/>
    <n v="6"/>
    <s v="T2"/>
    <x v="0"/>
    <s v="Kommunal Boenhet"/>
    <n v="254"/>
    <s v="Helse og mestring"/>
    <x v="1"/>
    <x v="1"/>
    <n v="1200"/>
    <n v="120010"/>
    <s v="Datautstyr, ikke elev-pcer"/>
    <n v="1164"/>
    <n v="0"/>
    <n v="1164"/>
    <n v="-1164"/>
  </r>
  <r>
    <x v="6"/>
    <s v="Juli"/>
    <n v="7"/>
    <s v="T2"/>
    <x v="0"/>
    <s v="Kommunal Boenhet"/>
    <n v="254"/>
    <s v="Helse og mestring"/>
    <x v="1"/>
    <x v="1"/>
    <n v="1200"/>
    <n v="120010"/>
    <s v="Datautstyr, ikke elev-pcer"/>
    <n v="1164"/>
    <n v="0"/>
    <n v="1164"/>
    <n v="-1164"/>
  </r>
  <r>
    <x v="7"/>
    <s v="August"/>
    <n v="8"/>
    <s v="T2"/>
    <x v="0"/>
    <s v="Kommunal Boenhet"/>
    <n v="254"/>
    <s v="Helse og mestring"/>
    <x v="1"/>
    <x v="1"/>
    <n v="1200"/>
    <n v="120010"/>
    <s v="Datautstyr, ikke elev-pcer"/>
    <n v="1164"/>
    <n v="11046.27"/>
    <n v="-9882.27"/>
    <n v="9882.27"/>
  </r>
  <r>
    <x v="8"/>
    <s v="September"/>
    <n v="9"/>
    <s v="T3"/>
    <x v="1"/>
    <s v="Kommunal Boenhet"/>
    <n v="254"/>
    <s v="Helse og mestring"/>
    <x v="1"/>
    <x v="1"/>
    <n v="1200"/>
    <n v="120010"/>
    <s v="Datautstyr, ikke elev-pcer"/>
    <n v="1164"/>
    <n v="0"/>
    <n v="0"/>
    <n v="-1164"/>
  </r>
  <r>
    <x v="9"/>
    <s v="Oktober"/>
    <n v="10"/>
    <s v="T3"/>
    <x v="1"/>
    <s v="Kommunal Boenhet"/>
    <n v="254"/>
    <s v="Helse og mestring"/>
    <x v="1"/>
    <x v="1"/>
    <n v="1200"/>
    <n v="120010"/>
    <s v="Datautstyr, ikke elev-pcer"/>
    <n v="1164"/>
    <n v="0"/>
    <n v="0"/>
    <n v="-1164"/>
  </r>
  <r>
    <x v="10"/>
    <s v="November"/>
    <n v="11"/>
    <s v="T3"/>
    <x v="1"/>
    <s v="Kommunal Boenhet"/>
    <n v="254"/>
    <s v="Helse og mestring"/>
    <x v="1"/>
    <x v="1"/>
    <n v="1200"/>
    <n v="120010"/>
    <s v="Datautstyr, ikke elev-pcer"/>
    <n v="1164"/>
    <n v="0"/>
    <n v="0"/>
    <n v="-1164"/>
  </r>
  <r>
    <x v="11"/>
    <s v="Desember"/>
    <n v="12"/>
    <s v="T3"/>
    <x v="1"/>
    <s v="Kommunal Boenhet"/>
    <n v="254"/>
    <s v="Helse og mestring"/>
    <x v="1"/>
    <x v="1"/>
    <n v="1200"/>
    <n v="120010"/>
    <s v="Datautstyr, ikke elev-pcer"/>
    <n v="1196"/>
    <n v="0"/>
    <n v="0"/>
    <n v="-1196"/>
  </r>
  <r>
    <x v="0"/>
    <s v="Januar"/>
    <n v="1"/>
    <s v="T1"/>
    <x v="0"/>
    <s v="Kommunal Boenhet"/>
    <n v="254"/>
    <s v="Helse og mestring"/>
    <x v="1"/>
    <x v="1"/>
    <n v="1200"/>
    <n v="120015"/>
    <s v="Kjøp av mobiltlf / telefon / nettbrett"/>
    <n v="1868"/>
    <n v="0"/>
    <n v="1868"/>
    <n v="-1868"/>
  </r>
  <r>
    <x v="1"/>
    <s v="Februar"/>
    <n v="2"/>
    <s v="T1"/>
    <x v="0"/>
    <s v="Kommunal Boenhet"/>
    <n v="254"/>
    <s v="Helse og mestring"/>
    <x v="1"/>
    <x v="1"/>
    <n v="1200"/>
    <n v="120015"/>
    <s v="Kjøp av mobiltlf / telefon / nettbrett"/>
    <n v="1868"/>
    <n v="0"/>
    <n v="1868"/>
    <n v="-1868"/>
  </r>
  <r>
    <x v="2"/>
    <s v="Mars"/>
    <n v="3"/>
    <s v="T1"/>
    <x v="0"/>
    <s v="Kommunal Boenhet"/>
    <n v="254"/>
    <s v="Helse og mestring"/>
    <x v="1"/>
    <x v="1"/>
    <n v="1200"/>
    <n v="120015"/>
    <s v="Kjøp av mobiltlf / telefon / nettbrett"/>
    <n v="1868"/>
    <n v="0"/>
    <n v="1868"/>
    <n v="-1868"/>
  </r>
  <r>
    <x v="3"/>
    <s v="April"/>
    <n v="4"/>
    <s v="T1"/>
    <x v="0"/>
    <s v="Kommunal Boenhet"/>
    <n v="254"/>
    <s v="Helse og mestring"/>
    <x v="1"/>
    <x v="1"/>
    <n v="1200"/>
    <n v="120015"/>
    <s v="Kjøp av mobiltlf / telefon / nettbrett"/>
    <n v="1868"/>
    <n v="5026.2"/>
    <n v="-3158.2"/>
    <n v="3158.2"/>
  </r>
  <r>
    <x v="4"/>
    <s v="Mai"/>
    <n v="5"/>
    <s v="T2"/>
    <x v="0"/>
    <s v="Kommunal Boenhet"/>
    <n v="254"/>
    <s v="Helse og mestring"/>
    <x v="1"/>
    <x v="1"/>
    <n v="1200"/>
    <n v="120015"/>
    <s v="Kjøp av mobiltlf / telefon / nettbrett"/>
    <n v="1868"/>
    <n v="0"/>
    <n v="1868"/>
    <n v="-1868"/>
  </r>
  <r>
    <x v="5"/>
    <s v="Juni"/>
    <n v="6"/>
    <s v="T2"/>
    <x v="0"/>
    <s v="Kommunal Boenhet"/>
    <n v="254"/>
    <s v="Helse og mestring"/>
    <x v="1"/>
    <x v="1"/>
    <n v="1200"/>
    <n v="120015"/>
    <s v="Kjøp av mobiltlf / telefon / nettbrett"/>
    <n v="1868"/>
    <n v="5760"/>
    <n v="-3892"/>
    <n v="3892"/>
  </r>
  <r>
    <x v="6"/>
    <s v="Juli"/>
    <n v="7"/>
    <s v="T2"/>
    <x v="0"/>
    <s v="Kommunal Boenhet"/>
    <n v="254"/>
    <s v="Helse og mestring"/>
    <x v="1"/>
    <x v="1"/>
    <n v="1200"/>
    <n v="120015"/>
    <s v="Kjøp av mobiltlf / telefon / nettbrett"/>
    <n v="1868"/>
    <n v="0"/>
    <n v="1868"/>
    <n v="-1868"/>
  </r>
  <r>
    <x v="7"/>
    <s v="August"/>
    <n v="8"/>
    <s v="T2"/>
    <x v="0"/>
    <s v="Kommunal Boenhet"/>
    <n v="254"/>
    <s v="Helse og mestring"/>
    <x v="1"/>
    <x v="1"/>
    <n v="1200"/>
    <n v="120015"/>
    <s v="Kjøp av mobiltlf / telefon / nettbrett"/>
    <n v="1868"/>
    <n v="0"/>
    <n v="1868"/>
    <n v="-1868"/>
  </r>
  <r>
    <x v="8"/>
    <s v="September"/>
    <n v="9"/>
    <s v="T3"/>
    <x v="1"/>
    <s v="Kommunal Boenhet"/>
    <n v="254"/>
    <s v="Helse og mestring"/>
    <x v="1"/>
    <x v="1"/>
    <n v="1200"/>
    <n v="120015"/>
    <s v="Kjøp av mobiltlf / telefon / nettbrett"/>
    <n v="1868"/>
    <n v="0"/>
    <n v="0"/>
    <n v="-1868"/>
  </r>
  <r>
    <x v="9"/>
    <s v="Oktober"/>
    <n v="10"/>
    <s v="T3"/>
    <x v="1"/>
    <s v="Kommunal Boenhet"/>
    <n v="254"/>
    <s v="Helse og mestring"/>
    <x v="1"/>
    <x v="1"/>
    <n v="1200"/>
    <n v="120015"/>
    <s v="Kjøp av mobiltlf / telefon / nettbrett"/>
    <n v="1868"/>
    <n v="0"/>
    <n v="0"/>
    <n v="-1868"/>
  </r>
  <r>
    <x v="10"/>
    <s v="November"/>
    <n v="11"/>
    <s v="T3"/>
    <x v="1"/>
    <s v="Kommunal Boenhet"/>
    <n v="254"/>
    <s v="Helse og mestring"/>
    <x v="1"/>
    <x v="1"/>
    <n v="1200"/>
    <n v="120015"/>
    <s v="Kjøp av mobiltlf / telefon / nettbrett"/>
    <n v="1868"/>
    <n v="0"/>
    <n v="0"/>
    <n v="-1868"/>
  </r>
  <r>
    <x v="11"/>
    <s v="Desember"/>
    <n v="12"/>
    <s v="T3"/>
    <x v="1"/>
    <s v="Kommunal Boenhet"/>
    <n v="254"/>
    <s v="Helse og mestring"/>
    <x v="1"/>
    <x v="1"/>
    <n v="1200"/>
    <n v="120015"/>
    <s v="Kjøp av mobiltlf / telefon / nettbrett"/>
    <n v="1452"/>
    <n v="0"/>
    <n v="0"/>
    <n v="-1452"/>
  </r>
  <r>
    <x v="0"/>
    <s v="Januar"/>
    <n v="1"/>
    <s v="T1"/>
    <x v="0"/>
    <s v="Kommunal Boenhet"/>
    <n v="254"/>
    <s v="Helse og mestring"/>
    <x v="1"/>
    <x v="1"/>
    <n v="1200"/>
    <n v="120030"/>
    <s v="Hvite / brune varer / elektriske produkter"/>
    <n v="0"/>
    <n v="0"/>
    <n v="0"/>
    <n v="0"/>
  </r>
  <r>
    <x v="1"/>
    <s v="Februar"/>
    <n v="2"/>
    <s v="T1"/>
    <x v="0"/>
    <s v="Kommunal Boenhet"/>
    <n v="254"/>
    <s v="Helse og mestring"/>
    <x v="1"/>
    <x v="1"/>
    <n v="1200"/>
    <n v="120030"/>
    <s v="Hvite / brune varer / elektriske produkter"/>
    <n v="0"/>
    <n v="0"/>
    <n v="0"/>
    <n v="0"/>
  </r>
  <r>
    <x v="2"/>
    <s v="Mars"/>
    <n v="3"/>
    <s v="T1"/>
    <x v="0"/>
    <s v="Kommunal Boenhet"/>
    <n v="254"/>
    <s v="Helse og mestring"/>
    <x v="1"/>
    <x v="1"/>
    <n v="1200"/>
    <n v="120030"/>
    <s v="Hvite / brune varer / elektriske produkter"/>
    <n v="0"/>
    <n v="0"/>
    <n v="0"/>
    <n v="0"/>
  </r>
  <r>
    <x v="3"/>
    <s v="April"/>
    <n v="4"/>
    <s v="T1"/>
    <x v="0"/>
    <s v="Kommunal Boenhet"/>
    <n v="254"/>
    <s v="Helse og mestring"/>
    <x v="1"/>
    <x v="1"/>
    <n v="1200"/>
    <n v="120030"/>
    <s v="Hvite / brune varer / elektriske produkter"/>
    <n v="0"/>
    <n v="0"/>
    <n v="0"/>
    <n v="0"/>
  </r>
  <r>
    <x v="4"/>
    <s v="Mai"/>
    <n v="5"/>
    <s v="T2"/>
    <x v="0"/>
    <s v="Kommunal Boenhet"/>
    <n v="254"/>
    <s v="Helse og mestring"/>
    <x v="1"/>
    <x v="1"/>
    <n v="1200"/>
    <n v="120030"/>
    <s v="Hvite / brune varer / elektriske produkter"/>
    <n v="0"/>
    <n v="0"/>
    <n v="0"/>
    <n v="0"/>
  </r>
  <r>
    <x v="5"/>
    <s v="Juni"/>
    <n v="6"/>
    <s v="T2"/>
    <x v="0"/>
    <s v="Kommunal Boenhet"/>
    <n v="254"/>
    <s v="Helse og mestring"/>
    <x v="1"/>
    <x v="1"/>
    <n v="1200"/>
    <n v="120030"/>
    <s v="Hvite / brune varer / elektriske produkter"/>
    <n v="0"/>
    <n v="0"/>
    <n v="0"/>
    <n v="0"/>
  </r>
  <r>
    <x v="6"/>
    <s v="Juli"/>
    <n v="7"/>
    <s v="T2"/>
    <x v="0"/>
    <s v="Kommunal Boenhet"/>
    <n v="254"/>
    <s v="Helse og mestring"/>
    <x v="1"/>
    <x v="1"/>
    <n v="1200"/>
    <n v="120030"/>
    <s v="Hvite / brune varer / elektriske produkter"/>
    <n v="0"/>
    <n v="0"/>
    <n v="0"/>
    <n v="0"/>
  </r>
  <r>
    <x v="7"/>
    <s v="August"/>
    <n v="8"/>
    <s v="T2"/>
    <x v="0"/>
    <s v="Kommunal Boenhet"/>
    <n v="254"/>
    <s v="Helse og mestring"/>
    <x v="1"/>
    <x v="1"/>
    <n v="1200"/>
    <n v="120030"/>
    <s v="Hvite / brune varer / elektriske produkter"/>
    <n v="0"/>
    <n v="0"/>
    <n v="0"/>
    <n v="0"/>
  </r>
  <r>
    <x v="8"/>
    <s v="September"/>
    <n v="9"/>
    <s v="T3"/>
    <x v="1"/>
    <s v="Kommunal Boenhet"/>
    <n v="254"/>
    <s v="Helse og mestring"/>
    <x v="1"/>
    <x v="1"/>
    <n v="1200"/>
    <n v="120030"/>
    <s v="Hvite / brune varer / elektriske produkter"/>
    <n v="0"/>
    <n v="0"/>
    <n v="0"/>
    <n v="0"/>
  </r>
  <r>
    <x v="9"/>
    <s v="Oktober"/>
    <n v="10"/>
    <s v="T3"/>
    <x v="1"/>
    <s v="Kommunal Boenhet"/>
    <n v="254"/>
    <s v="Helse og mestring"/>
    <x v="1"/>
    <x v="1"/>
    <n v="1200"/>
    <n v="120030"/>
    <s v="Hvite / brune varer / elektriske produkter"/>
    <n v="0"/>
    <n v="0"/>
    <n v="0"/>
    <n v="0"/>
  </r>
  <r>
    <x v="10"/>
    <s v="November"/>
    <n v="11"/>
    <s v="T3"/>
    <x v="1"/>
    <s v="Kommunal Boenhet"/>
    <n v="254"/>
    <s v="Helse og mestring"/>
    <x v="1"/>
    <x v="1"/>
    <n v="1200"/>
    <n v="120030"/>
    <s v="Hvite / brune varer / elektriske produkter"/>
    <n v="0"/>
    <n v="0"/>
    <n v="0"/>
    <n v="0"/>
  </r>
  <r>
    <x v="11"/>
    <s v="Desember"/>
    <n v="12"/>
    <s v="T3"/>
    <x v="1"/>
    <s v="Kommunal Boenhet"/>
    <n v="254"/>
    <s v="Helse og mestring"/>
    <x v="1"/>
    <x v="1"/>
    <n v="1200"/>
    <n v="120030"/>
    <s v="Hvite / brune varer / elektriske produkter"/>
    <n v="0"/>
    <n v="0"/>
    <n v="0"/>
    <n v="0"/>
  </r>
  <r>
    <x v="0"/>
    <s v="Januar"/>
    <n v="1"/>
    <s v="T1"/>
    <x v="0"/>
    <s v="Kommunal Boenhet"/>
    <n v="254"/>
    <s v="Helse og mestring"/>
    <x v="1"/>
    <x v="1"/>
    <n v="1200"/>
    <n v="120045"/>
    <s v="Kjøkkenutstyr"/>
    <n v="0"/>
    <n v="0"/>
    <n v="0"/>
    <n v="0"/>
  </r>
  <r>
    <x v="1"/>
    <s v="Februar"/>
    <n v="2"/>
    <s v="T1"/>
    <x v="0"/>
    <s v="Kommunal Boenhet"/>
    <n v="254"/>
    <s v="Helse og mestring"/>
    <x v="1"/>
    <x v="1"/>
    <n v="1200"/>
    <n v="120045"/>
    <s v="Kjøkkenutstyr"/>
    <n v="0"/>
    <n v="0"/>
    <n v="0"/>
    <n v="0"/>
  </r>
  <r>
    <x v="2"/>
    <s v="Mars"/>
    <n v="3"/>
    <s v="T1"/>
    <x v="0"/>
    <s v="Kommunal Boenhet"/>
    <n v="254"/>
    <s v="Helse og mestring"/>
    <x v="1"/>
    <x v="1"/>
    <n v="1200"/>
    <n v="120045"/>
    <s v="Kjøkkenutstyr"/>
    <n v="0"/>
    <n v="0"/>
    <n v="0"/>
    <n v="0"/>
  </r>
  <r>
    <x v="3"/>
    <s v="April"/>
    <n v="4"/>
    <s v="T1"/>
    <x v="0"/>
    <s v="Kommunal Boenhet"/>
    <n v="254"/>
    <s v="Helse og mestring"/>
    <x v="1"/>
    <x v="1"/>
    <n v="1200"/>
    <n v="120045"/>
    <s v="Kjøkkenutstyr"/>
    <n v="0"/>
    <n v="0"/>
    <n v="0"/>
    <n v="0"/>
  </r>
  <r>
    <x v="4"/>
    <s v="Mai"/>
    <n v="5"/>
    <s v="T2"/>
    <x v="0"/>
    <s v="Kommunal Boenhet"/>
    <n v="254"/>
    <s v="Helse og mestring"/>
    <x v="1"/>
    <x v="1"/>
    <n v="1200"/>
    <n v="120045"/>
    <s v="Kjøkkenutstyr"/>
    <n v="0"/>
    <n v="0"/>
    <n v="0"/>
    <n v="0"/>
  </r>
  <r>
    <x v="5"/>
    <s v="Juni"/>
    <n v="6"/>
    <s v="T2"/>
    <x v="0"/>
    <s v="Kommunal Boenhet"/>
    <n v="254"/>
    <s v="Helse og mestring"/>
    <x v="1"/>
    <x v="1"/>
    <n v="1200"/>
    <n v="120045"/>
    <s v="Kjøkkenutstyr"/>
    <n v="0"/>
    <n v="3314.4"/>
    <n v="-3314.4"/>
    <n v="3314.4"/>
  </r>
  <r>
    <x v="6"/>
    <s v="Juli"/>
    <n v="7"/>
    <s v="T2"/>
    <x v="0"/>
    <s v="Kommunal Boenhet"/>
    <n v="254"/>
    <s v="Helse og mestring"/>
    <x v="1"/>
    <x v="1"/>
    <n v="1200"/>
    <n v="120045"/>
    <s v="Kjøkkenutstyr"/>
    <n v="0"/>
    <n v="0"/>
    <n v="0"/>
    <n v="0"/>
  </r>
  <r>
    <x v="7"/>
    <s v="August"/>
    <n v="8"/>
    <s v="T2"/>
    <x v="0"/>
    <s v="Kommunal Boenhet"/>
    <n v="254"/>
    <s v="Helse og mestring"/>
    <x v="1"/>
    <x v="1"/>
    <n v="1200"/>
    <n v="120045"/>
    <s v="Kjøkkenutstyr"/>
    <n v="0"/>
    <n v="0"/>
    <n v="0"/>
    <n v="0"/>
  </r>
  <r>
    <x v="8"/>
    <s v="September"/>
    <n v="9"/>
    <s v="T3"/>
    <x v="1"/>
    <s v="Kommunal Boenhet"/>
    <n v="254"/>
    <s v="Helse og mestring"/>
    <x v="1"/>
    <x v="1"/>
    <n v="1200"/>
    <n v="120045"/>
    <s v="Kjøkkenutstyr"/>
    <n v="0"/>
    <n v="0"/>
    <n v="0"/>
    <n v="0"/>
  </r>
  <r>
    <x v="9"/>
    <s v="Oktober"/>
    <n v="10"/>
    <s v="T3"/>
    <x v="1"/>
    <s v="Kommunal Boenhet"/>
    <n v="254"/>
    <s v="Helse og mestring"/>
    <x v="1"/>
    <x v="1"/>
    <n v="1200"/>
    <n v="120045"/>
    <s v="Kjøkkenutstyr"/>
    <n v="0"/>
    <n v="0"/>
    <n v="0"/>
    <n v="0"/>
  </r>
  <r>
    <x v="10"/>
    <s v="November"/>
    <n v="11"/>
    <s v="T3"/>
    <x v="1"/>
    <s v="Kommunal Boenhet"/>
    <n v="254"/>
    <s v="Helse og mestring"/>
    <x v="1"/>
    <x v="1"/>
    <n v="1200"/>
    <n v="120045"/>
    <s v="Kjøkkenutstyr"/>
    <n v="0"/>
    <n v="0"/>
    <n v="0"/>
    <n v="0"/>
  </r>
  <r>
    <x v="11"/>
    <s v="Desember"/>
    <n v="12"/>
    <s v="T3"/>
    <x v="1"/>
    <s v="Kommunal Boenhet"/>
    <n v="254"/>
    <s v="Helse og mestring"/>
    <x v="1"/>
    <x v="1"/>
    <n v="1200"/>
    <n v="120045"/>
    <s v="Kjøkkenutstyr"/>
    <n v="0"/>
    <n v="0"/>
    <n v="0"/>
    <n v="0"/>
  </r>
  <r>
    <x v="0"/>
    <s v="Januar"/>
    <n v="1"/>
    <s v="T1"/>
    <x v="0"/>
    <s v="Kommunal Boenhet"/>
    <n v="254"/>
    <s v="Helse og mestring"/>
    <x v="1"/>
    <x v="1"/>
    <n v="1200"/>
    <n v="120090"/>
    <s v="Annet utstyr / andre maskiner"/>
    <n v="0"/>
    <n v="0"/>
    <n v="0"/>
    <n v="0"/>
  </r>
  <r>
    <x v="1"/>
    <s v="Februar"/>
    <n v="2"/>
    <s v="T1"/>
    <x v="0"/>
    <s v="Kommunal Boenhet"/>
    <n v="254"/>
    <s v="Helse og mestring"/>
    <x v="1"/>
    <x v="1"/>
    <n v="1200"/>
    <n v="120090"/>
    <s v="Annet utstyr / andre maskiner"/>
    <n v="0"/>
    <n v="0"/>
    <n v="0"/>
    <n v="0"/>
  </r>
  <r>
    <x v="2"/>
    <s v="Mars"/>
    <n v="3"/>
    <s v="T1"/>
    <x v="0"/>
    <s v="Kommunal Boenhet"/>
    <n v="254"/>
    <s v="Helse og mestring"/>
    <x v="1"/>
    <x v="1"/>
    <n v="1200"/>
    <n v="120090"/>
    <s v="Annet utstyr / andre maskiner"/>
    <n v="0"/>
    <n v="0"/>
    <n v="0"/>
    <n v="0"/>
  </r>
  <r>
    <x v="3"/>
    <s v="April"/>
    <n v="4"/>
    <s v="T1"/>
    <x v="0"/>
    <s v="Kommunal Boenhet"/>
    <n v="254"/>
    <s v="Helse og mestring"/>
    <x v="1"/>
    <x v="1"/>
    <n v="1200"/>
    <n v="120090"/>
    <s v="Annet utstyr / andre maskiner"/>
    <n v="0"/>
    <n v="0"/>
    <n v="0"/>
    <n v="0"/>
  </r>
  <r>
    <x v="4"/>
    <s v="Mai"/>
    <n v="5"/>
    <s v="T2"/>
    <x v="0"/>
    <s v="Kommunal Boenhet"/>
    <n v="254"/>
    <s v="Helse og mestring"/>
    <x v="1"/>
    <x v="1"/>
    <n v="1200"/>
    <n v="120090"/>
    <s v="Annet utstyr / andre maskiner"/>
    <n v="0"/>
    <n v="0"/>
    <n v="0"/>
    <n v="0"/>
  </r>
  <r>
    <x v="5"/>
    <s v="Juni"/>
    <n v="6"/>
    <s v="T2"/>
    <x v="0"/>
    <s v="Kommunal Boenhet"/>
    <n v="254"/>
    <s v="Helse og mestring"/>
    <x v="1"/>
    <x v="1"/>
    <n v="1200"/>
    <n v="120090"/>
    <s v="Annet utstyr / andre maskiner"/>
    <n v="0"/>
    <n v="0"/>
    <n v="0"/>
    <n v="0"/>
  </r>
  <r>
    <x v="6"/>
    <s v="Juli"/>
    <n v="7"/>
    <s v="T2"/>
    <x v="0"/>
    <s v="Kommunal Boenhet"/>
    <n v="254"/>
    <s v="Helse og mestring"/>
    <x v="1"/>
    <x v="1"/>
    <n v="1200"/>
    <n v="120090"/>
    <s v="Annet utstyr / andre maskiner"/>
    <n v="0"/>
    <n v="0"/>
    <n v="0"/>
    <n v="0"/>
  </r>
  <r>
    <x v="7"/>
    <s v="August"/>
    <n v="8"/>
    <s v="T2"/>
    <x v="0"/>
    <s v="Kommunal Boenhet"/>
    <n v="254"/>
    <s v="Helse og mestring"/>
    <x v="1"/>
    <x v="1"/>
    <n v="1200"/>
    <n v="120090"/>
    <s v="Annet utstyr / andre maskiner"/>
    <n v="0"/>
    <n v="0"/>
    <n v="0"/>
    <n v="0"/>
  </r>
  <r>
    <x v="8"/>
    <s v="September"/>
    <n v="9"/>
    <s v="T3"/>
    <x v="1"/>
    <s v="Kommunal Boenhet"/>
    <n v="254"/>
    <s v="Helse og mestring"/>
    <x v="1"/>
    <x v="1"/>
    <n v="1200"/>
    <n v="120090"/>
    <s v="Annet utstyr / andre maskiner"/>
    <n v="0"/>
    <n v="0"/>
    <n v="0"/>
    <n v="0"/>
  </r>
  <r>
    <x v="9"/>
    <s v="Oktober"/>
    <n v="10"/>
    <s v="T3"/>
    <x v="1"/>
    <s v="Kommunal Boenhet"/>
    <n v="254"/>
    <s v="Helse og mestring"/>
    <x v="1"/>
    <x v="1"/>
    <n v="1200"/>
    <n v="120090"/>
    <s v="Annet utstyr / andre maskiner"/>
    <n v="0"/>
    <n v="0"/>
    <n v="0"/>
    <n v="0"/>
  </r>
  <r>
    <x v="10"/>
    <s v="November"/>
    <n v="11"/>
    <s v="T3"/>
    <x v="1"/>
    <s v="Kommunal Boenhet"/>
    <n v="254"/>
    <s v="Helse og mestring"/>
    <x v="1"/>
    <x v="1"/>
    <n v="1200"/>
    <n v="120090"/>
    <s v="Annet utstyr / andre maskiner"/>
    <n v="0"/>
    <n v="0"/>
    <n v="0"/>
    <n v="0"/>
  </r>
  <r>
    <x v="11"/>
    <s v="Desember"/>
    <n v="12"/>
    <s v="T3"/>
    <x v="1"/>
    <s v="Kommunal Boenhet"/>
    <n v="254"/>
    <s v="Helse og mestring"/>
    <x v="1"/>
    <x v="1"/>
    <n v="1200"/>
    <n v="120090"/>
    <s v="Annet utstyr / andre maskiner"/>
    <n v="0"/>
    <n v="0"/>
    <n v="0"/>
    <n v="0"/>
  </r>
  <r>
    <x v="0"/>
    <s v="Januar"/>
    <n v="1"/>
    <s v="T1"/>
    <x v="0"/>
    <s v="Kommunal Boenhet"/>
    <n v="254"/>
    <s v="Helse og mestring"/>
    <x v="1"/>
    <x v="1"/>
    <n v="1210"/>
    <n v="121010"/>
    <s v="Leie / leasing av transportmidler"/>
    <n v="0"/>
    <n v="221.4"/>
    <n v="-221.4"/>
    <n v="221.4"/>
  </r>
  <r>
    <x v="1"/>
    <s v="Februar"/>
    <n v="2"/>
    <s v="T1"/>
    <x v="0"/>
    <s v="Kommunal Boenhet"/>
    <n v="254"/>
    <s v="Helse og mestring"/>
    <x v="1"/>
    <x v="1"/>
    <n v="1210"/>
    <n v="121010"/>
    <s v="Leie / leasing av transportmidler"/>
    <n v="0"/>
    <n v="3564.51"/>
    <n v="-3564.51"/>
    <n v="3564.51"/>
  </r>
  <r>
    <x v="2"/>
    <s v="Mars"/>
    <n v="3"/>
    <s v="T1"/>
    <x v="0"/>
    <s v="Kommunal Boenhet"/>
    <n v="254"/>
    <s v="Helse og mestring"/>
    <x v="1"/>
    <x v="1"/>
    <n v="1210"/>
    <n v="121010"/>
    <s v="Leie / leasing av transportmidler"/>
    <n v="0"/>
    <n v="3595.97"/>
    <n v="-3595.97"/>
    <n v="3595.97"/>
  </r>
  <r>
    <x v="3"/>
    <s v="April"/>
    <n v="4"/>
    <s v="T1"/>
    <x v="0"/>
    <s v="Kommunal Boenhet"/>
    <n v="254"/>
    <s v="Helse og mestring"/>
    <x v="1"/>
    <x v="1"/>
    <n v="1210"/>
    <n v="121010"/>
    <s v="Leie / leasing av transportmidler"/>
    <n v="0"/>
    <n v="3938.21"/>
    <n v="-3938.21"/>
    <n v="3938.21"/>
  </r>
  <r>
    <x v="4"/>
    <s v="Mai"/>
    <n v="5"/>
    <s v="T2"/>
    <x v="0"/>
    <s v="Kommunal Boenhet"/>
    <n v="254"/>
    <s v="Helse og mestring"/>
    <x v="1"/>
    <x v="1"/>
    <n v="1210"/>
    <n v="121010"/>
    <s v="Leie / leasing av transportmidler"/>
    <n v="0"/>
    <n v="4730.22"/>
    <n v="-4730.22"/>
    <n v="4730.22"/>
  </r>
  <r>
    <x v="5"/>
    <s v="Juni"/>
    <n v="6"/>
    <s v="T2"/>
    <x v="0"/>
    <s v="Kommunal Boenhet"/>
    <n v="254"/>
    <s v="Helse og mestring"/>
    <x v="1"/>
    <x v="1"/>
    <n v="1210"/>
    <n v="121010"/>
    <s v="Leie / leasing av transportmidler"/>
    <n v="0"/>
    <n v="1416.2"/>
    <n v="-1416.2"/>
    <n v="1416.2"/>
  </r>
  <r>
    <x v="6"/>
    <s v="Juli"/>
    <n v="7"/>
    <s v="T2"/>
    <x v="0"/>
    <s v="Kommunal Boenhet"/>
    <n v="254"/>
    <s v="Helse og mestring"/>
    <x v="1"/>
    <x v="1"/>
    <n v="1210"/>
    <n v="121010"/>
    <s v="Leie / leasing av transportmidler"/>
    <n v="0"/>
    <n v="3719.8"/>
    <n v="-3719.8"/>
    <n v="3719.8"/>
  </r>
  <r>
    <x v="7"/>
    <s v="August"/>
    <n v="8"/>
    <s v="T2"/>
    <x v="0"/>
    <s v="Kommunal Boenhet"/>
    <n v="254"/>
    <s v="Helse og mestring"/>
    <x v="1"/>
    <x v="1"/>
    <n v="1210"/>
    <n v="121010"/>
    <s v="Leie / leasing av transportmidler"/>
    <n v="0"/>
    <n v="468.81"/>
    <n v="-468.81"/>
    <n v="468.81"/>
  </r>
  <r>
    <x v="8"/>
    <s v="September"/>
    <n v="9"/>
    <s v="T3"/>
    <x v="1"/>
    <s v="Kommunal Boenhet"/>
    <n v="254"/>
    <s v="Helse og mestring"/>
    <x v="1"/>
    <x v="1"/>
    <n v="1210"/>
    <n v="121010"/>
    <s v="Leie / leasing av transportmidler"/>
    <n v="0"/>
    <n v="0"/>
    <n v="0"/>
    <n v="0"/>
  </r>
  <r>
    <x v="9"/>
    <s v="Oktober"/>
    <n v="10"/>
    <s v="T3"/>
    <x v="1"/>
    <s v="Kommunal Boenhet"/>
    <n v="254"/>
    <s v="Helse og mestring"/>
    <x v="1"/>
    <x v="1"/>
    <n v="1210"/>
    <n v="121010"/>
    <s v="Leie / leasing av transportmidler"/>
    <n v="0"/>
    <n v="0"/>
    <n v="0"/>
    <n v="0"/>
  </r>
  <r>
    <x v="10"/>
    <s v="November"/>
    <n v="11"/>
    <s v="T3"/>
    <x v="1"/>
    <s v="Kommunal Boenhet"/>
    <n v="254"/>
    <s v="Helse og mestring"/>
    <x v="1"/>
    <x v="1"/>
    <n v="1210"/>
    <n v="121010"/>
    <s v="Leie / leasing av transportmidler"/>
    <n v="0"/>
    <n v="0"/>
    <n v="0"/>
    <n v="0"/>
  </r>
  <r>
    <x v="11"/>
    <s v="Desember"/>
    <n v="12"/>
    <s v="T3"/>
    <x v="1"/>
    <s v="Kommunal Boenhet"/>
    <n v="254"/>
    <s v="Helse og mestring"/>
    <x v="1"/>
    <x v="1"/>
    <n v="1210"/>
    <n v="121010"/>
    <s v="Leie / leasing av transportmidler"/>
    <n v="0"/>
    <n v="0"/>
    <n v="0"/>
    <n v="0"/>
  </r>
  <r>
    <x v="0"/>
    <s v="Januar"/>
    <n v="1"/>
    <s v="T1"/>
    <x v="0"/>
    <s v="Kommunal Boenhet"/>
    <n v="254"/>
    <s v="Helse og mestring"/>
    <x v="1"/>
    <x v="1"/>
    <n v="1220"/>
    <n v="122000"/>
    <s v="Leie av kontorutstyr / maskiner"/>
    <n v="1700"/>
    <n v="2658"/>
    <n v="-958"/>
    <n v="958"/>
  </r>
  <r>
    <x v="1"/>
    <s v="Februar"/>
    <n v="2"/>
    <s v="T1"/>
    <x v="0"/>
    <s v="Kommunal Boenhet"/>
    <n v="254"/>
    <s v="Helse og mestring"/>
    <x v="1"/>
    <x v="1"/>
    <n v="1220"/>
    <n v="122000"/>
    <s v="Leie av kontorutstyr / maskiner"/>
    <n v="1700"/>
    <n v="0"/>
    <n v="1700"/>
    <n v="-1700"/>
  </r>
  <r>
    <x v="2"/>
    <s v="Mars"/>
    <n v="3"/>
    <s v="T1"/>
    <x v="0"/>
    <s v="Kommunal Boenhet"/>
    <n v="254"/>
    <s v="Helse og mestring"/>
    <x v="1"/>
    <x v="1"/>
    <n v="1220"/>
    <n v="122000"/>
    <s v="Leie av kontorutstyr / maskiner"/>
    <n v="1700"/>
    <n v="0"/>
    <n v="1700"/>
    <n v="-1700"/>
  </r>
  <r>
    <x v="3"/>
    <s v="April"/>
    <n v="4"/>
    <s v="T1"/>
    <x v="0"/>
    <s v="Kommunal Boenhet"/>
    <n v="254"/>
    <s v="Helse og mestring"/>
    <x v="1"/>
    <x v="1"/>
    <n v="1220"/>
    <n v="122000"/>
    <s v="Leie av kontorutstyr / maskiner"/>
    <n v="1700"/>
    <n v="2658"/>
    <n v="-958"/>
    <n v="958"/>
  </r>
  <r>
    <x v="4"/>
    <s v="Mai"/>
    <n v="5"/>
    <s v="T2"/>
    <x v="0"/>
    <s v="Kommunal Boenhet"/>
    <n v="254"/>
    <s v="Helse og mestring"/>
    <x v="1"/>
    <x v="1"/>
    <n v="1220"/>
    <n v="122000"/>
    <s v="Leie av kontorutstyr / maskiner"/>
    <n v="1700"/>
    <n v="0"/>
    <n v="1700"/>
    <n v="-1700"/>
  </r>
  <r>
    <x v="5"/>
    <s v="Juni"/>
    <n v="6"/>
    <s v="T2"/>
    <x v="0"/>
    <s v="Kommunal Boenhet"/>
    <n v="254"/>
    <s v="Helse og mestring"/>
    <x v="1"/>
    <x v="1"/>
    <n v="1220"/>
    <n v="122000"/>
    <s v="Leie av kontorutstyr / maskiner"/>
    <n v="1700"/>
    <n v="0"/>
    <n v="1700"/>
    <n v="-1700"/>
  </r>
  <r>
    <x v="6"/>
    <s v="Juli"/>
    <n v="7"/>
    <s v="T2"/>
    <x v="0"/>
    <s v="Kommunal Boenhet"/>
    <n v="254"/>
    <s v="Helse og mestring"/>
    <x v="1"/>
    <x v="1"/>
    <n v="1220"/>
    <n v="122000"/>
    <s v="Leie av kontorutstyr / maskiner"/>
    <n v="1700"/>
    <n v="2658"/>
    <n v="-958"/>
    <n v="958"/>
  </r>
  <r>
    <x v="7"/>
    <s v="August"/>
    <n v="8"/>
    <s v="T2"/>
    <x v="0"/>
    <s v="Kommunal Boenhet"/>
    <n v="254"/>
    <s v="Helse og mestring"/>
    <x v="1"/>
    <x v="1"/>
    <n v="1220"/>
    <n v="122000"/>
    <s v="Leie av kontorutstyr / maskiner"/>
    <n v="1700"/>
    <n v="0"/>
    <n v="1700"/>
    <n v="-1700"/>
  </r>
  <r>
    <x v="8"/>
    <s v="September"/>
    <n v="9"/>
    <s v="T3"/>
    <x v="1"/>
    <s v="Kommunal Boenhet"/>
    <n v="254"/>
    <s v="Helse og mestring"/>
    <x v="1"/>
    <x v="1"/>
    <n v="1220"/>
    <n v="122000"/>
    <s v="Leie av kontorutstyr / maskiner"/>
    <n v="1700"/>
    <n v="0"/>
    <n v="0"/>
    <n v="-1700"/>
  </r>
  <r>
    <x v="9"/>
    <s v="Oktober"/>
    <n v="10"/>
    <s v="T3"/>
    <x v="1"/>
    <s v="Kommunal Boenhet"/>
    <n v="254"/>
    <s v="Helse og mestring"/>
    <x v="1"/>
    <x v="1"/>
    <n v="1220"/>
    <n v="122000"/>
    <s v="Leie av kontorutstyr / maskiner"/>
    <n v="1700"/>
    <n v="0"/>
    <n v="0"/>
    <n v="-1700"/>
  </r>
  <r>
    <x v="10"/>
    <s v="November"/>
    <n v="11"/>
    <s v="T3"/>
    <x v="1"/>
    <s v="Kommunal Boenhet"/>
    <n v="254"/>
    <s v="Helse og mestring"/>
    <x v="1"/>
    <x v="1"/>
    <n v="1220"/>
    <n v="122000"/>
    <s v="Leie av kontorutstyr / maskiner"/>
    <n v="1700"/>
    <n v="0"/>
    <n v="0"/>
    <n v="-1700"/>
  </r>
  <r>
    <x v="11"/>
    <s v="Desember"/>
    <n v="12"/>
    <s v="T3"/>
    <x v="1"/>
    <s v="Kommunal Boenhet"/>
    <n v="254"/>
    <s v="Helse og mestring"/>
    <x v="1"/>
    <x v="1"/>
    <n v="1220"/>
    <n v="122000"/>
    <s v="Leie av kontorutstyr / maskiner"/>
    <n v="1300"/>
    <n v="0"/>
    <n v="0"/>
    <n v="-1300"/>
  </r>
  <r>
    <x v="0"/>
    <s v="Januar"/>
    <n v="1"/>
    <s v="T1"/>
    <x v="0"/>
    <s v="Kommunal Boenhet"/>
    <n v="254"/>
    <s v="Helse og mestring"/>
    <x v="1"/>
    <x v="1"/>
    <n v="1230"/>
    <n v="123020"/>
    <s v="Vedlikehold - bygning"/>
    <n v="0"/>
    <n v="0"/>
    <n v="0"/>
    <n v="0"/>
  </r>
  <r>
    <x v="1"/>
    <s v="Februar"/>
    <n v="2"/>
    <s v="T1"/>
    <x v="0"/>
    <s v="Kommunal Boenhet"/>
    <n v="254"/>
    <s v="Helse og mestring"/>
    <x v="1"/>
    <x v="1"/>
    <n v="1230"/>
    <n v="123020"/>
    <s v="Vedlikehold - bygning"/>
    <n v="0"/>
    <n v="0"/>
    <n v="0"/>
    <n v="0"/>
  </r>
  <r>
    <x v="2"/>
    <s v="Mars"/>
    <n v="3"/>
    <s v="T1"/>
    <x v="0"/>
    <s v="Kommunal Boenhet"/>
    <n v="254"/>
    <s v="Helse og mestring"/>
    <x v="1"/>
    <x v="1"/>
    <n v="1230"/>
    <n v="123020"/>
    <s v="Vedlikehold - bygning"/>
    <n v="0"/>
    <n v="0"/>
    <n v="0"/>
    <n v="0"/>
  </r>
  <r>
    <x v="3"/>
    <s v="April"/>
    <n v="4"/>
    <s v="T1"/>
    <x v="0"/>
    <s v="Kommunal Boenhet"/>
    <n v="254"/>
    <s v="Helse og mestring"/>
    <x v="1"/>
    <x v="1"/>
    <n v="1230"/>
    <n v="123020"/>
    <s v="Vedlikehold - bygning"/>
    <n v="0"/>
    <n v="0"/>
    <n v="0"/>
    <n v="0"/>
  </r>
  <r>
    <x v="4"/>
    <s v="Mai"/>
    <n v="5"/>
    <s v="T2"/>
    <x v="0"/>
    <s v="Kommunal Boenhet"/>
    <n v="254"/>
    <s v="Helse og mestring"/>
    <x v="1"/>
    <x v="1"/>
    <n v="1230"/>
    <n v="123020"/>
    <s v="Vedlikehold - bygning"/>
    <n v="0"/>
    <n v="0"/>
    <n v="0"/>
    <n v="0"/>
  </r>
  <r>
    <x v="5"/>
    <s v="Juni"/>
    <n v="6"/>
    <s v="T2"/>
    <x v="0"/>
    <s v="Kommunal Boenhet"/>
    <n v="254"/>
    <s v="Helse og mestring"/>
    <x v="1"/>
    <x v="1"/>
    <n v="1230"/>
    <n v="123020"/>
    <s v="Vedlikehold - bygning"/>
    <n v="0"/>
    <n v="0"/>
    <n v="0"/>
    <n v="0"/>
  </r>
  <r>
    <x v="6"/>
    <s v="Juli"/>
    <n v="7"/>
    <s v="T2"/>
    <x v="0"/>
    <s v="Kommunal Boenhet"/>
    <n v="254"/>
    <s v="Helse og mestring"/>
    <x v="1"/>
    <x v="1"/>
    <n v="1230"/>
    <n v="123020"/>
    <s v="Vedlikehold - bygning"/>
    <n v="0"/>
    <n v="0"/>
    <n v="0"/>
    <n v="0"/>
  </r>
  <r>
    <x v="7"/>
    <s v="August"/>
    <n v="8"/>
    <s v="T2"/>
    <x v="0"/>
    <s v="Kommunal Boenhet"/>
    <n v="254"/>
    <s v="Helse og mestring"/>
    <x v="1"/>
    <x v="1"/>
    <n v="1230"/>
    <n v="123020"/>
    <s v="Vedlikehold - bygning"/>
    <n v="0"/>
    <n v="0"/>
    <n v="0"/>
    <n v="0"/>
  </r>
  <r>
    <x v="8"/>
    <s v="September"/>
    <n v="9"/>
    <s v="T3"/>
    <x v="1"/>
    <s v="Kommunal Boenhet"/>
    <n v="254"/>
    <s v="Helse og mestring"/>
    <x v="1"/>
    <x v="1"/>
    <n v="1230"/>
    <n v="123020"/>
    <s v="Vedlikehold - bygning"/>
    <n v="0"/>
    <n v="0"/>
    <n v="0"/>
    <n v="0"/>
  </r>
  <r>
    <x v="9"/>
    <s v="Oktober"/>
    <n v="10"/>
    <s v="T3"/>
    <x v="1"/>
    <s v="Kommunal Boenhet"/>
    <n v="254"/>
    <s v="Helse og mestring"/>
    <x v="1"/>
    <x v="1"/>
    <n v="1230"/>
    <n v="123020"/>
    <s v="Vedlikehold - bygning"/>
    <n v="0"/>
    <n v="0"/>
    <n v="0"/>
    <n v="0"/>
  </r>
  <r>
    <x v="10"/>
    <s v="November"/>
    <n v="11"/>
    <s v="T3"/>
    <x v="1"/>
    <s v="Kommunal Boenhet"/>
    <n v="254"/>
    <s v="Helse og mestring"/>
    <x v="1"/>
    <x v="1"/>
    <n v="1230"/>
    <n v="123020"/>
    <s v="Vedlikehold - bygning"/>
    <n v="0"/>
    <n v="0"/>
    <n v="0"/>
    <n v="0"/>
  </r>
  <r>
    <x v="11"/>
    <s v="Desember"/>
    <n v="12"/>
    <s v="T3"/>
    <x v="1"/>
    <s v="Kommunal Boenhet"/>
    <n v="254"/>
    <s v="Helse og mestring"/>
    <x v="1"/>
    <x v="1"/>
    <n v="1230"/>
    <n v="123020"/>
    <s v="Vedlikehold - bygning"/>
    <n v="0"/>
    <n v="0"/>
    <n v="0"/>
    <n v="0"/>
  </r>
  <r>
    <x v="0"/>
    <s v="Januar"/>
    <n v="1"/>
    <s v="T1"/>
    <x v="0"/>
    <s v="Kommunal Boenhet"/>
    <n v="254"/>
    <s v="Helse og mestring"/>
    <x v="1"/>
    <x v="1"/>
    <n v="1230"/>
    <n v="123022"/>
    <s v="Vedlikehold - elektriske installasjoner"/>
    <n v="0"/>
    <n v="0"/>
    <n v="0"/>
    <n v="0"/>
  </r>
  <r>
    <x v="1"/>
    <s v="Februar"/>
    <n v="2"/>
    <s v="T1"/>
    <x v="0"/>
    <s v="Kommunal Boenhet"/>
    <n v="254"/>
    <s v="Helse og mestring"/>
    <x v="1"/>
    <x v="1"/>
    <n v="1230"/>
    <n v="123022"/>
    <s v="Vedlikehold - elektriske installasjoner"/>
    <n v="0"/>
    <n v="9432.57"/>
    <n v="-9432.57"/>
    <n v="9432.57"/>
  </r>
  <r>
    <x v="2"/>
    <s v="Mars"/>
    <n v="3"/>
    <s v="T1"/>
    <x v="0"/>
    <s v="Kommunal Boenhet"/>
    <n v="254"/>
    <s v="Helse og mestring"/>
    <x v="1"/>
    <x v="1"/>
    <n v="1230"/>
    <n v="123022"/>
    <s v="Vedlikehold - elektriske installasjoner"/>
    <n v="0"/>
    <n v="0"/>
    <n v="0"/>
    <n v="0"/>
  </r>
  <r>
    <x v="3"/>
    <s v="April"/>
    <n v="4"/>
    <s v="T1"/>
    <x v="0"/>
    <s v="Kommunal Boenhet"/>
    <n v="254"/>
    <s v="Helse og mestring"/>
    <x v="1"/>
    <x v="1"/>
    <n v="1230"/>
    <n v="123022"/>
    <s v="Vedlikehold - elektriske installasjoner"/>
    <n v="0"/>
    <n v="0"/>
    <n v="0"/>
    <n v="0"/>
  </r>
  <r>
    <x v="4"/>
    <s v="Mai"/>
    <n v="5"/>
    <s v="T2"/>
    <x v="0"/>
    <s v="Kommunal Boenhet"/>
    <n v="254"/>
    <s v="Helse og mestring"/>
    <x v="1"/>
    <x v="1"/>
    <n v="1230"/>
    <n v="123022"/>
    <s v="Vedlikehold - elektriske installasjoner"/>
    <n v="0"/>
    <n v="1470"/>
    <n v="-1470"/>
    <n v="1470"/>
  </r>
  <r>
    <x v="5"/>
    <s v="Juni"/>
    <n v="6"/>
    <s v="T2"/>
    <x v="0"/>
    <s v="Kommunal Boenhet"/>
    <n v="254"/>
    <s v="Helse og mestring"/>
    <x v="1"/>
    <x v="1"/>
    <n v="1230"/>
    <n v="123022"/>
    <s v="Vedlikehold - elektriske installasjoner"/>
    <n v="0"/>
    <n v="0"/>
    <n v="0"/>
    <n v="0"/>
  </r>
  <r>
    <x v="6"/>
    <s v="Juli"/>
    <n v="7"/>
    <s v="T2"/>
    <x v="0"/>
    <s v="Kommunal Boenhet"/>
    <n v="254"/>
    <s v="Helse og mestring"/>
    <x v="1"/>
    <x v="1"/>
    <n v="1230"/>
    <n v="123022"/>
    <s v="Vedlikehold - elektriske installasjoner"/>
    <n v="0"/>
    <n v="0"/>
    <n v="0"/>
    <n v="0"/>
  </r>
  <r>
    <x v="7"/>
    <s v="August"/>
    <n v="8"/>
    <s v="T2"/>
    <x v="0"/>
    <s v="Kommunal Boenhet"/>
    <n v="254"/>
    <s v="Helse og mestring"/>
    <x v="1"/>
    <x v="1"/>
    <n v="1230"/>
    <n v="123022"/>
    <s v="Vedlikehold - elektriske installasjoner"/>
    <n v="0"/>
    <n v="0"/>
    <n v="0"/>
    <n v="0"/>
  </r>
  <r>
    <x v="8"/>
    <s v="September"/>
    <n v="9"/>
    <s v="T3"/>
    <x v="1"/>
    <s v="Kommunal Boenhet"/>
    <n v="254"/>
    <s v="Helse og mestring"/>
    <x v="1"/>
    <x v="1"/>
    <n v="1230"/>
    <n v="123022"/>
    <s v="Vedlikehold - elektriske installasjoner"/>
    <n v="0"/>
    <n v="0"/>
    <n v="0"/>
    <n v="0"/>
  </r>
  <r>
    <x v="9"/>
    <s v="Oktober"/>
    <n v="10"/>
    <s v="T3"/>
    <x v="1"/>
    <s v="Kommunal Boenhet"/>
    <n v="254"/>
    <s v="Helse og mestring"/>
    <x v="1"/>
    <x v="1"/>
    <n v="1230"/>
    <n v="123022"/>
    <s v="Vedlikehold - elektriske installasjoner"/>
    <n v="0"/>
    <n v="0"/>
    <n v="0"/>
    <n v="0"/>
  </r>
  <r>
    <x v="10"/>
    <s v="November"/>
    <n v="11"/>
    <s v="T3"/>
    <x v="1"/>
    <s v="Kommunal Boenhet"/>
    <n v="254"/>
    <s v="Helse og mestring"/>
    <x v="1"/>
    <x v="1"/>
    <n v="1230"/>
    <n v="123022"/>
    <s v="Vedlikehold - elektriske installasjoner"/>
    <n v="0"/>
    <n v="0"/>
    <n v="0"/>
    <n v="0"/>
  </r>
  <r>
    <x v="11"/>
    <s v="Desember"/>
    <n v="12"/>
    <s v="T3"/>
    <x v="1"/>
    <s v="Kommunal Boenhet"/>
    <n v="254"/>
    <s v="Helse og mestring"/>
    <x v="1"/>
    <x v="1"/>
    <n v="1230"/>
    <n v="123022"/>
    <s v="Vedlikehold - elektriske installasjoner"/>
    <n v="0"/>
    <n v="0"/>
    <n v="0"/>
    <n v="0"/>
  </r>
  <r>
    <x v="0"/>
    <s v="Januar"/>
    <n v="1"/>
    <s v="T1"/>
    <x v="0"/>
    <s v="Kommunal Boenhet"/>
    <n v="254"/>
    <s v="Helse og mestring"/>
    <x v="1"/>
    <x v="1"/>
    <n v="1240"/>
    <n v="124010"/>
    <s v="Drifts- / serviceavtaler - kontormaskiner"/>
    <n v="0"/>
    <n v="557.4"/>
    <n v="-557.4"/>
    <n v="557.4"/>
  </r>
  <r>
    <x v="1"/>
    <s v="Februar"/>
    <n v="2"/>
    <s v="T1"/>
    <x v="0"/>
    <s v="Kommunal Boenhet"/>
    <n v="254"/>
    <s v="Helse og mestring"/>
    <x v="1"/>
    <x v="1"/>
    <n v="1240"/>
    <n v="124010"/>
    <s v="Drifts- / serviceavtaler - kontormaskiner"/>
    <n v="0"/>
    <n v="572.6"/>
    <n v="-572.6"/>
    <n v="572.6"/>
  </r>
  <r>
    <x v="2"/>
    <s v="Mars"/>
    <n v="3"/>
    <s v="T1"/>
    <x v="0"/>
    <s v="Kommunal Boenhet"/>
    <n v="254"/>
    <s v="Helse og mestring"/>
    <x v="1"/>
    <x v="1"/>
    <n v="1240"/>
    <n v="124010"/>
    <s v="Drifts- / serviceavtaler - kontormaskiner"/>
    <n v="0"/>
    <n v="0"/>
    <n v="0"/>
    <n v="0"/>
  </r>
  <r>
    <x v="3"/>
    <s v="April"/>
    <n v="4"/>
    <s v="T1"/>
    <x v="0"/>
    <s v="Kommunal Boenhet"/>
    <n v="254"/>
    <s v="Helse og mestring"/>
    <x v="1"/>
    <x v="1"/>
    <n v="1240"/>
    <n v="124010"/>
    <s v="Drifts- / serviceavtaler - kontormaskiner"/>
    <n v="0"/>
    <n v="1676.4"/>
    <n v="-1676.4"/>
    <n v="1676.4"/>
  </r>
  <r>
    <x v="4"/>
    <s v="Mai"/>
    <n v="5"/>
    <s v="T2"/>
    <x v="0"/>
    <s v="Kommunal Boenhet"/>
    <n v="254"/>
    <s v="Helse og mestring"/>
    <x v="1"/>
    <x v="1"/>
    <n v="1240"/>
    <n v="124010"/>
    <s v="Drifts- / serviceavtaler - kontormaskiner"/>
    <n v="0"/>
    <n v="692"/>
    <n v="-692"/>
    <n v="692"/>
  </r>
  <r>
    <x v="5"/>
    <s v="Juni"/>
    <n v="6"/>
    <s v="T2"/>
    <x v="0"/>
    <s v="Kommunal Boenhet"/>
    <n v="254"/>
    <s v="Helse og mestring"/>
    <x v="1"/>
    <x v="1"/>
    <n v="1240"/>
    <n v="124010"/>
    <s v="Drifts- / serviceavtaler - kontormaskiner"/>
    <n v="0"/>
    <n v="0"/>
    <n v="0"/>
    <n v="0"/>
  </r>
  <r>
    <x v="6"/>
    <s v="Juli"/>
    <n v="7"/>
    <s v="T2"/>
    <x v="0"/>
    <s v="Kommunal Boenhet"/>
    <n v="254"/>
    <s v="Helse og mestring"/>
    <x v="1"/>
    <x v="1"/>
    <n v="1240"/>
    <n v="124010"/>
    <s v="Drifts- / serviceavtaler - kontormaskiner"/>
    <n v="0"/>
    <n v="1515.9"/>
    <n v="-1515.9"/>
    <n v="1515.9"/>
  </r>
  <r>
    <x v="7"/>
    <s v="August"/>
    <n v="8"/>
    <s v="T2"/>
    <x v="0"/>
    <s v="Kommunal Boenhet"/>
    <n v="254"/>
    <s v="Helse og mestring"/>
    <x v="1"/>
    <x v="1"/>
    <n v="1240"/>
    <n v="124010"/>
    <s v="Drifts- / serviceavtaler - kontormaskiner"/>
    <n v="0"/>
    <n v="521.2"/>
    <n v="-521.2"/>
    <n v="521.2"/>
  </r>
  <r>
    <x v="8"/>
    <s v="September"/>
    <n v="9"/>
    <s v="T3"/>
    <x v="1"/>
    <s v="Kommunal Boenhet"/>
    <n v="254"/>
    <s v="Helse og mestring"/>
    <x v="1"/>
    <x v="1"/>
    <n v="1240"/>
    <n v="124010"/>
    <s v="Drifts- / serviceavtaler - kontormaskiner"/>
    <n v="0"/>
    <n v="0"/>
    <n v="0"/>
    <n v="0"/>
  </r>
  <r>
    <x v="9"/>
    <s v="Oktober"/>
    <n v="10"/>
    <s v="T3"/>
    <x v="1"/>
    <s v="Kommunal Boenhet"/>
    <n v="254"/>
    <s v="Helse og mestring"/>
    <x v="1"/>
    <x v="1"/>
    <n v="1240"/>
    <n v="124010"/>
    <s v="Drifts- / serviceavtaler - kontormaskiner"/>
    <n v="0"/>
    <n v="0"/>
    <n v="0"/>
    <n v="0"/>
  </r>
  <r>
    <x v="10"/>
    <s v="November"/>
    <n v="11"/>
    <s v="T3"/>
    <x v="1"/>
    <s v="Kommunal Boenhet"/>
    <n v="254"/>
    <s v="Helse og mestring"/>
    <x v="1"/>
    <x v="1"/>
    <n v="1240"/>
    <n v="124010"/>
    <s v="Drifts- / serviceavtaler - kontormaskiner"/>
    <n v="0"/>
    <n v="0"/>
    <n v="0"/>
    <n v="0"/>
  </r>
  <r>
    <x v="11"/>
    <s v="Desember"/>
    <n v="12"/>
    <s v="T3"/>
    <x v="1"/>
    <s v="Kommunal Boenhet"/>
    <n v="254"/>
    <s v="Helse og mestring"/>
    <x v="1"/>
    <x v="1"/>
    <n v="1240"/>
    <n v="124010"/>
    <s v="Drifts- / serviceavtaler - kontormaskiner"/>
    <n v="0"/>
    <n v="0"/>
    <n v="0"/>
    <n v="0"/>
  </r>
  <r>
    <x v="0"/>
    <s v="Januar"/>
    <n v="1"/>
    <s v="T1"/>
    <x v="0"/>
    <s v="Kommunal Boenhet"/>
    <n v="254"/>
    <s v="Helse og mestring"/>
    <x v="1"/>
    <x v="1"/>
    <n v="1240"/>
    <n v="124023"/>
    <s v="Driftsavtaler - medisinsk utstyr"/>
    <n v="0"/>
    <n v="0"/>
    <n v="0"/>
    <n v="0"/>
  </r>
  <r>
    <x v="1"/>
    <s v="Februar"/>
    <n v="2"/>
    <s v="T1"/>
    <x v="0"/>
    <s v="Kommunal Boenhet"/>
    <n v="254"/>
    <s v="Helse og mestring"/>
    <x v="1"/>
    <x v="1"/>
    <n v="1240"/>
    <n v="124023"/>
    <s v="Driftsavtaler - medisinsk utstyr"/>
    <n v="0"/>
    <n v="0"/>
    <n v="0"/>
    <n v="0"/>
  </r>
  <r>
    <x v="2"/>
    <s v="Mars"/>
    <n v="3"/>
    <s v="T1"/>
    <x v="0"/>
    <s v="Kommunal Boenhet"/>
    <n v="254"/>
    <s v="Helse og mestring"/>
    <x v="1"/>
    <x v="1"/>
    <n v="1240"/>
    <n v="124023"/>
    <s v="Driftsavtaler - medisinsk utstyr"/>
    <n v="0"/>
    <n v="0"/>
    <n v="0"/>
    <n v="0"/>
  </r>
  <r>
    <x v="3"/>
    <s v="April"/>
    <n v="4"/>
    <s v="T1"/>
    <x v="0"/>
    <s v="Kommunal Boenhet"/>
    <n v="254"/>
    <s v="Helse og mestring"/>
    <x v="1"/>
    <x v="1"/>
    <n v="1240"/>
    <n v="124023"/>
    <s v="Driftsavtaler - medisinsk utstyr"/>
    <n v="0"/>
    <n v="0"/>
    <n v="0"/>
    <n v="0"/>
  </r>
  <r>
    <x v="4"/>
    <s v="Mai"/>
    <n v="5"/>
    <s v="T2"/>
    <x v="0"/>
    <s v="Kommunal Boenhet"/>
    <n v="254"/>
    <s v="Helse og mestring"/>
    <x v="1"/>
    <x v="1"/>
    <n v="1240"/>
    <n v="124023"/>
    <s v="Driftsavtaler - medisinsk utstyr"/>
    <n v="0"/>
    <n v="0"/>
    <n v="0"/>
    <n v="0"/>
  </r>
  <r>
    <x v="5"/>
    <s v="Juni"/>
    <n v="6"/>
    <s v="T2"/>
    <x v="0"/>
    <s v="Kommunal Boenhet"/>
    <n v="254"/>
    <s v="Helse og mestring"/>
    <x v="1"/>
    <x v="1"/>
    <n v="1240"/>
    <n v="124023"/>
    <s v="Driftsavtaler - medisinsk utstyr"/>
    <n v="0"/>
    <n v="0"/>
    <n v="0"/>
    <n v="0"/>
  </r>
  <r>
    <x v="6"/>
    <s v="Juli"/>
    <n v="7"/>
    <s v="T2"/>
    <x v="0"/>
    <s v="Kommunal Boenhet"/>
    <n v="254"/>
    <s v="Helse og mestring"/>
    <x v="1"/>
    <x v="1"/>
    <n v="1240"/>
    <n v="124023"/>
    <s v="Driftsavtaler - medisinsk utstyr"/>
    <n v="0"/>
    <n v="0"/>
    <n v="0"/>
    <n v="0"/>
  </r>
  <r>
    <x v="7"/>
    <s v="August"/>
    <n v="8"/>
    <s v="T2"/>
    <x v="0"/>
    <s v="Kommunal Boenhet"/>
    <n v="254"/>
    <s v="Helse og mestring"/>
    <x v="1"/>
    <x v="1"/>
    <n v="1240"/>
    <n v="124023"/>
    <s v="Driftsavtaler - medisinsk utstyr"/>
    <n v="0"/>
    <n v="0"/>
    <n v="0"/>
    <n v="0"/>
  </r>
  <r>
    <x v="8"/>
    <s v="September"/>
    <n v="9"/>
    <s v="T3"/>
    <x v="1"/>
    <s v="Kommunal Boenhet"/>
    <n v="254"/>
    <s v="Helse og mestring"/>
    <x v="1"/>
    <x v="1"/>
    <n v="1240"/>
    <n v="124023"/>
    <s v="Driftsavtaler - medisinsk utstyr"/>
    <n v="0"/>
    <n v="0"/>
    <n v="0"/>
    <n v="0"/>
  </r>
  <r>
    <x v="9"/>
    <s v="Oktober"/>
    <n v="10"/>
    <s v="T3"/>
    <x v="1"/>
    <s v="Kommunal Boenhet"/>
    <n v="254"/>
    <s v="Helse og mestring"/>
    <x v="1"/>
    <x v="1"/>
    <n v="1240"/>
    <n v="124023"/>
    <s v="Driftsavtaler - medisinsk utstyr"/>
    <n v="0"/>
    <n v="0"/>
    <n v="0"/>
    <n v="0"/>
  </r>
  <r>
    <x v="10"/>
    <s v="November"/>
    <n v="11"/>
    <s v="T3"/>
    <x v="1"/>
    <s v="Kommunal Boenhet"/>
    <n v="254"/>
    <s v="Helse og mestring"/>
    <x v="1"/>
    <x v="1"/>
    <n v="1240"/>
    <n v="124023"/>
    <s v="Driftsavtaler - medisinsk utstyr"/>
    <n v="0"/>
    <n v="0"/>
    <n v="0"/>
    <n v="0"/>
  </r>
  <r>
    <x v="11"/>
    <s v="Desember"/>
    <n v="12"/>
    <s v="T3"/>
    <x v="1"/>
    <s v="Kommunal Boenhet"/>
    <n v="254"/>
    <s v="Helse og mestring"/>
    <x v="1"/>
    <x v="1"/>
    <n v="1240"/>
    <n v="124023"/>
    <s v="Driftsavtaler - medisinsk utstyr"/>
    <n v="0"/>
    <n v="0"/>
    <n v="0"/>
    <n v="0"/>
  </r>
  <r>
    <x v="0"/>
    <s v="Januar"/>
    <n v="1"/>
    <s v="T1"/>
    <x v="0"/>
    <s v="Kommunal Boenhet"/>
    <n v="254"/>
    <s v="Helse og mestring"/>
    <x v="1"/>
    <x v="1"/>
    <n v="1250"/>
    <n v="125000"/>
    <s v="Materialer til vedl. - bygg"/>
    <n v="0"/>
    <n v="0"/>
    <n v="0"/>
    <n v="0"/>
  </r>
  <r>
    <x v="1"/>
    <s v="Februar"/>
    <n v="2"/>
    <s v="T1"/>
    <x v="0"/>
    <s v="Kommunal Boenhet"/>
    <n v="254"/>
    <s v="Helse og mestring"/>
    <x v="1"/>
    <x v="1"/>
    <n v="1250"/>
    <n v="125000"/>
    <s v="Materialer til vedl. - bygg"/>
    <n v="0"/>
    <n v="0"/>
    <n v="0"/>
    <n v="0"/>
  </r>
  <r>
    <x v="2"/>
    <s v="Mars"/>
    <n v="3"/>
    <s v="T1"/>
    <x v="0"/>
    <s v="Kommunal Boenhet"/>
    <n v="254"/>
    <s v="Helse og mestring"/>
    <x v="1"/>
    <x v="1"/>
    <n v="1250"/>
    <n v="125000"/>
    <s v="Materialer til vedl. - bygg"/>
    <n v="0"/>
    <n v="0"/>
    <n v="0"/>
    <n v="0"/>
  </r>
  <r>
    <x v="3"/>
    <s v="April"/>
    <n v="4"/>
    <s v="T1"/>
    <x v="0"/>
    <s v="Kommunal Boenhet"/>
    <n v="254"/>
    <s v="Helse og mestring"/>
    <x v="1"/>
    <x v="1"/>
    <n v="1250"/>
    <n v="125000"/>
    <s v="Materialer til vedl. - bygg"/>
    <n v="0"/>
    <n v="0"/>
    <n v="0"/>
    <n v="0"/>
  </r>
  <r>
    <x v="4"/>
    <s v="Mai"/>
    <n v="5"/>
    <s v="T2"/>
    <x v="0"/>
    <s v="Kommunal Boenhet"/>
    <n v="254"/>
    <s v="Helse og mestring"/>
    <x v="1"/>
    <x v="1"/>
    <n v="1250"/>
    <n v="125000"/>
    <s v="Materialer til vedl. - bygg"/>
    <n v="0"/>
    <n v="0"/>
    <n v="0"/>
    <n v="0"/>
  </r>
  <r>
    <x v="5"/>
    <s v="Juni"/>
    <n v="6"/>
    <s v="T2"/>
    <x v="0"/>
    <s v="Kommunal Boenhet"/>
    <n v="254"/>
    <s v="Helse og mestring"/>
    <x v="1"/>
    <x v="1"/>
    <n v="1250"/>
    <n v="125000"/>
    <s v="Materialer til vedl. - bygg"/>
    <n v="0"/>
    <n v="0"/>
    <n v="0"/>
    <n v="0"/>
  </r>
  <r>
    <x v="6"/>
    <s v="Juli"/>
    <n v="7"/>
    <s v="T2"/>
    <x v="0"/>
    <s v="Kommunal Boenhet"/>
    <n v="254"/>
    <s v="Helse og mestring"/>
    <x v="1"/>
    <x v="1"/>
    <n v="1250"/>
    <n v="125000"/>
    <s v="Materialer til vedl. - bygg"/>
    <n v="0"/>
    <n v="0"/>
    <n v="0"/>
    <n v="0"/>
  </r>
  <r>
    <x v="7"/>
    <s v="August"/>
    <n v="8"/>
    <s v="T2"/>
    <x v="0"/>
    <s v="Kommunal Boenhet"/>
    <n v="254"/>
    <s v="Helse og mestring"/>
    <x v="1"/>
    <x v="1"/>
    <n v="1250"/>
    <n v="125000"/>
    <s v="Materialer til vedl. - bygg"/>
    <n v="0"/>
    <n v="0"/>
    <n v="0"/>
    <n v="0"/>
  </r>
  <r>
    <x v="8"/>
    <s v="September"/>
    <n v="9"/>
    <s v="T3"/>
    <x v="1"/>
    <s v="Kommunal Boenhet"/>
    <n v="254"/>
    <s v="Helse og mestring"/>
    <x v="1"/>
    <x v="1"/>
    <n v="1250"/>
    <n v="125000"/>
    <s v="Materialer til vedl. - bygg"/>
    <n v="0"/>
    <n v="0"/>
    <n v="0"/>
    <n v="0"/>
  </r>
  <r>
    <x v="9"/>
    <s v="Oktober"/>
    <n v="10"/>
    <s v="T3"/>
    <x v="1"/>
    <s v="Kommunal Boenhet"/>
    <n v="254"/>
    <s v="Helse og mestring"/>
    <x v="1"/>
    <x v="1"/>
    <n v="1250"/>
    <n v="125000"/>
    <s v="Materialer til vedl. - bygg"/>
    <n v="0"/>
    <n v="0"/>
    <n v="0"/>
    <n v="0"/>
  </r>
  <r>
    <x v="10"/>
    <s v="November"/>
    <n v="11"/>
    <s v="T3"/>
    <x v="1"/>
    <s v="Kommunal Boenhet"/>
    <n v="254"/>
    <s v="Helse og mestring"/>
    <x v="1"/>
    <x v="1"/>
    <n v="1250"/>
    <n v="125000"/>
    <s v="Materialer til vedl. - bygg"/>
    <n v="0"/>
    <n v="0"/>
    <n v="0"/>
    <n v="0"/>
  </r>
  <r>
    <x v="11"/>
    <s v="Desember"/>
    <n v="12"/>
    <s v="T3"/>
    <x v="1"/>
    <s v="Kommunal Boenhet"/>
    <n v="254"/>
    <s v="Helse og mestring"/>
    <x v="1"/>
    <x v="1"/>
    <n v="1250"/>
    <n v="125000"/>
    <s v="Materialer til vedl. - bygg"/>
    <n v="0"/>
    <n v="0"/>
    <n v="0"/>
    <n v="0"/>
  </r>
  <r>
    <x v="0"/>
    <s v="Januar"/>
    <n v="1"/>
    <s v="T1"/>
    <x v="0"/>
    <s v="Kommunal Boenhet"/>
    <n v="254"/>
    <s v="Helse og mestring"/>
    <x v="1"/>
    <x v="1"/>
    <n v="1270"/>
    <n v="127040"/>
    <s v="Kjøp av vikarbyråtjenester"/>
    <n v="0"/>
    <n v="0"/>
    <n v="0"/>
    <n v="0"/>
  </r>
  <r>
    <x v="1"/>
    <s v="Februar"/>
    <n v="2"/>
    <s v="T1"/>
    <x v="0"/>
    <s v="Kommunal Boenhet"/>
    <n v="254"/>
    <s v="Helse og mestring"/>
    <x v="1"/>
    <x v="1"/>
    <n v="1270"/>
    <n v="127040"/>
    <s v="Kjøp av vikarbyråtjenester"/>
    <n v="0"/>
    <n v="0"/>
    <n v="0"/>
    <n v="0"/>
  </r>
  <r>
    <x v="2"/>
    <s v="Mars"/>
    <n v="3"/>
    <s v="T1"/>
    <x v="0"/>
    <s v="Kommunal Boenhet"/>
    <n v="254"/>
    <s v="Helse og mestring"/>
    <x v="1"/>
    <x v="1"/>
    <n v="1270"/>
    <n v="127040"/>
    <s v="Kjøp av vikarbyråtjenester"/>
    <n v="0"/>
    <n v="0"/>
    <n v="0"/>
    <n v="0"/>
  </r>
  <r>
    <x v="3"/>
    <s v="April"/>
    <n v="4"/>
    <s v="T1"/>
    <x v="0"/>
    <s v="Kommunal Boenhet"/>
    <n v="254"/>
    <s v="Helse og mestring"/>
    <x v="1"/>
    <x v="1"/>
    <n v="1270"/>
    <n v="127040"/>
    <s v="Kjøp av vikarbyråtjenester"/>
    <n v="0"/>
    <n v="0"/>
    <n v="0"/>
    <n v="0"/>
  </r>
  <r>
    <x v="4"/>
    <s v="Mai"/>
    <n v="5"/>
    <s v="T2"/>
    <x v="0"/>
    <s v="Kommunal Boenhet"/>
    <n v="254"/>
    <s v="Helse og mestring"/>
    <x v="1"/>
    <x v="1"/>
    <n v="1270"/>
    <n v="127040"/>
    <s v="Kjøp av vikarbyråtjenester"/>
    <n v="0"/>
    <n v="0"/>
    <n v="0"/>
    <n v="0"/>
  </r>
  <r>
    <x v="5"/>
    <s v="Juni"/>
    <n v="6"/>
    <s v="T2"/>
    <x v="0"/>
    <s v="Kommunal Boenhet"/>
    <n v="254"/>
    <s v="Helse og mestring"/>
    <x v="1"/>
    <x v="1"/>
    <n v="1270"/>
    <n v="127040"/>
    <s v="Kjøp av vikarbyråtjenester"/>
    <n v="0"/>
    <n v="0"/>
    <n v="0"/>
    <n v="0"/>
  </r>
  <r>
    <x v="6"/>
    <s v="Juli"/>
    <n v="7"/>
    <s v="T2"/>
    <x v="0"/>
    <s v="Kommunal Boenhet"/>
    <n v="254"/>
    <s v="Helse og mestring"/>
    <x v="1"/>
    <x v="1"/>
    <n v="1270"/>
    <n v="127040"/>
    <s v="Kjøp av vikarbyråtjenester"/>
    <n v="0"/>
    <n v="129480"/>
    <n v="-129480"/>
    <n v="129480"/>
  </r>
  <r>
    <x v="7"/>
    <s v="August"/>
    <n v="8"/>
    <s v="T2"/>
    <x v="0"/>
    <s v="Kommunal Boenhet"/>
    <n v="254"/>
    <s v="Helse og mestring"/>
    <x v="1"/>
    <x v="1"/>
    <n v="1270"/>
    <n v="127040"/>
    <s v="Kjøp av vikarbyråtjenester"/>
    <n v="0"/>
    <n v="253176"/>
    <n v="253176"/>
    <n v="253176"/>
  </r>
  <r>
    <x v="8"/>
    <s v="September"/>
    <n v="9"/>
    <s v="T3"/>
    <x v="1"/>
    <s v="Kommunal Boenhet"/>
    <n v="254"/>
    <s v="Helse og mestring"/>
    <x v="1"/>
    <x v="1"/>
    <n v="1270"/>
    <n v="127040"/>
    <s v="Kjøp av vikarbyråtjenester"/>
    <n v="0"/>
    <n v="0"/>
    <n v="0"/>
    <n v="0"/>
  </r>
  <r>
    <x v="9"/>
    <s v="Oktober"/>
    <n v="10"/>
    <s v="T3"/>
    <x v="1"/>
    <s v="Kommunal Boenhet"/>
    <n v="254"/>
    <s v="Helse og mestring"/>
    <x v="1"/>
    <x v="1"/>
    <n v="1270"/>
    <n v="127040"/>
    <s v="Kjøp av vikarbyråtjenester"/>
    <n v="0"/>
    <n v="0"/>
    <n v="0"/>
    <n v="0"/>
  </r>
  <r>
    <x v="10"/>
    <s v="November"/>
    <n v="11"/>
    <s v="T3"/>
    <x v="1"/>
    <s v="Kommunal Boenhet"/>
    <n v="254"/>
    <s v="Helse og mestring"/>
    <x v="1"/>
    <x v="1"/>
    <n v="1270"/>
    <n v="127040"/>
    <s v="Kjøp av vikarbyråtjenester"/>
    <n v="0"/>
    <n v="0"/>
    <n v="0"/>
    <n v="0"/>
  </r>
  <r>
    <x v="11"/>
    <s v="Desember"/>
    <n v="12"/>
    <s v="T3"/>
    <x v="1"/>
    <s v="Kommunal Boenhet"/>
    <n v="254"/>
    <s v="Helse og mestring"/>
    <x v="1"/>
    <x v="1"/>
    <n v="1270"/>
    <n v="127040"/>
    <s v="Kjøp av vikarbyråtjenester"/>
    <n v="0"/>
    <n v="0"/>
    <n v="0"/>
    <n v="0"/>
  </r>
  <r>
    <x v="0"/>
    <s v="Januar"/>
    <n v="1"/>
    <s v="T1"/>
    <x v="0"/>
    <s v="Kommunal Boenhet"/>
    <n v="254"/>
    <s v="Helse og mestring"/>
    <x v="1"/>
    <x v="1"/>
    <n v="1260"/>
    <n v="126000"/>
    <s v="Renholdstjenester"/>
    <n v="0"/>
    <n v="0"/>
    <n v="0"/>
    <n v="0"/>
  </r>
  <r>
    <x v="1"/>
    <s v="Februar"/>
    <n v="2"/>
    <s v="T1"/>
    <x v="0"/>
    <s v="Kommunal Boenhet"/>
    <n v="254"/>
    <s v="Helse og mestring"/>
    <x v="1"/>
    <x v="1"/>
    <n v="1260"/>
    <n v="126000"/>
    <s v="Renholdstjenester"/>
    <n v="0"/>
    <n v="0"/>
    <n v="0"/>
    <n v="0"/>
  </r>
  <r>
    <x v="2"/>
    <s v="Mars"/>
    <n v="3"/>
    <s v="T1"/>
    <x v="0"/>
    <s v="Kommunal Boenhet"/>
    <n v="254"/>
    <s v="Helse og mestring"/>
    <x v="1"/>
    <x v="1"/>
    <n v="1260"/>
    <n v="126000"/>
    <s v="Renholdstjenester"/>
    <n v="0"/>
    <n v="0"/>
    <n v="0"/>
    <n v="0"/>
  </r>
  <r>
    <x v="3"/>
    <s v="April"/>
    <n v="4"/>
    <s v="T1"/>
    <x v="0"/>
    <s v="Kommunal Boenhet"/>
    <n v="254"/>
    <s v="Helse og mestring"/>
    <x v="1"/>
    <x v="1"/>
    <n v="1260"/>
    <n v="126000"/>
    <s v="Renholdstjenester"/>
    <n v="0"/>
    <n v="400"/>
    <n v="-400"/>
    <n v="400"/>
  </r>
  <r>
    <x v="4"/>
    <s v="Mai"/>
    <n v="5"/>
    <s v="T2"/>
    <x v="0"/>
    <s v="Kommunal Boenhet"/>
    <n v="254"/>
    <s v="Helse og mestring"/>
    <x v="1"/>
    <x v="1"/>
    <n v="1260"/>
    <n v="126000"/>
    <s v="Renholdstjenester"/>
    <n v="0"/>
    <n v="0"/>
    <n v="0"/>
    <n v="0"/>
  </r>
  <r>
    <x v="5"/>
    <s v="Juni"/>
    <n v="6"/>
    <s v="T2"/>
    <x v="0"/>
    <s v="Kommunal Boenhet"/>
    <n v="254"/>
    <s v="Helse og mestring"/>
    <x v="1"/>
    <x v="1"/>
    <n v="1260"/>
    <n v="126000"/>
    <s v="Renholdstjenester"/>
    <n v="0"/>
    <n v="0"/>
    <n v="0"/>
    <n v="0"/>
  </r>
  <r>
    <x v="6"/>
    <s v="Juli"/>
    <n v="7"/>
    <s v="T2"/>
    <x v="0"/>
    <s v="Kommunal Boenhet"/>
    <n v="254"/>
    <s v="Helse og mestring"/>
    <x v="1"/>
    <x v="1"/>
    <n v="1260"/>
    <n v="126000"/>
    <s v="Renholdstjenester"/>
    <n v="0"/>
    <n v="0"/>
    <n v="0"/>
    <n v="0"/>
  </r>
  <r>
    <x v="7"/>
    <s v="August"/>
    <n v="8"/>
    <s v="T2"/>
    <x v="0"/>
    <s v="Kommunal Boenhet"/>
    <n v="254"/>
    <s v="Helse og mestring"/>
    <x v="1"/>
    <x v="1"/>
    <n v="1260"/>
    <n v="126000"/>
    <s v="Renholdstjenester"/>
    <n v="0"/>
    <n v="0"/>
    <n v="0"/>
    <n v="0"/>
  </r>
  <r>
    <x v="8"/>
    <s v="September"/>
    <n v="9"/>
    <s v="T3"/>
    <x v="1"/>
    <s v="Kommunal Boenhet"/>
    <n v="254"/>
    <s v="Helse og mestring"/>
    <x v="1"/>
    <x v="1"/>
    <n v="1260"/>
    <n v="126000"/>
    <s v="Renholdstjenester"/>
    <n v="0"/>
    <n v="0"/>
    <n v="0"/>
    <n v="0"/>
  </r>
  <r>
    <x v="9"/>
    <s v="Oktober"/>
    <n v="10"/>
    <s v="T3"/>
    <x v="1"/>
    <s v="Kommunal Boenhet"/>
    <n v="254"/>
    <s v="Helse og mestring"/>
    <x v="1"/>
    <x v="1"/>
    <n v="1260"/>
    <n v="126000"/>
    <s v="Renholdstjenester"/>
    <n v="0"/>
    <n v="0"/>
    <n v="0"/>
    <n v="0"/>
  </r>
  <r>
    <x v="10"/>
    <s v="November"/>
    <n v="11"/>
    <s v="T3"/>
    <x v="1"/>
    <s v="Kommunal Boenhet"/>
    <n v="254"/>
    <s v="Helse og mestring"/>
    <x v="1"/>
    <x v="1"/>
    <n v="1260"/>
    <n v="126000"/>
    <s v="Renholdstjenester"/>
    <n v="0"/>
    <n v="0"/>
    <n v="0"/>
    <n v="0"/>
  </r>
  <r>
    <x v="11"/>
    <s v="Desember"/>
    <n v="12"/>
    <s v="T3"/>
    <x v="1"/>
    <s v="Kommunal Boenhet"/>
    <n v="254"/>
    <s v="Helse og mestring"/>
    <x v="1"/>
    <x v="1"/>
    <n v="1260"/>
    <n v="126000"/>
    <s v="Renholdstjenester"/>
    <n v="0"/>
    <n v="0"/>
    <n v="0"/>
    <n v="0"/>
  </r>
  <r>
    <x v="0"/>
    <s v="Januar"/>
    <n v="1"/>
    <s v="T1"/>
    <x v="0"/>
    <s v="Kommunal Boenhet"/>
    <n v="254"/>
    <s v="Helse og mestring"/>
    <x v="1"/>
    <x v="1"/>
    <n v="1270"/>
    <n v="127050"/>
    <s v="Bedriftshelsetjenester"/>
    <n v="0"/>
    <n v="0"/>
    <n v="0"/>
    <n v="0"/>
  </r>
  <r>
    <x v="1"/>
    <s v="Februar"/>
    <n v="2"/>
    <s v="T1"/>
    <x v="0"/>
    <s v="Kommunal Boenhet"/>
    <n v="254"/>
    <s v="Helse og mestring"/>
    <x v="1"/>
    <x v="1"/>
    <n v="1270"/>
    <n v="127050"/>
    <s v="Bedriftshelsetjenester"/>
    <n v="0"/>
    <n v="0"/>
    <n v="0"/>
    <n v="0"/>
  </r>
  <r>
    <x v="2"/>
    <s v="Mars"/>
    <n v="3"/>
    <s v="T1"/>
    <x v="0"/>
    <s v="Kommunal Boenhet"/>
    <n v="254"/>
    <s v="Helse og mestring"/>
    <x v="1"/>
    <x v="1"/>
    <n v="1270"/>
    <n v="127050"/>
    <s v="Bedriftshelsetjenester"/>
    <n v="0"/>
    <n v="0"/>
    <n v="0"/>
    <n v="0"/>
  </r>
  <r>
    <x v="3"/>
    <s v="April"/>
    <n v="4"/>
    <s v="T1"/>
    <x v="0"/>
    <s v="Kommunal Boenhet"/>
    <n v="254"/>
    <s v="Helse og mestring"/>
    <x v="1"/>
    <x v="1"/>
    <n v="1270"/>
    <n v="127050"/>
    <s v="Bedriftshelsetjenester"/>
    <n v="0"/>
    <n v="0"/>
    <n v="0"/>
    <n v="0"/>
  </r>
  <r>
    <x v="4"/>
    <s v="Mai"/>
    <n v="5"/>
    <s v="T2"/>
    <x v="0"/>
    <s v="Kommunal Boenhet"/>
    <n v="254"/>
    <s v="Helse og mestring"/>
    <x v="1"/>
    <x v="1"/>
    <n v="1270"/>
    <n v="127050"/>
    <s v="Bedriftshelsetjenester"/>
    <n v="0"/>
    <n v="0"/>
    <n v="0"/>
    <n v="0"/>
  </r>
  <r>
    <x v="5"/>
    <s v="Juni"/>
    <n v="6"/>
    <s v="T2"/>
    <x v="0"/>
    <s v="Kommunal Boenhet"/>
    <n v="254"/>
    <s v="Helse og mestring"/>
    <x v="1"/>
    <x v="1"/>
    <n v="1270"/>
    <n v="127050"/>
    <s v="Bedriftshelsetjenester"/>
    <n v="0"/>
    <n v="0"/>
    <n v="0"/>
    <n v="0"/>
  </r>
  <r>
    <x v="6"/>
    <s v="Juli"/>
    <n v="7"/>
    <s v="T2"/>
    <x v="0"/>
    <s v="Kommunal Boenhet"/>
    <n v="254"/>
    <s v="Helse og mestring"/>
    <x v="1"/>
    <x v="1"/>
    <n v="1270"/>
    <n v="127050"/>
    <s v="Bedriftshelsetjenester"/>
    <n v="0"/>
    <n v="0"/>
    <n v="0"/>
    <n v="0"/>
  </r>
  <r>
    <x v="7"/>
    <s v="August"/>
    <n v="8"/>
    <s v="T2"/>
    <x v="0"/>
    <s v="Kommunal Boenhet"/>
    <n v="254"/>
    <s v="Helse og mestring"/>
    <x v="1"/>
    <x v="1"/>
    <n v="1270"/>
    <n v="127050"/>
    <s v="Bedriftshelsetjenester"/>
    <n v="0"/>
    <n v="0"/>
    <n v="0"/>
    <n v="0"/>
  </r>
  <r>
    <x v="8"/>
    <s v="September"/>
    <n v="9"/>
    <s v="T3"/>
    <x v="1"/>
    <s v="Kommunal Boenhet"/>
    <n v="254"/>
    <s v="Helse og mestring"/>
    <x v="1"/>
    <x v="1"/>
    <n v="1270"/>
    <n v="127050"/>
    <s v="Bedriftshelsetjenester"/>
    <n v="0"/>
    <n v="0"/>
    <n v="0"/>
    <n v="0"/>
  </r>
  <r>
    <x v="9"/>
    <s v="Oktober"/>
    <n v="10"/>
    <s v="T3"/>
    <x v="1"/>
    <s v="Kommunal Boenhet"/>
    <n v="254"/>
    <s v="Helse og mestring"/>
    <x v="1"/>
    <x v="1"/>
    <n v="1270"/>
    <n v="127050"/>
    <s v="Bedriftshelsetjenester"/>
    <n v="0"/>
    <n v="0"/>
    <n v="0"/>
    <n v="0"/>
  </r>
  <r>
    <x v="10"/>
    <s v="November"/>
    <n v="11"/>
    <s v="T3"/>
    <x v="1"/>
    <s v="Kommunal Boenhet"/>
    <n v="254"/>
    <s v="Helse og mestring"/>
    <x v="1"/>
    <x v="1"/>
    <n v="1270"/>
    <n v="127050"/>
    <s v="Bedriftshelsetjenester"/>
    <n v="0"/>
    <n v="0"/>
    <n v="0"/>
    <n v="0"/>
  </r>
  <r>
    <x v="11"/>
    <s v="Desember"/>
    <n v="12"/>
    <s v="T3"/>
    <x v="1"/>
    <s v="Kommunal Boenhet"/>
    <n v="254"/>
    <s v="Helse og mestring"/>
    <x v="1"/>
    <x v="1"/>
    <n v="1270"/>
    <n v="127050"/>
    <s v="Bedriftshelsetjenester"/>
    <n v="0"/>
    <n v="0"/>
    <n v="0"/>
    <n v="0"/>
  </r>
  <r>
    <x v="0"/>
    <s v="Januar"/>
    <n v="1"/>
    <s v="T1"/>
    <x v="0"/>
    <s v="Kommunal Boenhet"/>
    <n v="254"/>
    <s v="Helse og mestring"/>
    <x v="1"/>
    <x v="2"/>
    <n v="1429"/>
    <n v="142900"/>
    <s v="Merverdiavgift som gir rett til momskompensasjon"/>
    <n v="11662"/>
    <n v="5070.82"/>
    <n v="6591.18"/>
    <n v="-6591.18"/>
  </r>
  <r>
    <x v="1"/>
    <s v="Februar"/>
    <n v="2"/>
    <s v="T1"/>
    <x v="0"/>
    <s v="Kommunal Boenhet"/>
    <n v="254"/>
    <s v="Helse og mestring"/>
    <x v="1"/>
    <x v="2"/>
    <n v="1429"/>
    <n v="142900"/>
    <s v="Merverdiavgift som gir rett til momskompensasjon"/>
    <n v="11662"/>
    <n v="7325.59"/>
    <n v="4336.41"/>
    <n v="-4336.41"/>
  </r>
  <r>
    <x v="2"/>
    <s v="Mars"/>
    <n v="3"/>
    <s v="T1"/>
    <x v="0"/>
    <s v="Kommunal Boenhet"/>
    <n v="254"/>
    <s v="Helse og mestring"/>
    <x v="1"/>
    <x v="2"/>
    <n v="1429"/>
    <n v="142900"/>
    <s v="Merverdiavgift som gir rett til momskompensasjon"/>
    <n v="11662"/>
    <n v="854.99"/>
    <n v="10807.01"/>
    <n v="-10807.01"/>
  </r>
  <r>
    <x v="3"/>
    <s v="April"/>
    <n v="4"/>
    <s v="T1"/>
    <x v="0"/>
    <s v="Kommunal Boenhet"/>
    <n v="254"/>
    <s v="Helse og mestring"/>
    <x v="1"/>
    <x v="2"/>
    <n v="1429"/>
    <n v="142900"/>
    <s v="Merverdiavgift som gir rett til momskompensasjon"/>
    <n v="11662"/>
    <n v="6710.36"/>
    <n v="4951.64"/>
    <n v="-4951.64"/>
  </r>
  <r>
    <x v="4"/>
    <s v="Mai"/>
    <n v="5"/>
    <s v="T2"/>
    <x v="0"/>
    <s v="Kommunal Boenhet"/>
    <n v="254"/>
    <s v="Helse og mestring"/>
    <x v="1"/>
    <x v="2"/>
    <n v="1429"/>
    <n v="142900"/>
    <s v="Merverdiavgift som gir rett til momskompensasjon"/>
    <n v="11662"/>
    <n v="3213.92"/>
    <n v="8448.08"/>
    <n v="-8448.08"/>
  </r>
  <r>
    <x v="5"/>
    <s v="Juni"/>
    <n v="6"/>
    <s v="T2"/>
    <x v="0"/>
    <s v="Kommunal Boenhet"/>
    <n v="254"/>
    <s v="Helse og mestring"/>
    <x v="1"/>
    <x v="2"/>
    <n v="1429"/>
    <n v="142900"/>
    <s v="Merverdiavgift som gir rett til momskompensasjon"/>
    <n v="11662"/>
    <n v="7138.93"/>
    <n v="4523.07"/>
    <n v="-4523.07"/>
  </r>
  <r>
    <x v="6"/>
    <s v="Juli"/>
    <n v="7"/>
    <s v="T2"/>
    <x v="0"/>
    <s v="Kommunal Boenhet"/>
    <n v="254"/>
    <s v="Helse og mestring"/>
    <x v="1"/>
    <x v="2"/>
    <n v="1429"/>
    <n v="142900"/>
    <s v="Merverdiavgift som gir rett til momskompensasjon"/>
    <n v="11662"/>
    <n v="1353.12"/>
    <n v="10308.88"/>
    <n v="-10308.88"/>
  </r>
  <r>
    <x v="7"/>
    <s v="August"/>
    <n v="8"/>
    <s v="T2"/>
    <x v="0"/>
    <s v="Kommunal Boenhet"/>
    <n v="254"/>
    <s v="Helse og mestring"/>
    <x v="1"/>
    <x v="2"/>
    <n v="1429"/>
    <n v="142900"/>
    <s v="Merverdiavgift som gir rett til momskompensasjon"/>
    <n v="11662"/>
    <n v="3549.55"/>
    <n v="8112.45"/>
    <n v="-8112.45"/>
  </r>
  <r>
    <x v="8"/>
    <s v="September"/>
    <n v="9"/>
    <s v="T3"/>
    <x v="1"/>
    <s v="Kommunal Boenhet"/>
    <n v="254"/>
    <s v="Helse og mestring"/>
    <x v="1"/>
    <x v="2"/>
    <n v="1429"/>
    <n v="142900"/>
    <s v="Merverdiavgift som gir rett til momskompensasjon"/>
    <n v="11662"/>
    <n v="0"/>
    <n v="0"/>
    <n v="-11662"/>
  </r>
  <r>
    <x v="9"/>
    <s v="Oktober"/>
    <n v="10"/>
    <s v="T3"/>
    <x v="1"/>
    <s v="Kommunal Boenhet"/>
    <n v="254"/>
    <s v="Helse og mestring"/>
    <x v="1"/>
    <x v="2"/>
    <n v="1429"/>
    <n v="142900"/>
    <s v="Merverdiavgift som gir rett til momskompensasjon"/>
    <n v="11662"/>
    <n v="0"/>
    <n v="0"/>
    <n v="-11662"/>
  </r>
  <r>
    <x v="10"/>
    <s v="November"/>
    <n v="11"/>
    <s v="T3"/>
    <x v="1"/>
    <s v="Kommunal Boenhet"/>
    <n v="254"/>
    <s v="Helse og mestring"/>
    <x v="1"/>
    <x v="2"/>
    <n v="1429"/>
    <n v="142900"/>
    <s v="Merverdiavgift som gir rett til momskompensasjon"/>
    <n v="11662"/>
    <n v="0"/>
    <n v="0"/>
    <n v="-11662"/>
  </r>
  <r>
    <x v="11"/>
    <s v="Desember"/>
    <n v="12"/>
    <s v="T3"/>
    <x v="1"/>
    <s v="Kommunal Boenhet"/>
    <n v="254"/>
    <s v="Helse og mestring"/>
    <x v="1"/>
    <x v="2"/>
    <n v="1429"/>
    <n v="142900"/>
    <s v="Merverdiavgift som gir rett til momskompensasjon"/>
    <n v="11718"/>
    <n v="0"/>
    <n v="0"/>
    <n v="-11718"/>
  </r>
  <r>
    <x v="0"/>
    <s v="Januar"/>
    <n v="1"/>
    <s v="T1"/>
    <x v="0"/>
    <s v="Kommunal Boenhet"/>
    <n v="254"/>
    <s v="Helse og mestring"/>
    <x v="1"/>
    <x v="2"/>
    <n v="1729"/>
    <n v="172900"/>
    <s v="Kompensasjon for merverdiavgift"/>
    <n v="-11662"/>
    <n v="-5070.82"/>
    <n v="-6591.18"/>
    <n v="6591.18"/>
  </r>
  <r>
    <x v="1"/>
    <s v="Februar"/>
    <n v="2"/>
    <s v="T1"/>
    <x v="0"/>
    <s v="Kommunal Boenhet"/>
    <n v="254"/>
    <s v="Helse og mestring"/>
    <x v="1"/>
    <x v="2"/>
    <n v="1729"/>
    <n v="172900"/>
    <s v="Kompensasjon for merverdiavgift"/>
    <n v="-11662"/>
    <n v="-7325.59"/>
    <n v="-4336.41"/>
    <n v="4336.41"/>
  </r>
  <r>
    <x v="2"/>
    <s v="Mars"/>
    <n v="3"/>
    <s v="T1"/>
    <x v="0"/>
    <s v="Kommunal Boenhet"/>
    <n v="254"/>
    <s v="Helse og mestring"/>
    <x v="1"/>
    <x v="2"/>
    <n v="1729"/>
    <n v="172900"/>
    <s v="Kompensasjon for merverdiavgift"/>
    <n v="-11662"/>
    <n v="-854.99"/>
    <n v="-10807.01"/>
    <n v="10807.01"/>
  </r>
  <r>
    <x v="3"/>
    <s v="April"/>
    <n v="4"/>
    <s v="T1"/>
    <x v="0"/>
    <s v="Kommunal Boenhet"/>
    <n v="254"/>
    <s v="Helse og mestring"/>
    <x v="1"/>
    <x v="2"/>
    <n v="1729"/>
    <n v="172900"/>
    <s v="Kompensasjon for merverdiavgift"/>
    <n v="-11662"/>
    <n v="-6710.36"/>
    <n v="-4951.64"/>
    <n v="4951.64"/>
  </r>
  <r>
    <x v="4"/>
    <s v="Mai"/>
    <n v="5"/>
    <s v="T2"/>
    <x v="0"/>
    <s v="Kommunal Boenhet"/>
    <n v="254"/>
    <s v="Helse og mestring"/>
    <x v="1"/>
    <x v="2"/>
    <n v="1729"/>
    <n v="172900"/>
    <s v="Kompensasjon for merverdiavgift"/>
    <n v="-11662"/>
    <n v="-3213.92"/>
    <n v="-8448.08"/>
    <n v="8448.08"/>
  </r>
  <r>
    <x v="5"/>
    <s v="Juni"/>
    <n v="6"/>
    <s v="T2"/>
    <x v="0"/>
    <s v="Kommunal Boenhet"/>
    <n v="254"/>
    <s v="Helse og mestring"/>
    <x v="1"/>
    <x v="2"/>
    <n v="1729"/>
    <n v="172900"/>
    <s v="Kompensasjon for merverdiavgift"/>
    <n v="-11662"/>
    <n v="-7138.93"/>
    <n v="-4523.07"/>
    <n v="4523.07"/>
  </r>
  <r>
    <x v="6"/>
    <s v="Juli"/>
    <n v="7"/>
    <s v="T2"/>
    <x v="0"/>
    <s v="Kommunal Boenhet"/>
    <n v="254"/>
    <s v="Helse og mestring"/>
    <x v="1"/>
    <x v="2"/>
    <n v="1729"/>
    <n v="172900"/>
    <s v="Kompensasjon for merverdiavgift"/>
    <n v="-11662"/>
    <n v="-1353.12"/>
    <n v="-10308.88"/>
    <n v="10308.88"/>
  </r>
  <r>
    <x v="7"/>
    <s v="August"/>
    <n v="8"/>
    <s v="T2"/>
    <x v="0"/>
    <s v="Kommunal Boenhet"/>
    <n v="254"/>
    <s v="Helse og mestring"/>
    <x v="1"/>
    <x v="2"/>
    <n v="1729"/>
    <n v="172900"/>
    <s v="Kompensasjon for merverdiavgift"/>
    <n v="-11662"/>
    <n v="-3549.55"/>
    <n v="-8112.45"/>
    <n v="8112.45"/>
  </r>
  <r>
    <x v="8"/>
    <s v="September"/>
    <n v="9"/>
    <s v="T3"/>
    <x v="1"/>
    <s v="Kommunal Boenhet"/>
    <n v="254"/>
    <s v="Helse og mestring"/>
    <x v="1"/>
    <x v="2"/>
    <n v="1729"/>
    <n v="172900"/>
    <s v="Kompensasjon for merverdiavgift"/>
    <n v="-11662"/>
    <n v="0"/>
    <n v="0"/>
    <n v="11662"/>
  </r>
  <r>
    <x v="9"/>
    <s v="Oktober"/>
    <n v="10"/>
    <s v="T3"/>
    <x v="1"/>
    <s v="Kommunal Boenhet"/>
    <n v="254"/>
    <s v="Helse og mestring"/>
    <x v="1"/>
    <x v="2"/>
    <n v="1729"/>
    <n v="172900"/>
    <s v="Kompensasjon for merverdiavgift"/>
    <n v="-11662"/>
    <n v="0"/>
    <n v="0"/>
    <n v="11662"/>
  </r>
  <r>
    <x v="10"/>
    <s v="November"/>
    <n v="11"/>
    <s v="T3"/>
    <x v="1"/>
    <s v="Kommunal Boenhet"/>
    <n v="254"/>
    <s v="Helse og mestring"/>
    <x v="1"/>
    <x v="2"/>
    <n v="1729"/>
    <n v="172900"/>
    <s v="Kompensasjon for merverdiavgift"/>
    <n v="-11662"/>
    <n v="0"/>
    <n v="0"/>
    <n v="11662"/>
  </r>
  <r>
    <x v="11"/>
    <s v="Desember"/>
    <n v="12"/>
    <s v="T3"/>
    <x v="1"/>
    <s v="Kommunal Boenhet"/>
    <n v="254"/>
    <s v="Helse og mestring"/>
    <x v="1"/>
    <x v="2"/>
    <n v="1729"/>
    <n v="172900"/>
    <s v="Kompensasjon for merverdiavgift"/>
    <n v="-11718"/>
    <n v="0"/>
    <n v="0"/>
    <n v="11718"/>
  </r>
  <r>
    <x v="0"/>
    <s v="Januar"/>
    <n v="1"/>
    <s v="T1"/>
    <x v="0"/>
    <s v="Kommunal Boenhet"/>
    <n v="254"/>
    <s v="Helse og mestring"/>
    <x v="1"/>
    <x v="3"/>
    <n v="1500"/>
    <n v="150010"/>
    <s v="Forsinkelsesrenter (mora)"/>
    <n v="0"/>
    <n v="0"/>
    <n v="0"/>
    <n v="0"/>
  </r>
  <r>
    <x v="1"/>
    <s v="Februar"/>
    <n v="2"/>
    <s v="T1"/>
    <x v="0"/>
    <s v="Kommunal Boenhet"/>
    <n v="254"/>
    <s v="Helse og mestring"/>
    <x v="1"/>
    <x v="3"/>
    <n v="1500"/>
    <n v="150010"/>
    <s v="Forsinkelsesrenter (mora)"/>
    <n v="0"/>
    <n v="0"/>
    <n v="0"/>
    <n v="0"/>
  </r>
  <r>
    <x v="2"/>
    <s v="Mars"/>
    <n v="3"/>
    <s v="T1"/>
    <x v="0"/>
    <s v="Kommunal Boenhet"/>
    <n v="254"/>
    <s v="Helse og mestring"/>
    <x v="1"/>
    <x v="3"/>
    <n v="1500"/>
    <n v="150010"/>
    <s v="Forsinkelsesrenter (mora)"/>
    <n v="0"/>
    <n v="9.27"/>
    <n v="-9.27"/>
    <n v="9.27"/>
  </r>
  <r>
    <x v="3"/>
    <s v="April"/>
    <n v="4"/>
    <s v="T1"/>
    <x v="0"/>
    <s v="Kommunal Boenhet"/>
    <n v="254"/>
    <s v="Helse og mestring"/>
    <x v="1"/>
    <x v="3"/>
    <n v="1500"/>
    <n v="150010"/>
    <s v="Forsinkelsesrenter (mora)"/>
    <n v="0"/>
    <n v="0"/>
    <n v="0"/>
    <n v="0"/>
  </r>
  <r>
    <x v="4"/>
    <s v="Mai"/>
    <n v="5"/>
    <s v="T2"/>
    <x v="0"/>
    <s v="Kommunal Boenhet"/>
    <n v="254"/>
    <s v="Helse og mestring"/>
    <x v="1"/>
    <x v="3"/>
    <n v="1500"/>
    <n v="150010"/>
    <s v="Forsinkelsesrenter (mora)"/>
    <n v="0"/>
    <n v="0"/>
    <n v="0"/>
    <n v="0"/>
  </r>
  <r>
    <x v="5"/>
    <s v="Juni"/>
    <n v="6"/>
    <s v="T2"/>
    <x v="0"/>
    <s v="Kommunal Boenhet"/>
    <n v="254"/>
    <s v="Helse og mestring"/>
    <x v="1"/>
    <x v="3"/>
    <n v="1500"/>
    <n v="150010"/>
    <s v="Forsinkelsesrenter (mora)"/>
    <n v="0"/>
    <n v="0"/>
    <n v="0"/>
    <n v="0"/>
  </r>
  <r>
    <x v="6"/>
    <s v="Juli"/>
    <n v="7"/>
    <s v="T2"/>
    <x v="0"/>
    <s v="Kommunal Boenhet"/>
    <n v="254"/>
    <s v="Helse og mestring"/>
    <x v="1"/>
    <x v="3"/>
    <n v="1500"/>
    <n v="150010"/>
    <s v="Forsinkelsesrenter (mora)"/>
    <n v="0"/>
    <n v="0"/>
    <n v="0"/>
    <n v="0"/>
  </r>
  <r>
    <x v="7"/>
    <s v="August"/>
    <n v="8"/>
    <s v="T2"/>
    <x v="0"/>
    <s v="Kommunal Boenhet"/>
    <n v="254"/>
    <s v="Helse og mestring"/>
    <x v="1"/>
    <x v="3"/>
    <n v="1500"/>
    <n v="150010"/>
    <s v="Forsinkelsesrenter (mora)"/>
    <n v="0"/>
    <n v="0"/>
    <n v="0"/>
    <n v="0"/>
  </r>
  <r>
    <x v="8"/>
    <s v="September"/>
    <n v="9"/>
    <s v="T3"/>
    <x v="1"/>
    <s v="Kommunal Boenhet"/>
    <n v="254"/>
    <s v="Helse og mestring"/>
    <x v="1"/>
    <x v="3"/>
    <n v="1500"/>
    <n v="150010"/>
    <s v="Forsinkelsesrenter (mora)"/>
    <n v="0"/>
    <n v="0"/>
    <n v="0"/>
    <n v="0"/>
  </r>
  <r>
    <x v="9"/>
    <s v="Oktober"/>
    <n v="10"/>
    <s v="T3"/>
    <x v="1"/>
    <s v="Kommunal Boenhet"/>
    <n v="254"/>
    <s v="Helse og mestring"/>
    <x v="1"/>
    <x v="3"/>
    <n v="1500"/>
    <n v="150010"/>
    <s v="Forsinkelsesrenter (mora)"/>
    <n v="0"/>
    <n v="0"/>
    <n v="0"/>
    <n v="0"/>
  </r>
  <r>
    <x v="10"/>
    <s v="November"/>
    <n v="11"/>
    <s v="T3"/>
    <x v="1"/>
    <s v="Kommunal Boenhet"/>
    <n v="254"/>
    <s v="Helse og mestring"/>
    <x v="1"/>
    <x v="3"/>
    <n v="1500"/>
    <n v="150010"/>
    <s v="Forsinkelsesrenter (mora)"/>
    <n v="0"/>
    <n v="0"/>
    <n v="0"/>
    <n v="0"/>
  </r>
  <r>
    <x v="11"/>
    <s v="Desember"/>
    <n v="12"/>
    <s v="T3"/>
    <x v="1"/>
    <s v="Kommunal Boenhet"/>
    <n v="254"/>
    <s v="Helse og mestring"/>
    <x v="1"/>
    <x v="3"/>
    <n v="1500"/>
    <n v="150010"/>
    <s v="Forsinkelsesrenter (mora)"/>
    <n v="0"/>
    <n v="0"/>
    <n v="0"/>
    <n v="0"/>
  </r>
  <r>
    <x v="0"/>
    <s v="Januar"/>
    <n v="1"/>
    <s v="T1"/>
    <x v="0"/>
    <s v="Kommunal Boenhet"/>
    <n v="254"/>
    <s v="Helse og mestring"/>
    <x v="2"/>
    <x v="4"/>
    <n v="1600"/>
    <n v="160000"/>
    <s v="Brukerbetaling for kommunale tjenester -"/>
    <n v="14"/>
    <n v="0"/>
    <n v="14"/>
    <n v="-14"/>
  </r>
  <r>
    <x v="1"/>
    <s v="Februar"/>
    <n v="2"/>
    <s v="T1"/>
    <x v="0"/>
    <s v="Kommunal Boenhet"/>
    <n v="254"/>
    <s v="Helse og mestring"/>
    <x v="2"/>
    <x v="4"/>
    <n v="1600"/>
    <n v="160000"/>
    <s v="Brukerbetaling for kommunale tjenester -"/>
    <n v="14"/>
    <n v="0"/>
    <n v="14"/>
    <n v="-14"/>
  </r>
  <r>
    <x v="2"/>
    <s v="Mars"/>
    <n v="3"/>
    <s v="T1"/>
    <x v="0"/>
    <s v="Kommunal Boenhet"/>
    <n v="254"/>
    <s v="Helse og mestring"/>
    <x v="2"/>
    <x v="4"/>
    <n v="1600"/>
    <n v="160000"/>
    <s v="Brukerbetaling for kommunale tjenester -"/>
    <n v="14"/>
    <n v="0"/>
    <n v="14"/>
    <n v="-14"/>
  </r>
  <r>
    <x v="3"/>
    <s v="April"/>
    <n v="4"/>
    <s v="T1"/>
    <x v="0"/>
    <s v="Kommunal Boenhet"/>
    <n v="254"/>
    <s v="Helse og mestring"/>
    <x v="2"/>
    <x v="4"/>
    <n v="1600"/>
    <n v="160000"/>
    <s v="Brukerbetaling for kommunale tjenester -"/>
    <n v="14"/>
    <n v="0"/>
    <n v="14"/>
    <n v="-14"/>
  </r>
  <r>
    <x v="4"/>
    <s v="Mai"/>
    <n v="5"/>
    <s v="T2"/>
    <x v="0"/>
    <s v="Kommunal Boenhet"/>
    <n v="254"/>
    <s v="Helse og mestring"/>
    <x v="2"/>
    <x v="4"/>
    <n v="1600"/>
    <n v="160000"/>
    <s v="Brukerbetaling for kommunale tjenester -"/>
    <n v="14"/>
    <n v="0"/>
    <n v="14"/>
    <n v="-14"/>
  </r>
  <r>
    <x v="5"/>
    <s v="Juni"/>
    <n v="6"/>
    <s v="T2"/>
    <x v="0"/>
    <s v="Kommunal Boenhet"/>
    <n v="254"/>
    <s v="Helse og mestring"/>
    <x v="2"/>
    <x v="4"/>
    <n v="1600"/>
    <n v="160000"/>
    <s v="Brukerbetaling for kommunale tjenester -"/>
    <n v="14"/>
    <n v="0"/>
    <n v="14"/>
    <n v="-14"/>
  </r>
  <r>
    <x v="6"/>
    <s v="Juli"/>
    <n v="7"/>
    <s v="T2"/>
    <x v="0"/>
    <s v="Kommunal Boenhet"/>
    <n v="254"/>
    <s v="Helse og mestring"/>
    <x v="2"/>
    <x v="4"/>
    <n v="1600"/>
    <n v="160000"/>
    <s v="Brukerbetaling for kommunale tjenester -"/>
    <n v="14"/>
    <n v="0"/>
    <n v="14"/>
    <n v="-14"/>
  </r>
  <r>
    <x v="7"/>
    <s v="August"/>
    <n v="8"/>
    <s v="T2"/>
    <x v="0"/>
    <s v="Kommunal Boenhet"/>
    <n v="254"/>
    <s v="Helse og mestring"/>
    <x v="2"/>
    <x v="4"/>
    <n v="1600"/>
    <n v="160000"/>
    <s v="Brukerbetaling for kommunale tjenester -"/>
    <n v="14"/>
    <n v="0"/>
    <n v="14"/>
    <n v="-14"/>
  </r>
  <r>
    <x v="8"/>
    <s v="September"/>
    <n v="9"/>
    <s v="T3"/>
    <x v="1"/>
    <s v="Kommunal Boenhet"/>
    <n v="254"/>
    <s v="Helse og mestring"/>
    <x v="2"/>
    <x v="4"/>
    <n v="1600"/>
    <n v="160000"/>
    <s v="Brukerbetaling for kommunale tjenester -"/>
    <n v="14"/>
    <n v="0"/>
    <n v="0"/>
    <n v="-14"/>
  </r>
  <r>
    <x v="9"/>
    <s v="Oktober"/>
    <n v="10"/>
    <s v="T3"/>
    <x v="1"/>
    <s v="Kommunal Boenhet"/>
    <n v="254"/>
    <s v="Helse og mestring"/>
    <x v="2"/>
    <x v="4"/>
    <n v="1600"/>
    <n v="160000"/>
    <s v="Brukerbetaling for kommunale tjenester -"/>
    <n v="14"/>
    <n v="0"/>
    <n v="0"/>
    <n v="-14"/>
  </r>
  <r>
    <x v="10"/>
    <s v="November"/>
    <n v="11"/>
    <s v="T3"/>
    <x v="1"/>
    <s v="Kommunal Boenhet"/>
    <n v="254"/>
    <s v="Helse og mestring"/>
    <x v="2"/>
    <x v="4"/>
    <n v="1600"/>
    <n v="160000"/>
    <s v="Brukerbetaling for kommunale tjenester -"/>
    <n v="14"/>
    <n v="0"/>
    <n v="0"/>
    <n v="-14"/>
  </r>
  <r>
    <x v="11"/>
    <s v="Desember"/>
    <n v="12"/>
    <s v="T3"/>
    <x v="1"/>
    <s v="Kommunal Boenhet"/>
    <n v="254"/>
    <s v="Helse og mestring"/>
    <x v="2"/>
    <x v="4"/>
    <n v="1600"/>
    <n v="160000"/>
    <s v="Brukerbetaling for kommunale tjenester -"/>
    <n v="-154"/>
    <n v="0"/>
    <n v="0"/>
    <n v="154"/>
  </r>
  <r>
    <x v="0"/>
    <s v="Januar"/>
    <n v="1"/>
    <s v="T1"/>
    <x v="0"/>
    <s v="Kommunal Boenhet"/>
    <n v="254"/>
    <s v="Helse og mestring"/>
    <x v="2"/>
    <x v="5"/>
    <n v="1700"/>
    <n v="170080"/>
    <s v="Øremerkede statstilskudd"/>
    <n v="0"/>
    <n v="0"/>
    <n v="0"/>
    <n v="0"/>
  </r>
  <r>
    <x v="1"/>
    <s v="Februar"/>
    <n v="2"/>
    <s v="T1"/>
    <x v="0"/>
    <s v="Kommunal Boenhet"/>
    <n v="254"/>
    <s v="Helse og mestring"/>
    <x v="2"/>
    <x v="5"/>
    <n v="1700"/>
    <n v="170080"/>
    <s v="Øremerkede statstilskudd"/>
    <n v="0"/>
    <n v="0"/>
    <n v="0"/>
    <n v="0"/>
  </r>
  <r>
    <x v="2"/>
    <s v="Mars"/>
    <n v="3"/>
    <s v="T1"/>
    <x v="0"/>
    <s v="Kommunal Boenhet"/>
    <n v="254"/>
    <s v="Helse og mestring"/>
    <x v="2"/>
    <x v="5"/>
    <n v="1700"/>
    <n v="170080"/>
    <s v="Øremerkede statstilskudd"/>
    <n v="0"/>
    <n v="0"/>
    <n v="0"/>
    <n v="0"/>
  </r>
  <r>
    <x v="3"/>
    <s v="April"/>
    <n v="4"/>
    <s v="T1"/>
    <x v="0"/>
    <s v="Kommunal Boenhet"/>
    <n v="254"/>
    <s v="Helse og mestring"/>
    <x v="2"/>
    <x v="5"/>
    <n v="1700"/>
    <n v="170080"/>
    <s v="Øremerkede statstilskudd"/>
    <n v="0"/>
    <n v="0"/>
    <n v="0"/>
    <n v="0"/>
  </r>
  <r>
    <x v="4"/>
    <s v="Mai"/>
    <n v="5"/>
    <s v="T2"/>
    <x v="0"/>
    <s v="Kommunal Boenhet"/>
    <n v="254"/>
    <s v="Helse og mestring"/>
    <x v="2"/>
    <x v="5"/>
    <n v="1700"/>
    <n v="170080"/>
    <s v="Øremerkede statstilskudd"/>
    <n v="0"/>
    <n v="0"/>
    <n v="0"/>
    <n v="0"/>
  </r>
  <r>
    <x v="5"/>
    <s v="Juni"/>
    <n v="6"/>
    <s v="T2"/>
    <x v="0"/>
    <s v="Kommunal Boenhet"/>
    <n v="254"/>
    <s v="Helse og mestring"/>
    <x v="2"/>
    <x v="5"/>
    <n v="1700"/>
    <n v="170080"/>
    <s v="Øremerkede statstilskudd"/>
    <n v="0"/>
    <n v="0"/>
    <n v="0"/>
    <n v="0"/>
  </r>
  <r>
    <x v="6"/>
    <s v="Juli"/>
    <n v="7"/>
    <s v="T2"/>
    <x v="0"/>
    <s v="Kommunal Boenhet"/>
    <n v="254"/>
    <s v="Helse og mestring"/>
    <x v="2"/>
    <x v="5"/>
    <n v="1700"/>
    <n v="170080"/>
    <s v="Øremerkede statstilskudd"/>
    <n v="0"/>
    <n v="0"/>
    <n v="0"/>
    <n v="0"/>
  </r>
  <r>
    <x v="7"/>
    <s v="August"/>
    <n v="8"/>
    <s v="T2"/>
    <x v="0"/>
    <s v="Kommunal Boenhet"/>
    <n v="254"/>
    <s v="Helse og mestring"/>
    <x v="2"/>
    <x v="5"/>
    <n v="1700"/>
    <n v="170080"/>
    <s v="Øremerkede statstilskudd"/>
    <n v="0"/>
    <n v="-7100"/>
    <n v="7100"/>
    <n v="-7100"/>
  </r>
  <r>
    <x v="8"/>
    <s v="September"/>
    <n v="9"/>
    <s v="T3"/>
    <x v="1"/>
    <s v="Kommunal Boenhet"/>
    <n v="254"/>
    <s v="Helse og mestring"/>
    <x v="2"/>
    <x v="5"/>
    <n v="1700"/>
    <n v="170080"/>
    <s v="Øremerkede statstilskudd"/>
    <n v="0"/>
    <n v="0"/>
    <n v="0"/>
    <n v="0"/>
  </r>
  <r>
    <x v="9"/>
    <s v="Oktober"/>
    <n v="10"/>
    <s v="T3"/>
    <x v="1"/>
    <s v="Kommunal Boenhet"/>
    <n v="254"/>
    <s v="Helse og mestring"/>
    <x v="2"/>
    <x v="5"/>
    <n v="1700"/>
    <n v="170080"/>
    <s v="Øremerkede statstilskudd"/>
    <n v="0"/>
    <n v="0"/>
    <n v="0"/>
    <n v="0"/>
  </r>
  <r>
    <x v="10"/>
    <s v="November"/>
    <n v="11"/>
    <s v="T3"/>
    <x v="1"/>
    <s v="Kommunal Boenhet"/>
    <n v="254"/>
    <s v="Helse og mestring"/>
    <x v="2"/>
    <x v="5"/>
    <n v="1700"/>
    <n v="170080"/>
    <s v="Øremerkede statstilskudd"/>
    <n v="0"/>
    <n v="0"/>
    <n v="0"/>
    <n v="0"/>
  </r>
  <r>
    <x v="11"/>
    <s v="Desember"/>
    <n v="12"/>
    <s v="T3"/>
    <x v="1"/>
    <s v="Kommunal Boenhet"/>
    <n v="254"/>
    <s v="Helse og mestring"/>
    <x v="2"/>
    <x v="5"/>
    <n v="1700"/>
    <n v="170080"/>
    <s v="Øremerkede statstilskudd"/>
    <n v="0"/>
    <n v="0"/>
    <n v="0"/>
    <n v="0"/>
  </r>
  <r>
    <x v="0"/>
    <s v="Januar"/>
    <n v="1"/>
    <s v="T1"/>
    <x v="0"/>
    <s v="Kommunal Boenhet"/>
    <n v="254"/>
    <s v="Helse og mestring"/>
    <x v="2"/>
    <x v="5"/>
    <n v="1770"/>
    <n v="177000"/>
    <s v="Refusjon fra private"/>
    <n v="0"/>
    <n v="0"/>
    <n v="0"/>
    <n v="0"/>
  </r>
  <r>
    <x v="1"/>
    <s v="Februar"/>
    <n v="2"/>
    <s v="T1"/>
    <x v="0"/>
    <s v="Kommunal Boenhet"/>
    <n v="254"/>
    <s v="Helse og mestring"/>
    <x v="2"/>
    <x v="5"/>
    <n v="1770"/>
    <n v="177000"/>
    <s v="Refusjon fra private"/>
    <n v="0"/>
    <n v="0"/>
    <n v="0"/>
    <n v="0"/>
  </r>
  <r>
    <x v="2"/>
    <s v="Mars"/>
    <n v="3"/>
    <s v="T1"/>
    <x v="0"/>
    <s v="Kommunal Boenhet"/>
    <n v="254"/>
    <s v="Helse og mestring"/>
    <x v="2"/>
    <x v="5"/>
    <n v="1770"/>
    <n v="177000"/>
    <s v="Refusjon fra private"/>
    <n v="0"/>
    <n v="0"/>
    <n v="0"/>
    <n v="0"/>
  </r>
  <r>
    <x v="3"/>
    <s v="April"/>
    <n v="4"/>
    <s v="T1"/>
    <x v="0"/>
    <s v="Kommunal Boenhet"/>
    <n v="254"/>
    <s v="Helse og mestring"/>
    <x v="2"/>
    <x v="5"/>
    <n v="1770"/>
    <n v="177000"/>
    <s v="Refusjon fra private"/>
    <n v="0"/>
    <n v="0"/>
    <n v="0"/>
    <n v="0"/>
  </r>
  <r>
    <x v="4"/>
    <s v="Mai"/>
    <n v="5"/>
    <s v="T2"/>
    <x v="0"/>
    <s v="Kommunal Boenhet"/>
    <n v="254"/>
    <s v="Helse og mestring"/>
    <x v="2"/>
    <x v="5"/>
    <n v="1770"/>
    <n v="177000"/>
    <s v="Refusjon fra private"/>
    <n v="0"/>
    <n v="0"/>
    <n v="0"/>
    <n v="0"/>
  </r>
  <r>
    <x v="5"/>
    <s v="Juni"/>
    <n v="6"/>
    <s v="T2"/>
    <x v="0"/>
    <s v="Kommunal Boenhet"/>
    <n v="254"/>
    <s v="Helse og mestring"/>
    <x v="2"/>
    <x v="5"/>
    <n v="1770"/>
    <n v="177000"/>
    <s v="Refusjon fra private"/>
    <n v="0"/>
    <n v="0"/>
    <n v="0"/>
    <n v="0"/>
  </r>
  <r>
    <x v="6"/>
    <s v="Juli"/>
    <n v="7"/>
    <s v="T2"/>
    <x v="0"/>
    <s v="Kommunal Boenhet"/>
    <n v="254"/>
    <s v="Helse og mestring"/>
    <x v="2"/>
    <x v="5"/>
    <n v="1770"/>
    <n v="177000"/>
    <s v="Refusjon fra private"/>
    <n v="0"/>
    <n v="0"/>
    <n v="0"/>
    <n v="0"/>
  </r>
  <r>
    <x v="7"/>
    <s v="August"/>
    <n v="8"/>
    <s v="T2"/>
    <x v="0"/>
    <s v="Kommunal Boenhet"/>
    <n v="254"/>
    <s v="Helse og mestring"/>
    <x v="2"/>
    <x v="5"/>
    <n v="1770"/>
    <n v="177000"/>
    <s v="Refusjon fra private"/>
    <n v="0"/>
    <n v="-960"/>
    <n v="960"/>
    <n v="-960"/>
  </r>
  <r>
    <x v="8"/>
    <s v="September"/>
    <n v="9"/>
    <s v="T3"/>
    <x v="1"/>
    <s v="Kommunal Boenhet"/>
    <n v="254"/>
    <s v="Helse og mestring"/>
    <x v="2"/>
    <x v="5"/>
    <n v="1770"/>
    <n v="177000"/>
    <s v="Refusjon fra private"/>
    <n v="0"/>
    <n v="0"/>
    <n v="0"/>
    <n v="0"/>
  </r>
  <r>
    <x v="9"/>
    <s v="Oktober"/>
    <n v="10"/>
    <s v="T3"/>
    <x v="1"/>
    <s v="Kommunal Boenhet"/>
    <n v="254"/>
    <s v="Helse og mestring"/>
    <x v="2"/>
    <x v="5"/>
    <n v="1770"/>
    <n v="177000"/>
    <s v="Refusjon fra private"/>
    <n v="0"/>
    <n v="0"/>
    <n v="0"/>
    <n v="0"/>
  </r>
  <r>
    <x v="10"/>
    <s v="November"/>
    <n v="11"/>
    <s v="T3"/>
    <x v="1"/>
    <s v="Kommunal Boenhet"/>
    <n v="254"/>
    <s v="Helse og mestring"/>
    <x v="2"/>
    <x v="5"/>
    <n v="1770"/>
    <n v="177000"/>
    <s v="Refusjon fra private"/>
    <n v="0"/>
    <n v="0"/>
    <n v="0"/>
    <n v="0"/>
  </r>
  <r>
    <x v="11"/>
    <s v="Desember"/>
    <n v="12"/>
    <s v="T3"/>
    <x v="1"/>
    <s v="Kommunal Boenhet"/>
    <n v="254"/>
    <s v="Helse og mestring"/>
    <x v="2"/>
    <x v="5"/>
    <n v="1770"/>
    <n v="177000"/>
    <s v="Refusjon fra private"/>
    <n v="0"/>
    <n v="0"/>
    <n v="0"/>
    <n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vtMaanedBokfort" cacheId="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3" fieldListSortAscending="0" mdxSubqueries="0" applyNumberFormats="0" applyBorderFormats="0" applyFontFormats="0" applyPatternFormats="0" applyAlignmentFormats="0" applyWidthHeightFormats="1" r:id="rId1">
  <location ref="B9:E18" firstHeaderRow="0" firstDataRow="1" firstDataCol="1" rowPageCount="1" colPageCount="1"/>
  <pivotFields count="17">
    <pivotField axis="axisRow" showDropDowns="1" compact="0" outline="0" subtotalTop="1" dragToRow="1" dragToCol="1" dragToPage="1" dragToData="1" dragOff="1" showAll="0" topAutoShow="1" itemPageCount="10" sortType="manual" defaultSubtotal="1">
      <items count="13">
        <item t="data" sd="1" x="0"/>
        <item t="data" sd="1" x="1"/>
        <item t="data" sd="1" x="2"/>
        <item t="data" sd="1" x="3"/>
        <item t="data" sd="1" x="4"/>
        <item t="data" sd="1" x="5"/>
        <item t="data" sd="1" x="6"/>
        <item t="data" sd="1" x="7"/>
        <item t="data" sd="1" x="8"/>
        <item t="data" sd="1" x="9"/>
        <item t="data" sd="1" x="10"/>
        <item t="data" sd="1" x="11"/>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3">
        <item t="data" sd="1" x="0"/>
        <item t="data" h="1" sd="1" x="1"/>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items count="4">
        <item t="data" sd="1" x="0"/>
        <item t="data" sd="1" x="1"/>
        <item t="data" sd="1" x="2"/>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s>
  <rowFields count="1">
    <field x="0"/>
  </rowFields>
  <rowItems count="9">
    <i t="data" r="0" i="0">
      <x v="0"/>
    </i>
    <i t="data" r="0" i="0">
      <x v="1"/>
    </i>
    <i t="data" r="0" i="0">
      <x v="2"/>
    </i>
    <i t="data" r="0" i="0">
      <x v="3"/>
    </i>
    <i t="data" r="0" i="0">
      <x v="4"/>
    </i>
    <i t="data" r="0" i="0">
      <x v="5"/>
    </i>
    <i t="data" r="0" i="0">
      <x v="6"/>
    </i>
    <i t="data" r="0" i="0">
      <x v="7"/>
    </i>
    <i t="grand" r="0" i="0">
      <x v="0"/>
    </i>
  </rowItems>
  <colFields count="1">
    <field x="-2"/>
  </colFields>
  <colItems count="3">
    <i t="data" r="0" i="0">
      <x v="0"/>
    </i>
    <i t="data" r="0" i="1">
      <x v="1"/>
    </i>
    <i t="data" r="0" i="2">
      <x v="2"/>
    </i>
  </colItems>
  <pageFields count="1">
    <pageField fld="4" hier="-1"/>
  </pageFields>
  <dataFields count="3">
    <dataField name="Sum Budsjett" fld="13" subtotal="sum" showDataAs="normal" baseField="0" baseItem="0"/>
    <dataField name="Sum Regnskap" fld="14" subtotal="sum" showDataAs="normal" baseField="0" baseItem="0"/>
    <dataField name="Sum Merforbruk" fld="16" subtotal="sum" showDataAs="normal" baseField="0" baseItem="0"/>
  </dataFields>
  <formats count="24">
    <format action="formatting" dxfId="109">
      <pivotArea field="0" type="button" dataOnly="0" labelOnly="1" outline="0" axis="axisRow" fieldPosition="0"/>
    </format>
    <format action="formatting" dxfId="108">
      <pivotArea type="normal" dataOnly="0" labelOnly="1" outline="0" fieldPosition="0">
        <references count="1">
          <reference field="4294967294">
            <x v="0"/>
            <x v="1"/>
            <x v="2"/>
          </reference>
        </references>
      </pivotArea>
    </format>
    <format action="formatting" dxfId="107">
      <pivotArea field="0" type="button" dataOnly="0" labelOnly="1" outline="0" axis="axisRow" fieldPosition="0"/>
    </format>
    <format action="formatting" dxfId="106">
      <pivotArea type="normal" dataOnly="0" labelOnly="1" outline="0" fieldPosition="0">
        <references count="1">
          <reference field="4294967294">
            <x v="0"/>
            <x v="1"/>
            <x v="2"/>
          </reference>
        </references>
      </pivotArea>
    </format>
    <format action="formatting" dxfId="105">
      <pivotArea field="0" type="button" dataOnly="0" labelOnly="1" outline="0" axis="axisRow" fieldPosition="0"/>
    </format>
    <format action="formatting" dxfId="104">
      <pivotArea type="normal" dataOnly="0" labelOnly="1" outline="0" fieldPosition="0">
        <references count="1">
          <reference field="4294967294">
            <x v="0"/>
            <x v="1"/>
            <x v="2"/>
          </reference>
        </references>
      </pivotArea>
    </format>
    <format action="formatting" dxfId="90">
      <pivotArea field="0" type="button" dataOnly="0" labelOnly="1" outline="0" axis="axisRow" fieldPosition="0"/>
    </format>
    <format action="formatting" dxfId="89">
      <pivotArea type="normal" dataOnly="0" labelOnly="1" outline="0" fieldPosition="0">
        <references count="1">
          <reference field="4294967294">
            <x v="0"/>
            <x v="1"/>
            <x v="2"/>
          </reference>
        </references>
      </pivotArea>
    </format>
    <format action="formatting" dxfId="88">
      <pivotArea field="0" type="button" dataOnly="0" labelOnly="1" outline="0" axis="axisRow" fieldPosition="0"/>
    </format>
    <format action="formatting" dxfId="87">
      <pivotArea type="normal" dataOnly="0" labelOnly="1" outline="0" fieldPosition="0">
        <references count="1">
          <reference field="4294967294">
            <x v="0"/>
            <x v="1"/>
            <x v="2"/>
          </reference>
        </references>
      </pivotArea>
    </format>
    <format action="formatting" dxfId="86">
      <pivotArea field="0" type="button" dataOnly="0" labelOnly="1" outline="0" axis="axisRow" fieldPosition="0"/>
    </format>
    <format action="formatting" dxfId="85">
      <pivotArea type="normal" dataOnly="0" labelOnly="1" outline="0" fieldPosition="0">
        <references count="1">
          <reference field="4294967294">
            <x v="0"/>
            <x v="1"/>
            <x v="2"/>
          </reference>
        </references>
      </pivotArea>
    </format>
    <format action="formatting" dxfId="84">
      <pivotArea type="normal" dataOnly="1" grandRow="1" outline="0" collapsedLevelsAreSubtotals="1" fieldPosition="0"/>
    </format>
    <format action="formatting" dxfId="83">
      <pivotArea type="normal" dataOnly="0" labelOnly="1" grandRow="1" outline="0" fieldPosition="0"/>
    </format>
    <format action="formatting" dxfId="82">
      <pivotArea type="normal" dataOnly="1" grandRow="1" outline="0" collapsedLevelsAreSubtotals="1" fieldPosition="0"/>
    </format>
    <format action="formatting" dxfId="81">
      <pivotArea type="normal" dataOnly="0" labelOnly="1" grandRow="1" outline="0" fieldPosition="0"/>
    </format>
    <format action="formatting" dxfId="80">
      <pivotArea type="normal" dataOnly="1" grandRow="1" outline="0" collapsedLevelsAreSubtotals="1" fieldPosition="0"/>
    </format>
    <format action="formatting" dxfId="79">
      <pivotArea type="normal" dataOnly="0" labelOnly="1" grandRow="1" outline="0" fieldPosition="0"/>
    </format>
    <format action="formatting" dxfId="78">
      <pivotArea type="normal" dataOnly="1" outline="0" fieldPosition="0">
        <references count="1">
          <reference field="4294967294" selected="0">
            <x v="0"/>
          </reference>
        </references>
      </pivotArea>
    </format>
    <format action="formatting" dxfId="77">
      <pivotArea type="normal" dataOnly="0" labelOnly="1" outline="0" fieldPosition="0">
        <references count="1">
          <reference field="4"/>
        </references>
      </pivotArea>
    </format>
    <format action="formatting" dxfId="76">
      <pivotArea type="normal" dataOnly="0" labelOnly="1" outline="0" fieldPosition="0">
        <references count="1">
          <reference field="4294967294">
            <x v="0"/>
          </reference>
        </references>
      </pivotArea>
    </format>
    <format action="formatting" dxfId="75">
      <pivotArea type="normal" dataOnly="1" outline="0" fieldPosition="0">
        <references count="1">
          <reference field="4294967294" selected="0">
            <x v="1"/>
          </reference>
        </references>
      </pivotArea>
    </format>
    <format action="formatting" dxfId="74">
      <pivotArea type="normal" dataOnly="0" labelOnly="1" outline="0" fieldPosition="0">
        <references count="1">
          <reference field="4294967294">
            <x v="1"/>
          </reference>
        </references>
      </pivotArea>
    </format>
    <format action="formatting" dxfId="35">
      <pivotArea type="normal" dataOnly="1" outline="0" collapsedLevelsAreSubtotals="1" fieldPosition="0"/>
    </format>
  </formats>
  <pivotTableStyleInfo name="PivotStyleMedium2"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vtHovedgruppe" cacheId="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1" fieldListSortAscending="0" mdxSubqueries="0" applyNumberFormats="0" applyBorderFormats="0" applyFontFormats="0" applyPatternFormats="0" applyAlignmentFormats="0" applyWidthHeightFormats="1" r:id="rId1">
  <location ref="B9:E13" firstHeaderRow="0" firstDataRow="1" firstDataCol="1" rowPageCount="1" colPageCount="1"/>
  <pivotFields count="17">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3">
        <item t="data" sd="1" x="0"/>
        <item t="data" h="1" sd="1" x="1"/>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4">
        <item t="data" sd="1" x="0"/>
        <item t="data" sd="1" x="1"/>
        <item t="data" sd="1" x="2"/>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s>
  <rowFields count="1">
    <field x="8"/>
  </rowFields>
  <rowItems count="4">
    <i t="data" r="0" i="0">
      <x v="0"/>
    </i>
    <i t="data" r="0" i="0">
      <x v="1"/>
    </i>
    <i t="data" r="0" i="0">
      <x v="2"/>
    </i>
    <i t="grand" r="0" i="0">
      <x v="0"/>
    </i>
  </rowItems>
  <colFields count="1">
    <field x="-2"/>
  </colFields>
  <colItems count="3">
    <i t="data" r="0" i="0">
      <x v="0"/>
    </i>
    <i t="data" r="0" i="1">
      <x v="1"/>
    </i>
    <i t="data" r="0" i="2">
      <x v="2"/>
    </i>
  </colItems>
  <pageFields count="1">
    <pageField fld="4" hier="-1"/>
  </pageFields>
  <dataFields count="3">
    <dataField name="Sum Budsjett" fld="13" subtotal="sum" showDataAs="normal" baseField="0" baseItem="0"/>
    <dataField name="Sum Regnskap" fld="14" subtotal="sum" showDataAs="normal" baseField="0" baseItem="0"/>
    <dataField name="Sum Merforbruk" fld="16" subtotal="sum" showDataAs="normal" baseField="0" baseItem="0"/>
  </dataFields>
  <formats count="24">
    <format action="formatting" dxfId="103">
      <pivotArea field="8" type="button" dataOnly="0" labelOnly="1" outline="0" axis="axisRow" fieldPosition="0"/>
    </format>
    <format action="formatting" dxfId="102">
      <pivotArea type="normal" dataOnly="0" labelOnly="1" outline="0" fieldPosition="0">
        <references count="1">
          <reference field="4294967294">
            <x v="0"/>
            <x v="1"/>
            <x v="2"/>
          </reference>
        </references>
      </pivotArea>
    </format>
    <format action="formatting" dxfId="101">
      <pivotArea field="8" type="button" dataOnly="0" labelOnly="1" outline="0" axis="axisRow" fieldPosition="0"/>
    </format>
    <format action="formatting" dxfId="100">
      <pivotArea type="normal" dataOnly="0" labelOnly="1" outline="0" fieldPosition="0">
        <references count="1">
          <reference field="4294967294">
            <x v="0"/>
            <x v="1"/>
            <x v="2"/>
          </reference>
        </references>
      </pivotArea>
    </format>
    <format action="formatting" dxfId="99">
      <pivotArea field="8" type="button" dataOnly="0" labelOnly="1" outline="0" axis="axisRow" fieldPosition="0"/>
    </format>
    <format action="formatting" dxfId="98">
      <pivotArea type="normal" dataOnly="0" labelOnly="1" outline="0" fieldPosition="0">
        <references count="1">
          <reference field="4294967294">
            <x v="0"/>
            <x v="1"/>
            <x v="2"/>
          </reference>
        </references>
      </pivotArea>
    </format>
    <format action="formatting" dxfId="73">
      <pivotArea field="8" type="button" dataOnly="0" labelOnly="1" outline="0" axis="axisRow" fieldPosition="0"/>
    </format>
    <format action="formatting" dxfId="72">
      <pivotArea type="normal" dataOnly="0" labelOnly="1" outline="0" fieldPosition="0">
        <references count="1">
          <reference field="4294967294">
            <x v="0"/>
            <x v="1"/>
            <x v="2"/>
          </reference>
        </references>
      </pivotArea>
    </format>
    <format action="formatting" dxfId="71">
      <pivotArea field="8" type="button" dataOnly="0" labelOnly="1" outline="0" axis="axisRow" fieldPosition="0"/>
    </format>
    <format action="formatting" dxfId="70">
      <pivotArea type="normal" dataOnly="0" labelOnly="1" outline="0" fieldPosition="0">
        <references count="1">
          <reference field="4294967294">
            <x v="0"/>
            <x v="1"/>
            <x v="2"/>
          </reference>
        </references>
      </pivotArea>
    </format>
    <format action="formatting" dxfId="69">
      <pivotArea field="8" type="button" dataOnly="0" labelOnly="1" outline="0" axis="axisRow" fieldPosition="0"/>
    </format>
    <format action="formatting" dxfId="68">
      <pivotArea type="normal" dataOnly="0" labelOnly="1" outline="0" fieldPosition="0">
        <references count="1">
          <reference field="4294967294">
            <x v="0"/>
            <x v="1"/>
            <x v="2"/>
          </reference>
        </references>
      </pivotArea>
    </format>
    <format action="formatting" dxfId="61">
      <pivotArea type="normal" dataOnly="1" grandRow="1" outline="0" collapsedLevelsAreSubtotals="1" fieldPosition="0"/>
    </format>
    <format action="formatting" dxfId="60">
      <pivotArea type="normal" dataOnly="0" labelOnly="1" grandRow="1" outline="0" fieldPosition="0"/>
    </format>
    <format action="formatting" dxfId="59">
      <pivotArea type="normal" dataOnly="1" grandRow="1" outline="0" collapsedLevelsAreSubtotals="1" fieldPosition="0"/>
    </format>
    <format action="formatting" dxfId="58">
      <pivotArea type="normal" dataOnly="0" labelOnly="1" grandRow="1" outline="0" fieldPosition="0"/>
    </format>
    <format action="formatting" dxfId="57">
      <pivotArea type="normal" dataOnly="1" grandRow="1" outline="0" collapsedLevelsAreSubtotals="1" fieldPosition="0"/>
    </format>
    <format action="formatting" dxfId="56">
      <pivotArea type="normal" dataOnly="0" labelOnly="1" grandRow="1" outline="0" fieldPosition="0"/>
    </format>
    <format action="formatting" dxfId="46">
      <pivotArea type="normal" dataOnly="1" outline="0" fieldPosition="0">
        <references count="1">
          <reference field="4294967294" selected="0">
            <x v="0"/>
          </reference>
        </references>
      </pivotArea>
    </format>
    <format action="formatting" dxfId="45">
      <pivotArea type="normal" dataOnly="0" labelOnly="1" outline="0" fieldPosition="0">
        <references count="1">
          <reference field="4"/>
        </references>
      </pivotArea>
    </format>
    <format action="formatting" dxfId="44">
      <pivotArea type="normal" dataOnly="0" labelOnly="1" outline="0" fieldPosition="0">
        <references count="1">
          <reference field="4294967294">
            <x v="0"/>
          </reference>
        </references>
      </pivotArea>
    </format>
    <format action="formatting" dxfId="41">
      <pivotArea type="normal" dataOnly="1" outline="0" fieldPosition="0">
        <references count="1">
          <reference field="4294967294" selected="0">
            <x v="1"/>
          </reference>
        </references>
      </pivotArea>
    </format>
    <format action="formatting" dxfId="40">
      <pivotArea type="normal" dataOnly="0" labelOnly="1" outline="0" fieldPosition="0">
        <references count="1">
          <reference field="4294967294">
            <x v="1"/>
          </reference>
        </references>
      </pivotArea>
    </format>
    <format action="formatting" dxfId="34">
      <pivotArea type="normal" dataOnly="1" outline="0" collapsedLevelsAreSubtotals="1" fieldPosition="0"/>
    </format>
  </formats>
  <pivotTableStyleInfo name="PivotStyleMedium2"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vtUndergruppe" cacheId="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1" fieldListSortAscending="0" mdxSubqueries="0" applyNumberFormats="0" applyBorderFormats="0" applyFontFormats="0" applyPatternFormats="0" applyAlignmentFormats="0" applyWidthHeightFormats="1" r:id="rId1">
  <location ref="B22:E29" firstHeaderRow="0" firstDataRow="1" firstDataCol="1" rowPageCount="1" colPageCount="1"/>
  <pivotFields count="17">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Page" showDropDowns="1" compact="0" outline="0" subtotalTop="1" dragToRow="1" dragToCol="1" dragToPage="1" dragToData="1" dragOff="1" showAll="0" topAutoShow="1" itemPageCount="10" sortType="manual" defaultSubtotal="1">
      <items count="3">
        <item t="data" sd="1" x="0"/>
        <item t="data" h="1" sd="1" x="1"/>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manual" defaultSubtotal="1">
      <items count="7">
        <item t="data" sd="1" x="0"/>
        <item t="data" sd="1" x="1"/>
        <item t="data" sd="1" x="2"/>
        <item t="data" sd="1" x="3"/>
        <item t="data" sd="1" x="4"/>
        <item t="data" sd="1" x="5"/>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dataField="1" showDropDowns="1" compact="0" outline="0" subtotalTop="1" dragToRow="1" dragToCol="1" dragToPage="1" dragToData="1" dragOff="1" showAll="0" topAutoShow="1" itemPageCount="10" sortType="manual" defaultSubtotal="1"/>
  </pivotFields>
  <rowFields count="1">
    <field x="9"/>
  </rowFields>
  <rowItems count="7">
    <i t="data" r="0" i="0">
      <x v="0"/>
    </i>
    <i t="data" r="0" i="0">
      <x v="1"/>
    </i>
    <i t="data" r="0" i="0">
      <x v="2"/>
    </i>
    <i t="data" r="0" i="0">
      <x v="3"/>
    </i>
    <i t="data" r="0" i="0">
      <x v="4"/>
    </i>
    <i t="data" r="0" i="0">
      <x v="5"/>
    </i>
    <i t="grand" r="0" i="0">
      <x v="0"/>
    </i>
  </rowItems>
  <colFields count="1">
    <field x="-2"/>
  </colFields>
  <colItems count="3">
    <i t="data" r="0" i="0">
      <x v="0"/>
    </i>
    <i t="data" r="0" i="1">
      <x v="1"/>
    </i>
    <i t="data" r="0" i="2">
      <x v="2"/>
    </i>
  </colItems>
  <pageFields count="1">
    <pageField fld="4" hier="-1"/>
  </pageFields>
  <dataFields count="3">
    <dataField name="Sum Budsjett" fld="13" subtotal="sum" showDataAs="normal" baseField="0" baseItem="0"/>
    <dataField name="Sum Regnskap" fld="14" subtotal="sum" showDataAs="normal" baseField="0" baseItem="0"/>
    <dataField name="Sum Merforbruk" fld="16" subtotal="sum" showDataAs="normal" baseField="0" baseItem="0"/>
  </dataFields>
  <formats count="26">
    <format action="formatting" dxfId="111">
      <pivotArea type="normal" dataOnly="0" labelOnly="1" outline="0" fieldPosition="0">
        <references count="1">
          <reference field="4"/>
        </references>
      </pivotArea>
    </format>
    <format action="formatting" dxfId="110">
      <pivotArea type="normal" dataOnly="0" labelOnly="1" outline="0" fieldPosition="0">
        <references count="1">
          <reference field="4294967294">
            <x v="0"/>
            <x v="1"/>
            <x v="2"/>
          </reference>
        </references>
      </pivotArea>
    </format>
    <format action="formatting" dxfId="97">
      <pivotArea field="9" type="button" dataOnly="0" labelOnly="1" outline="0" axis="axisRow" fieldPosition="0"/>
    </format>
    <format action="formatting" dxfId="96">
      <pivotArea type="normal" dataOnly="0" labelOnly="1" outline="0" fieldPosition="0">
        <references count="1">
          <reference field="4294967294">
            <x v="0"/>
            <x v="1"/>
            <x v="2"/>
          </reference>
        </references>
      </pivotArea>
    </format>
    <format action="formatting" dxfId="95">
      <pivotArea field="9" type="button" dataOnly="0" labelOnly="1" outline="0" axis="axisRow" fieldPosition="0"/>
    </format>
    <format action="formatting" dxfId="94">
      <pivotArea type="normal" dataOnly="0" labelOnly="1" outline="0" fieldPosition="0">
        <references count="1">
          <reference field="4294967294">
            <x v="0"/>
            <x v="1"/>
            <x v="2"/>
          </reference>
        </references>
      </pivotArea>
    </format>
    <format action="formatting" dxfId="93">
      <pivotArea field="9" type="button" dataOnly="0" labelOnly="1" outline="0" axis="axisRow" fieldPosition="0"/>
    </format>
    <format action="formatting" dxfId="92">
      <pivotArea type="normal" dataOnly="0" labelOnly="1" outline="0" fieldPosition="0">
        <references count="1">
          <reference field="4294967294">
            <x v="0"/>
            <x v="1"/>
            <x v="2"/>
          </reference>
        </references>
      </pivotArea>
    </format>
    <format action="formatting" dxfId="67">
      <pivotArea field="9" type="button" dataOnly="0" labelOnly="1" outline="0" axis="axisRow" fieldPosition="0"/>
    </format>
    <format action="formatting" dxfId="66">
      <pivotArea type="normal" dataOnly="0" labelOnly="1" outline="0" fieldPosition="0">
        <references count="1">
          <reference field="4294967294">
            <x v="0"/>
            <x v="1"/>
            <x v="2"/>
          </reference>
        </references>
      </pivotArea>
    </format>
    <format action="formatting" dxfId="65">
      <pivotArea field="9" type="button" dataOnly="0" labelOnly="1" outline="0" axis="axisRow" fieldPosition="0"/>
    </format>
    <format action="formatting" dxfId="64">
      <pivotArea type="normal" dataOnly="0" labelOnly="1" outline="0" fieldPosition="0">
        <references count="1">
          <reference field="4294967294">
            <x v="0"/>
            <x v="1"/>
            <x v="2"/>
          </reference>
        </references>
      </pivotArea>
    </format>
    <format action="formatting" dxfId="63">
      <pivotArea field="9" type="button" dataOnly="0" labelOnly="1" outline="0" axis="axisRow" fieldPosition="0"/>
    </format>
    <format action="formatting" dxfId="62">
      <pivotArea type="normal" dataOnly="0" labelOnly="1" outline="0" fieldPosition="0">
        <references count="1">
          <reference field="4294967294">
            <x v="0"/>
            <x v="1"/>
            <x v="2"/>
          </reference>
        </references>
      </pivotArea>
    </format>
    <format action="formatting" dxfId="55">
      <pivotArea type="normal" dataOnly="1" grandRow="1" outline="0" collapsedLevelsAreSubtotals="1" fieldPosition="0"/>
    </format>
    <format action="formatting" dxfId="54">
      <pivotArea type="normal" dataOnly="0" labelOnly="1" grandRow="1" outline="0" fieldPosition="0"/>
    </format>
    <format action="formatting" dxfId="53">
      <pivotArea type="normal" dataOnly="1" grandRow="1" outline="0" collapsedLevelsAreSubtotals="1" fieldPosition="0"/>
    </format>
    <format action="formatting" dxfId="52">
      <pivotArea type="normal" dataOnly="0" labelOnly="1" grandRow="1" outline="0" fieldPosition="0"/>
    </format>
    <format action="formatting" dxfId="51">
      <pivotArea type="normal" dataOnly="1" grandRow="1" outline="0" collapsedLevelsAreSubtotals="1" fieldPosition="0"/>
    </format>
    <format action="formatting" dxfId="50">
      <pivotArea type="normal" dataOnly="0" labelOnly="1" grandRow="1" outline="0" fieldPosition="0"/>
    </format>
    <format action="formatting" dxfId="49">
      <pivotArea type="normal" dataOnly="1" outline="0" fieldPosition="0">
        <references count="1">
          <reference field="4294967294" selected="0">
            <x v="0"/>
          </reference>
        </references>
      </pivotArea>
    </format>
    <format action="formatting" dxfId="48">
      <pivotArea type="normal" dataOnly="0" labelOnly="1" outline="0" fieldPosition="0">
        <references count="1">
          <reference field="4"/>
        </references>
      </pivotArea>
    </format>
    <format action="formatting" dxfId="47">
      <pivotArea type="normal" dataOnly="0" labelOnly="1" outline="0" fieldPosition="0">
        <references count="1">
          <reference field="4294967294">
            <x v="0"/>
          </reference>
        </references>
      </pivotArea>
    </format>
    <format action="formatting" dxfId="43">
      <pivotArea type="normal" dataOnly="1" outline="0" fieldPosition="0">
        <references count="1">
          <reference field="4294967294" selected="0">
            <x v="1"/>
          </reference>
        </references>
      </pivotArea>
    </format>
    <format action="formatting" dxfId="42">
      <pivotArea type="normal" dataOnly="0" labelOnly="1" outline="0" fieldPosition="0">
        <references count="1">
          <reference field="4294967294">
            <x v="1"/>
          </reference>
        </references>
      </pivotArea>
    </format>
    <format action="formatting" dxfId="33">
      <pivotArea type="normal" dataOnly="1" outline="0" collapsedLevelsAreSubtotals="1" fieldPosition="0"/>
    </format>
  </formats>
  <pivotTableStyleInfo name="PivotStyleMedium2" showRowHeaders="1" showColHeaders="1" showRowStripes="0" showColStripes="0" showLastColumn="1"/>
</pivotTableDefinition>
</file>

<file path=xl/tables/table1.xml><?xml version="1.0" encoding="utf-8"?>
<table xmlns="http://schemas.openxmlformats.org/spreadsheetml/2006/main" id="1" name="tbl_BoMiljo" displayName="tbl_BoMiljo" ref="A1:Q1057" headerRowCount="1" headerRowDxfId="91">
  <autoFilter ref="A1:Q1057"/>
  <tableColumns count="17">
    <tableColumn id="1" name="Periode"/>
    <tableColumn id="2" name="Måned"/>
    <tableColumn id="3" name="Måned_Nr"/>
    <tableColumn id="4" name="Tertial"/>
    <tableColumn id="5" name="Status"/>
    <tableColumn id="6" name="Lokasjon"/>
    <tableColumn id="7" name="KOSTRA_Funksjon"/>
    <tableColumn id="8" name="Tjenesteområde"/>
    <tableColumn id="9" name="Hovedgruppe"/>
    <tableColumn id="10" name="Undergruppe"/>
    <tableColumn id="11" name="KOSTRA_Art"/>
    <tableColumn id="12" name="Kontokode"/>
    <tableColumn id="13" name="Kontonavn"/>
    <tableColumn id="14" name="Budsjett" dataDxfId="39"/>
    <tableColumn id="15" name="Regnskap" dataDxfId="38"/>
    <tableColumn id="16" name="Avvik" dataDxfId="37"/>
    <tableColumn id="17" name="Merforbruk"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pivotTable" Target="/xl/pivotTables/pivotTable1.xml" Id="rId1"/></Relationships>
</file>

<file path=xl/worksheets/_rels/sheet9.xml.rels><Relationships xmlns="http://schemas.openxmlformats.org/package/2006/relationships"><Relationship Type="http://schemas.openxmlformats.org/officeDocument/2006/relationships/pivotTable" Target="/xl/pivotTables/pivotTable2.xml" Id="rId1"/><Relationship Type="http://schemas.openxmlformats.org/officeDocument/2006/relationships/pivotTable" Target="/xl/pivotTables/pivotTable3.xml" Id="rId2"/></Relationships>
</file>

<file path=xl/worksheets/_rels/sheet1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F4B183"/>
    <outlinePr summaryBelow="1" summaryRight="1"/>
    <pageSetUpPr/>
  </sheetPr>
  <dimension ref="B2:L40"/>
  <sheetViews>
    <sheetView showGridLines="0" tabSelected="1" zoomScale="80" zoomScaleNormal="80" workbookViewId="0">
      <selection activeCell="B14" sqref="B14:E16"/>
    </sheetView>
  </sheetViews>
  <sheetFormatPr baseColWidth="8" defaultRowHeight="14.5"/>
  <cols>
    <col width="14" customWidth="1" style="5" min="1" max="13"/>
  </cols>
  <sheetData>
    <row r="2">
      <c r="B2" s="49" t="inlineStr">
        <is>
          <t>WORKFLOW | Fra situasjonsbilde til realisert effekt</t>
        </is>
      </c>
    </row>
    <row r="3"/>
    <row r="6">
      <c r="B6" s="83" t="inlineStr">
        <is>
          <t>1. Nåsituasjon</t>
        </is>
      </c>
      <c r="G6" s="89" t="inlineStr">
        <is>
          <t>Budsjett, regnskap, avvik, trend og drivere</t>
        </is>
      </c>
    </row>
    <row r="7"/>
    <row r="8"/>
    <row r="9" ht="23.5" customHeight="1" s="5">
      <c r="C9" s="10" t="inlineStr">
        <is>
          <t>↓</t>
        </is>
      </c>
    </row>
    <row r="10">
      <c r="B10" s="83" t="inlineStr">
        <is>
          <t>2. EOY-prognose</t>
        </is>
      </c>
      <c r="G10" s="89" t="inlineStr">
        <is>
          <t>Transparent rullerende prognose uten nye tiltak</t>
        </is>
      </c>
    </row>
    <row r="11"/>
    <row r="12"/>
    <row r="13" ht="23.5" customHeight="1" s="5">
      <c r="C13" s="10" t="inlineStr">
        <is>
          <t>↓</t>
        </is>
      </c>
    </row>
    <row r="14">
      <c r="B14" s="83" t="inlineStr">
        <is>
          <t>3. AI-kandidattiltak</t>
        </is>
      </c>
      <c r="G14" s="89" t="inlineStr">
        <is>
          <t>Generer relevante kort- og langsiktige kandidattiltak</t>
        </is>
      </c>
    </row>
    <row r="15"/>
    <row r="16"/>
    <row r="17" ht="23.5" customHeight="1" s="5">
      <c r="C17" s="10" t="inlineStr">
        <is>
          <t>↓</t>
        </is>
      </c>
    </row>
    <row r="18">
      <c r="B18" s="85" t="inlineStr">
        <is>
          <t>4. Governance Gate</t>
        </is>
      </c>
      <c r="G18" s="89" t="inlineStr">
        <is>
          <t>Kontroller lov, tariff, HMS, tjeneste, personvern og fullmakt</t>
        </is>
      </c>
    </row>
    <row r="19"/>
    <row r="20"/>
    <row r="21" ht="23.5" customHeight="1" s="5">
      <c r="C21" s="10" t="inlineStr">
        <is>
          <t>↓</t>
        </is>
      </c>
    </row>
    <row r="22">
      <c r="B22" s="83" t="inlineStr">
        <is>
          <t>5. Optimalisering</t>
        </is>
      </c>
      <c r="G22" s="89" t="inlineStr">
        <is>
          <t>Finn forsvarlig kombinasjon som minimerer restavvik og risiko</t>
        </is>
      </c>
    </row>
    <row r="23"/>
    <row r="24"/>
    <row r="25" ht="23.5" customHeight="1" s="5">
      <c r="C25" s="10" t="inlineStr">
        <is>
          <t>↓</t>
        </is>
      </c>
    </row>
    <row r="26">
      <c r="B26" s="87" t="inlineStr">
        <is>
          <t>6. Leder godkjenner</t>
        </is>
      </c>
      <c r="G26" s="89" t="inlineStr">
        <is>
          <t>Godkjenn, endre eller avvis. Begrunnelse logges</t>
        </is>
      </c>
    </row>
    <row r="27"/>
    <row r="28"/>
    <row r="29" ht="23.5" customHeight="1" s="5">
      <c r="C29" s="10" t="inlineStr">
        <is>
          <t>↓</t>
        </is>
      </c>
    </row>
    <row r="30">
      <c r="B30" s="83" t="inlineStr">
        <is>
          <t>7. Ny EOY-prognose</t>
        </is>
      </c>
      <c r="G30" s="89" t="inlineStr">
        <is>
          <t>Reberegn scenario med godkjente tiltak</t>
        </is>
      </c>
    </row>
    <row r="31"/>
    <row r="32"/>
    <row r="33" ht="23.5" customHeight="1" s="5">
      <c r="C33" s="10" t="inlineStr">
        <is>
          <t>↓</t>
        </is>
      </c>
    </row>
    <row r="34">
      <c r="B34" s="83" t="inlineStr">
        <is>
          <t>8. Effektoppfølging</t>
        </is>
      </c>
      <c r="G34" s="89" t="inlineStr">
        <is>
          <t>Mål faktisk realisert økonomisk effekt</t>
        </is>
      </c>
    </row>
    <row r="35"/>
    <row r="36"/>
    <row r="37" ht="23.5" customHeight="1" s="5">
      <c r="C37" s="10" t="inlineStr">
        <is>
          <t>↓</t>
        </is>
      </c>
    </row>
    <row r="38">
      <c r="B38" s="83" t="inlineStr">
        <is>
          <t>9. Langsiktig læring</t>
        </is>
      </c>
      <c r="G38" s="89" t="inlineStr">
        <is>
          <t>Bruk realisering til neste prognose og økonomiplan</t>
        </is>
      </c>
    </row>
    <row r="39"/>
    <row r="40"/>
  </sheetData>
  <mergeCells count="27">
    <mergeCell ref="B6:E8"/>
    <mergeCell ref="G38:L40"/>
    <mergeCell ref="C33:D33"/>
    <mergeCell ref="B34:E36"/>
    <mergeCell ref="G10:L12"/>
    <mergeCell ref="B30:E32"/>
    <mergeCell ref="G34:L36"/>
    <mergeCell ref="G6:L8"/>
    <mergeCell ref="C29:D29"/>
    <mergeCell ref="B26:E28"/>
    <mergeCell ref="C25:D25"/>
    <mergeCell ref="G18:L20"/>
    <mergeCell ref="G30:L32"/>
    <mergeCell ref="C9:D9"/>
    <mergeCell ref="G14:L16"/>
    <mergeCell ref="B22:E24"/>
    <mergeCell ref="C21:D21"/>
    <mergeCell ref="G26:L28"/>
    <mergeCell ref="G22:L24"/>
    <mergeCell ref="C17:D17"/>
    <mergeCell ref="B18:E20"/>
    <mergeCell ref="B10:E12"/>
    <mergeCell ref="C37:D37"/>
    <mergeCell ref="B38:E40"/>
    <mergeCell ref="B2:L3"/>
    <mergeCell ref="C13:D13"/>
    <mergeCell ref="B14:E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S58"/>
  <sheetViews>
    <sheetView showGridLines="0" zoomScale="80" zoomScaleNormal="80" workbookViewId="0">
      <selection activeCell="W8" sqref="W7:W8"/>
    </sheetView>
  </sheetViews>
  <sheetFormatPr baseColWidth="8" defaultRowHeight="14.5"/>
  <cols>
    <col width="19.453125" customWidth="1" style="5" min="2" max="2"/>
    <col width="12.1796875" customWidth="1" style="5" min="3" max="5"/>
    <col width="19.453125" customWidth="1" style="5" min="6" max="6"/>
    <col width="12.1796875" customWidth="1" style="5" min="7" max="9"/>
    <col width="19.453125" customWidth="1" style="5" min="10" max="10"/>
    <col width="12.1796875" customWidth="1" style="5" min="11" max="13"/>
    <col width="19.453125" customWidth="1" style="5" min="14" max="14"/>
    <col width="6.54296875" customWidth="1" style="5" min="15" max="15"/>
    <col width="12.7265625" customWidth="1" style="5" min="16" max="17"/>
    <col width="4.54296875" customWidth="1" style="5" min="18" max="18"/>
    <col hidden="1" width="12.7265625" customWidth="1" style="5" min="19" max="19"/>
  </cols>
  <sheetData>
    <row r="2" ht="42" customHeight="1" s="5">
      <c r="B2" s="13" t="inlineStr">
        <is>
          <t>BO OG MILJØ  |  budsjettkontroll 2024</t>
        </is>
      </c>
      <c r="C2" s="48" t="n"/>
      <c r="D2" s="48" t="n"/>
      <c r="E2" s="48" t="n"/>
      <c r="F2" s="48" t="n"/>
      <c r="G2" s="48" t="n"/>
      <c r="H2" s="48" t="n"/>
      <c r="I2" s="48" t="n"/>
      <c r="J2" s="48" t="n"/>
      <c r="K2" s="48" t="n"/>
      <c r="L2" s="48" t="n"/>
      <c r="M2" s="48" t="n"/>
      <c r="N2" s="48" t="n"/>
      <c r="O2" s="48" t="n"/>
    </row>
    <row r="4">
      <c r="B4" s="12" t="inlineStr">
        <is>
          <t>Styringsspørsmål: Hvor er avviket, hva driver utviklingen, og er utviklingen midlertidig eller strukturell?</t>
        </is>
      </c>
      <c r="C4" s="12" t="n"/>
      <c r="D4" s="12" t="n"/>
      <c r="E4" s="12" t="n"/>
      <c r="F4" s="12" t="n"/>
      <c r="G4" s="12" t="n"/>
      <c r="H4" s="12" t="n"/>
    </row>
    <row r="6">
      <c r="B6" s="42" t="inlineStr">
        <is>
          <t>Budsjett YTD</t>
        </is>
      </c>
      <c r="C6" s="43" t="n"/>
      <c r="F6" s="45" t="inlineStr">
        <is>
          <t>Regnskap YTD</t>
        </is>
      </c>
      <c r="G6" s="46" t="n"/>
      <c r="J6" s="38" t="inlineStr">
        <is>
          <t>Merforbruk YTD</t>
        </is>
      </c>
      <c r="N6" s="38" t="inlineStr">
        <is>
          <t>Avvik %</t>
        </is>
      </c>
    </row>
    <row r="7" ht="29" customHeight="1" s="5">
      <c r="B7" s="120">
        <f>'Pivot - måned'!C18</f>
        <v/>
      </c>
      <c r="C7" s="44" t="n"/>
      <c r="D7" s="28" t="n"/>
      <c r="E7" s="28" t="n"/>
      <c r="F7" s="121">
        <f>'Pivot - måned'!D18</f>
        <v/>
      </c>
      <c r="G7" s="47" t="n"/>
      <c r="H7" s="28" t="n"/>
      <c r="I7" s="28" t="n"/>
      <c r="J7" s="122">
        <f>'Pivot - måned'!E18</f>
        <v/>
      </c>
      <c r="K7" s="28" t="n"/>
      <c r="L7" s="28" t="n"/>
      <c r="M7" s="28" t="n"/>
      <c r="N7" s="160">
        <f>IFERROR(-J7/B7,0)</f>
        <v/>
      </c>
    </row>
    <row r="8" ht="30" customHeight="1" s="5">
      <c r="P8" s="36" t="inlineStr">
        <is>
          <t>FILTRER VISNINGEN</t>
        </is>
      </c>
      <c r="Q8" s="48" t="n"/>
      <c r="R8" s="48" t="n"/>
      <c r="S8" s="48" t="n"/>
    </row>
    <row r="10">
      <c r="P10" s="37" t="inlineStr">
        <is>
          <t>01 · MÅNEDSVISNING</t>
        </is>
      </c>
    </row>
    <row r="25">
      <c r="P25" t="inlineStr">
        <is>
          <t>Påvirker måneds-KPI og de to øverste diagrammene.</t>
        </is>
      </c>
    </row>
    <row r="27">
      <c r="P27" s="37" t="inlineStr">
        <is>
          <t>02 · KONTOPLANDETALJ</t>
        </is>
      </c>
    </row>
    <row r="29">
      <c r="B29" s="22" t="inlineStr">
        <is>
          <t>LESNING AV AVVIK</t>
        </is>
      </c>
      <c r="C29" s="50" t="n"/>
      <c r="D29" s="50" t="n"/>
      <c r="E29" s="50" t="n"/>
      <c r="F29" s="50" t="n"/>
      <c r="G29" s="50" t="n"/>
      <c r="H29" s="50" t="n"/>
      <c r="I29" s="50" t="n"/>
      <c r="J29" s="50" t="n"/>
      <c r="K29" s="50" t="n"/>
      <c r="L29" s="50" t="n"/>
      <c r="M29" s="50" t="n"/>
      <c r="N29" s="50" t="n"/>
      <c r="O29" s="123" t="n"/>
    </row>
    <row r="30" ht="24" customHeight="1" s="5">
      <c r="B30" t="inlineStr">
        <is>
          <t>Månedsdiagram: negative stolper (mindreforbruk i kroner) er lyserøde, positive stolper (merforbruk i kroner) lysegrønne. Avvik % har motsatt fortegn.</t>
        </is>
      </c>
    </row>
    <row r="31" ht="24" customHeight="1" s="5">
      <c r="B31" t="inlineStr">
        <is>
          <t>Måneds-KPIene og de to øverste diagrammene leser månedspivoten; hovedgruppe- og undergruppediagrammene har egne pivotkilder.</t>
        </is>
      </c>
    </row>
    <row r="32" ht="24" customHeight="1" s="5">
      <c r="B32" t="inlineStr">
        <is>
          <t>Måneds-KPI og begge øverste diagrammer følger hovedgruppe-sliceren. Undergruppediagrammet følger sin egen slicer. Gruppediagrammet viser alltid alle.</t>
        </is>
      </c>
    </row>
    <row r="33" ht="24" customHeight="1" s="5">
      <c r="B33" t="inlineStr">
        <is>
          <t>Ordinære Excel-diagrammer leser pivotresultater via GETPIVOTDATA i skjult Chart Data. Nye kategorier må legges til i diagramkilden.</t>
        </is>
      </c>
    </row>
    <row r="34" ht="24" customHeight="1" s="5">
      <c r="B34" t="inlineStr">
        <is>
          <t>Oppdater pivottabellene etter endring i tbl_BoMiljo. Slicerutvalgene er uavhengige; sammenlign ikke filtrert måneds-KPI med ufiltrert gruppeavvik.</t>
        </is>
      </c>
    </row>
    <row r="35">
      <c r="B35" s="40" t="inlineStr">
        <is>
          <t>Merforbruk = regnskap − budsjett. Bokført jan–aug 2024; sep–des er ikke bokført og inngår ikke i diagrammene.</t>
        </is>
      </c>
    </row>
    <row r="57" ht="30" customHeight="1" s="5">
      <c r="B57" s="41" t="inlineStr">
        <is>
          <t>KONTONIVÅ  |  største drivere bak merforbruket</t>
        </is>
      </c>
      <c r="C57" s="48" t="n"/>
      <c r="D57" s="48" t="n"/>
      <c r="E57" s="48" t="n"/>
      <c r="F57" s="48" t="n"/>
      <c r="G57" s="48" t="n"/>
      <c r="H57" s="48" t="n"/>
      <c r="I57" s="48" t="n"/>
      <c r="J57" s="48" t="n"/>
      <c r="K57" s="48" t="n"/>
      <c r="L57" s="48" t="n"/>
      <c r="M57" s="48" t="n"/>
      <c r="N57" s="48" t="n"/>
      <c r="O57" s="48" t="n"/>
    </row>
    <row r="58">
      <c r="B58" s="15" t="inlineStr">
        <is>
          <t>Topp 10 positive avvik per kontokode, kun Status = Bokført • rangert med største øverst • beløp i kroner</t>
        </is>
      </c>
    </row>
  </sheetData>
  <conditionalFormatting sqref="J7">
    <cfRule type="expression" priority="1" dxfId="4">
      <formula>$N$7&lt;=-10%</formula>
    </cfRule>
    <cfRule type="expression" priority="2" dxfId="3">
      <formula>AND($N$7&gt;-10%,$N$7&lt;=-5%)</formula>
    </cfRule>
    <cfRule type="expression" priority="3" dxfId="0">
      <formula>$N$7&gt;-5%</formula>
    </cfRule>
  </conditionalFormatting>
  <conditionalFormatting sqref="N7">
    <cfRule type="expression" priority="4" dxfId="1">
      <formula>AND(ISNUMBER(N7),N7&lt;0)</formula>
    </cfRule>
  </conditionalFormatting>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tabColor rgb="FF7030A0"/>
    <outlinePr summaryBelow="1" summaryRight="1"/>
    <pageSetUpPr/>
  </sheetPr>
  <dimension ref="B2:L45"/>
  <sheetViews>
    <sheetView showGridLines="0" topLeftCell="A13" zoomScale="90" zoomScaleNormal="90" workbookViewId="0">
      <selection activeCell="O33" sqref="O33"/>
    </sheetView>
  </sheetViews>
  <sheetFormatPr baseColWidth="8" defaultRowHeight="14.5"/>
  <cols>
    <col width="14" customWidth="1" style="5" min="1" max="1"/>
    <col width="37.26953125" customWidth="1" style="5" min="2" max="2"/>
    <col width="22.36328125" customWidth="1" style="5" min="3" max="5"/>
    <col width="18.1796875" customWidth="1" style="5" min="6" max="6"/>
    <col width="14" customWidth="1" style="5" min="7" max="13"/>
  </cols>
  <sheetData>
    <row r="2">
      <c r="B2" s="49" t="inlineStr">
        <is>
          <t>2 | PROGNOSE END OF YEAR - før nye tiltak</t>
        </is>
      </c>
    </row>
    <row r="3"/>
    <row r="5">
      <c r="B5" s="57" t="inlineStr">
        <is>
          <t>Regnskap YTD</t>
        </is>
      </c>
      <c r="E5" s="54" t="inlineStr">
        <is>
          <t>Gjenstående budsjett</t>
        </is>
      </c>
      <c r="H5" s="51" t="inlineStr">
        <is>
          <t>Trendjustering</t>
        </is>
      </c>
      <c r="K5" s="51" t="inlineStr">
        <is>
          <t>EOY prognose</t>
        </is>
      </c>
    </row>
    <row r="6">
      <c r="B6" s="110">
        <f>'1 Nåsituasjon'!F7</f>
        <v/>
      </c>
      <c r="D6" s="28" t="n"/>
      <c r="E6" s="109">
        <f>SUMIFS(tbl_BoMiljo[Budsjett],tbl_BoMiljo[Status],"Gjenstående budsjett")</f>
        <v/>
      </c>
      <c r="G6" s="28" t="n"/>
      <c r="H6" s="113">
        <f>MAX(0,'1 Nåsituasjon'!J7)*$B$20</f>
        <v/>
      </c>
      <c r="J6" s="28" t="n"/>
      <c r="K6" s="113">
        <f>SUM(B6,E6,H6)</f>
        <v/>
      </c>
    </row>
    <row r="7"/>
    <row r="10">
      <c r="B10" s="7" t="inlineStr">
        <is>
          <t>Årsbudsjett</t>
        </is>
      </c>
      <c r="E10" s="80" t="inlineStr">
        <is>
          <t>EOY avvik</t>
        </is>
      </c>
      <c r="H10" s="80" t="inlineStr">
        <is>
          <t>EOY avvik %</t>
        </is>
      </c>
      <c r="K10" s="7" t="inlineStr">
        <is>
          <t>Styringssignal</t>
        </is>
      </c>
    </row>
    <row r="11">
      <c r="B11" s="112">
        <f>SUM(tbl_BoMiljo[Budsjett])</f>
        <v/>
      </c>
      <c r="D11" s="28" t="n"/>
      <c r="E11" s="111">
        <f>K6-B11</f>
        <v/>
      </c>
      <c r="H11" s="161">
        <f>IFERROR(-E11/B11,0)</f>
        <v/>
      </c>
      <c r="K11" s="162">
        <f>IF(H11&lt;=-10%,"RØD",IF(H11&lt;=-5%,"GUL","GRØNN"))</f>
        <v/>
      </c>
    </row>
    <row r="12"/>
    <row r="15">
      <c r="B15" s="8" t="inlineStr">
        <is>
          <t>MVP-formel: EOY = Regnskap YTD + gjenstående budsjett + 50 % av positivt YTD-avvik. Formålet er en transparent første prognose som kan sammenlignes med senere modeller.</t>
        </is>
      </c>
    </row>
    <row r="16"/>
    <row r="17"/>
    <row r="18"/>
    <row r="19">
      <c r="B19" s="24" t="inlineStr">
        <is>
          <t>Trendandel av positivt YTD-avvik (redigerbar forutsetning)</t>
        </is>
      </c>
      <c r="C19" s="24" t="n"/>
      <c r="D19" s="24" t="n"/>
      <c r="E19" s="24" t="n"/>
      <c r="F19" s="24" t="n"/>
      <c r="G19" s="24" t="n"/>
      <c r="H19" s="24" t="n"/>
      <c r="I19" s="24" t="n"/>
      <c r="J19" s="24" t="n"/>
      <c r="K19" s="24" t="n"/>
      <c r="L19" s="24" t="n"/>
    </row>
    <row r="20">
      <c r="B20" s="25" t="n">
        <v>0.5</v>
      </c>
      <c r="C20" s="24" t="n"/>
      <c r="D20" s="24" t="n"/>
      <c r="E20" s="24" t="n"/>
      <c r="F20" s="24" t="n"/>
      <c r="G20" s="24" t="n"/>
      <c r="H20" s="24" t="n"/>
      <c r="I20" s="24" t="n"/>
      <c r="J20" s="24" t="n"/>
      <c r="K20" s="24" t="n"/>
      <c r="L20" s="24" t="n"/>
    </row>
    <row r="21">
      <c r="B21" s="24" t="n"/>
      <c r="C21" s="24" t="n"/>
      <c r="D21" s="24" t="n"/>
      <c r="E21" s="24" t="n"/>
      <c r="F21" s="24" t="n"/>
      <c r="G21" s="24" t="n"/>
      <c r="H21" s="24" t="n"/>
      <c r="I21" s="24" t="n"/>
      <c r="J21" s="24" t="n"/>
      <c r="K21" s="24" t="n"/>
      <c r="L21" s="24" t="n"/>
    </row>
    <row r="22">
      <c r="B22" s="24" t="inlineStr">
        <is>
          <t>PROGNOSE | modell, ikke bokført regnskap</t>
        </is>
      </c>
      <c r="C22" s="24" t="n"/>
      <c r="D22" s="24" t="n"/>
      <c r="E22" s="24" t="n"/>
      <c r="F22" s="24" t="n"/>
      <c r="G22" s="24" t="n"/>
      <c r="H22" s="24" t="n"/>
      <c r="I22" s="24" t="n"/>
      <c r="J22" s="24" t="n"/>
      <c r="K22" s="24" t="n"/>
      <c r="L22" s="24" t="n"/>
    </row>
    <row r="23">
      <c r="B23" s="24" t="inlineStr">
        <is>
          <t>EOY = bokført regnskap + gjenstående budsjett + MAX(0; YTD-merforbruk) × trendandel.</t>
        </is>
      </c>
      <c r="C23" s="24" t="n"/>
      <c r="D23" s="24" t="n"/>
      <c r="E23" s="24" t="n"/>
      <c r="F23" s="24" t="n"/>
      <c r="G23" s="24" t="n"/>
      <c r="H23" s="24" t="n"/>
      <c r="I23" s="24" t="n"/>
      <c r="J23" s="24" t="n"/>
      <c r="K23" s="24" t="n"/>
      <c r="L23" s="24" t="n"/>
    </row>
    <row r="24">
      <c r="B24" s="24" t="inlineStr">
        <is>
          <t>Styringssignal: RØD ved avvik ≤ −10 %, GUL fra −5 % til over −10 %, ellers GRØNN. Negative prosent betyr merforbruk.</t>
        </is>
      </c>
      <c r="C24" s="24" t="n"/>
      <c r="D24" s="24" t="n"/>
      <c r="E24" s="24" t="n"/>
      <c r="F24" s="24" t="n"/>
      <c r="G24" s="24" t="n"/>
      <c r="H24" s="24" t="n"/>
      <c r="I24" s="24" t="n"/>
      <c r="J24" s="24" t="n"/>
      <c r="K24" s="24" t="n"/>
      <c r="L24" s="24" t="n"/>
    </row>
    <row r="25">
      <c r="B25" s="24" t="inlineStr">
        <is>
          <t>Prognosen gjelder dataperioden i Rådata (2024), ikke dagens kalenderår; fornyes når kildedata oppdateres.</t>
        </is>
      </c>
      <c r="C25" s="24" t="n"/>
      <c r="D25" s="24" t="n"/>
      <c r="E25" s="24" t="n"/>
      <c r="F25" s="24" t="n"/>
      <c r="G25" s="24" t="n"/>
      <c r="H25" s="24" t="n"/>
      <c r="I25" s="24" t="n"/>
      <c r="J25" s="24" t="n"/>
      <c r="K25" s="24" t="n"/>
      <c r="L25" s="24" t="n"/>
    </row>
    <row r="28" ht="31" customHeight="1" s="5">
      <c r="B28" s="134" t="inlineStr">
        <is>
          <t>MÅNEDLIG UTVIKLING | bokført mot modellert årsslutt</t>
        </is>
      </c>
      <c r="C28" s="132" t="n"/>
      <c r="D28" s="132" t="n"/>
      <c r="E28" s="132" t="n"/>
      <c r="F28" s="132" t="n"/>
      <c r="G28" s="132" t="n"/>
      <c r="H28" s="132" t="n"/>
      <c r="I28" s="132" t="n"/>
      <c r="J28" s="132" t="n"/>
      <c r="K28" s="132" t="n"/>
      <c r="L28" s="132" t="n"/>
    </row>
    <row r="29">
      <c r="B29" s="135" t="inlineStr">
        <is>
          <t>Periode</t>
        </is>
      </c>
      <c r="C29" s="135" t="inlineStr">
        <is>
          <t>Budsjett YTD (kr)</t>
        </is>
      </c>
      <c r="D29" s="135" t="inlineStr">
        <is>
          <t>Regnskap YTD (kr)</t>
        </is>
      </c>
      <c r="E29" s="135" t="inlineStr">
        <is>
          <t>Prognose YTD (kr)</t>
        </is>
      </c>
      <c r="F29" s="135" t="inlineStr">
        <is>
          <t>Merforbruk YTD (kr)</t>
        </is>
      </c>
    </row>
    <row r="30" ht="23" customHeight="1" s="5">
      <c r="B30" t="inlineStr">
        <is>
          <t>2024-01</t>
        </is>
      </c>
      <c r="C30" s="28">
        <f>SUMIFS(tbl_BoMiljo[Budsjett],tbl_BoMiljo[Periode],"&lt;="&amp;B30)</f>
        <v/>
      </c>
      <c r="D30" s="28">
        <f>SUMIFS(tbl_BoMiljo[Regnskap],tbl_BoMiljo[Status],"Bokført",tbl_BoMiljo[Periode],"&lt;="&amp;B30)</f>
        <v/>
      </c>
      <c r="E30" s="28" t="n"/>
    </row>
    <row r="31" ht="23" customHeight="1" s="5">
      <c r="B31" t="inlineStr">
        <is>
          <t>2024-02</t>
        </is>
      </c>
      <c r="C31" s="28">
        <f>SUMIFS(tbl_BoMiljo[Budsjett],tbl_BoMiljo[Periode],"&lt;="&amp;B31)</f>
        <v/>
      </c>
      <c r="D31" s="28">
        <f>SUMIFS(tbl_BoMiljo[Regnskap],tbl_BoMiljo[Status],"Bokført",tbl_BoMiljo[Periode],"&lt;="&amp;B31)</f>
        <v/>
      </c>
      <c r="E31" s="28" t="n"/>
    </row>
    <row r="32" ht="23" customHeight="1" s="5">
      <c r="B32" t="inlineStr">
        <is>
          <t>2024-03</t>
        </is>
      </c>
      <c r="C32" s="28">
        <f>SUMIFS(tbl_BoMiljo[Budsjett],tbl_BoMiljo[Periode],"&lt;="&amp;B32)</f>
        <v/>
      </c>
      <c r="D32" s="28">
        <f>SUMIFS(tbl_BoMiljo[Regnskap],tbl_BoMiljo[Status],"Bokført",tbl_BoMiljo[Periode],"&lt;="&amp;B32)</f>
        <v/>
      </c>
      <c r="E32" s="28" t="n"/>
    </row>
    <row r="33" ht="23" customHeight="1" s="5">
      <c r="B33" t="inlineStr">
        <is>
          <t>2024-04</t>
        </is>
      </c>
      <c r="C33" s="28">
        <f>SUMIFS(tbl_BoMiljo[Budsjett],tbl_BoMiljo[Periode],"&lt;="&amp;B33)</f>
        <v/>
      </c>
      <c r="D33" s="28">
        <f>SUMIFS(tbl_BoMiljo[Regnskap],tbl_BoMiljo[Status],"Bokført",tbl_BoMiljo[Periode],"&lt;="&amp;B33)</f>
        <v/>
      </c>
      <c r="E33" s="28" t="n"/>
    </row>
    <row r="34" ht="23" customHeight="1" s="5">
      <c r="B34" t="inlineStr">
        <is>
          <t>2024-05</t>
        </is>
      </c>
      <c r="C34" s="28">
        <f>SUMIFS(tbl_BoMiljo[Budsjett],tbl_BoMiljo[Periode],"&lt;="&amp;B34)</f>
        <v/>
      </c>
      <c r="D34" s="28">
        <f>SUMIFS(tbl_BoMiljo[Regnskap],tbl_BoMiljo[Status],"Bokført",tbl_BoMiljo[Periode],"&lt;="&amp;B34)</f>
        <v/>
      </c>
      <c r="E34" s="28" t="n"/>
    </row>
    <row r="35" ht="23" customHeight="1" s="5">
      <c r="B35" t="inlineStr">
        <is>
          <t>2024-06</t>
        </is>
      </c>
      <c r="C35" s="28">
        <f>SUMIFS(tbl_BoMiljo[Budsjett],tbl_BoMiljo[Periode],"&lt;="&amp;B35)</f>
        <v/>
      </c>
      <c r="D35" s="28">
        <f>SUMIFS(tbl_BoMiljo[Regnskap],tbl_BoMiljo[Status],"Bokført",tbl_BoMiljo[Periode],"&lt;="&amp;B35)</f>
        <v/>
      </c>
      <c r="E35" s="28" t="n"/>
    </row>
    <row r="36" ht="23" customHeight="1" s="5">
      <c r="B36" t="inlineStr">
        <is>
          <t>2024-07</t>
        </is>
      </c>
      <c r="C36" s="28">
        <f>SUMIFS(tbl_BoMiljo[Budsjett],tbl_BoMiljo[Periode],"&lt;="&amp;B36)</f>
        <v/>
      </c>
      <c r="D36" s="28">
        <f>SUMIFS(tbl_BoMiljo[Regnskap],tbl_BoMiljo[Status],"Bokført",tbl_BoMiljo[Periode],"&lt;="&amp;B36)</f>
        <v/>
      </c>
      <c r="E36" s="28" t="n"/>
    </row>
    <row r="37" ht="23" customHeight="1" s="5">
      <c r="B37" s="149" t="inlineStr">
        <is>
          <t>2024-08</t>
        </is>
      </c>
      <c r="C37" s="150">
        <f>SUMIFS(tbl_BoMiljo[Budsjett],tbl_BoMiljo[Periode],"&lt;="&amp;B37)</f>
        <v/>
      </c>
      <c r="D37" s="150">
        <f>SUMIFS(tbl_BoMiljo[Regnskap],tbl_BoMiljo[Status],"Bokført",tbl_BoMiljo[Periode],"&lt;="&amp;B37)</f>
        <v/>
      </c>
      <c r="E37" s="150">
        <f>D37</f>
        <v/>
      </c>
      <c r="F37" s="152">
        <f>IF(ISNUMBER(E37),E37-C37,"")</f>
        <v/>
      </c>
    </row>
    <row r="38" ht="23" customHeight="1" s="5">
      <c r="B38" s="148" t="inlineStr">
        <is>
          <t>2024-09</t>
        </is>
      </c>
      <c r="C38" s="151">
        <f>SUMIFS(tbl_BoMiljo[Budsjett],tbl_BoMiljo[Periode],"&lt;="&amp;B38)</f>
        <v/>
      </c>
      <c r="D38" s="151" t="n"/>
      <c r="E38" s="151">
        <f>$B$6+SUMIFS(tbl_BoMiljo[Budsjett],tbl_BoMiljo[Status],"Gjenstående budsjett",tbl_BoMiljo[Periode],"&lt;="&amp;B38)+$H$6*(VALUE(RIGHT(B38,2))-8)/4</f>
        <v/>
      </c>
      <c r="F38" s="152">
        <f>IF(ISNUMBER(E38),E38-C38,"")</f>
        <v/>
      </c>
    </row>
    <row r="39" ht="23" customHeight="1" s="5">
      <c r="B39" s="148" t="inlineStr">
        <is>
          <t>2024-10</t>
        </is>
      </c>
      <c r="C39" s="151">
        <f>SUMIFS(tbl_BoMiljo[Budsjett],tbl_BoMiljo[Periode],"&lt;="&amp;B39)</f>
        <v/>
      </c>
      <c r="D39" s="151" t="n"/>
      <c r="E39" s="151">
        <f>$B$6+SUMIFS(tbl_BoMiljo[Budsjett],tbl_BoMiljo[Status],"Gjenstående budsjett",tbl_BoMiljo[Periode],"&lt;="&amp;B39)+$H$6*(VALUE(RIGHT(B39,2))-8)/4</f>
        <v/>
      </c>
      <c r="F39" s="152">
        <f>IF(ISNUMBER(E39),E39-C39,"")</f>
        <v/>
      </c>
    </row>
    <row r="40" ht="23" customHeight="1" s="5">
      <c r="B40" s="148" t="inlineStr">
        <is>
          <t>2024-11</t>
        </is>
      </c>
      <c r="C40" s="151">
        <f>SUMIFS(tbl_BoMiljo[Budsjett],tbl_BoMiljo[Periode],"&lt;="&amp;B40)</f>
        <v/>
      </c>
      <c r="D40" s="151" t="n"/>
      <c r="E40" s="151">
        <f>$B$6+SUMIFS(tbl_BoMiljo[Budsjett],tbl_BoMiljo[Status],"Gjenstående budsjett",tbl_BoMiljo[Periode],"&lt;="&amp;B40)+$H$6*(VALUE(RIGHT(B40,2))-8)/4</f>
        <v/>
      </c>
      <c r="F40" s="152">
        <f>IF(ISNUMBER(E40),E40-C40,"")</f>
        <v/>
      </c>
    </row>
    <row r="41" ht="23" customHeight="1" s="5">
      <c r="B41" s="148" t="inlineStr">
        <is>
          <t>2024-12</t>
        </is>
      </c>
      <c r="C41" s="151">
        <f>SUMIFS(tbl_BoMiljo[Budsjett],tbl_BoMiljo[Periode],"&lt;="&amp;B41)</f>
        <v/>
      </c>
      <c r="D41" s="151" t="n"/>
      <c r="E41" s="151">
        <f>$B$6+SUMIFS(tbl_BoMiljo[Budsjett],tbl_BoMiljo[Status],"Gjenstående budsjett",tbl_BoMiljo[Periode],"&lt;="&amp;B41)+$H$6*(VALUE(RIGHT(B41,2))-8)/4</f>
        <v/>
      </c>
      <c r="F41" s="152">
        <f>IF(ISNUMBER(E41),E41-C41,"")</f>
        <v/>
      </c>
    </row>
    <row r="43">
      <c r="B43" t="inlineStr">
        <is>
          <t>Heltrukken regnskapslinje = bokført januar–august. Prognoselinjen starter i august og viser modellert september–desember; ikke bokførte resultater.</t>
        </is>
      </c>
    </row>
    <row r="44">
      <c r="B44" t="inlineStr">
        <is>
          <t>Trendjusteringen fordeles jevnt over fire gjenstående måneder for visualisering. Årsslutt i desember avstemmes mot KPI for EOY-prognose.</t>
        </is>
      </c>
    </row>
    <row r="45">
      <c r="B45" t="inlineStr">
        <is>
          <t>Etiketter på prognoselinjen = akkumulert merforbruk (prognose minus budsjett), ikke linjens prognosebeløp. August er bokført avvik.</t>
        </is>
      </c>
    </row>
  </sheetData>
  <mergeCells count="18">
    <mergeCell ref="E6:F7"/>
    <mergeCell ref="H6:I7"/>
    <mergeCell ref="E10:F10"/>
    <mergeCell ref="H10:I10"/>
    <mergeCell ref="B11:C12"/>
    <mergeCell ref="B5:C5"/>
    <mergeCell ref="B10:C10"/>
    <mergeCell ref="K10:L10"/>
    <mergeCell ref="K6:L7"/>
    <mergeCell ref="E11:F12"/>
    <mergeCell ref="E5:F5"/>
    <mergeCell ref="B15:L18"/>
    <mergeCell ref="B6:C7"/>
    <mergeCell ref="B2:L3"/>
    <mergeCell ref="H5:I5"/>
    <mergeCell ref="H11:I12"/>
    <mergeCell ref="K11:L12"/>
    <mergeCell ref="K5:L5"/>
  </mergeCells>
  <conditionalFormatting sqref="H11:I12">
    <cfRule type="expression" priority="1" dxfId="4">
      <formula>$H$11&lt;=-10%</formula>
    </cfRule>
    <cfRule type="expression" priority="2" dxfId="3">
      <formula>AND($H$11&gt;-10%,$H$11&lt;=-5%)</formula>
    </cfRule>
    <cfRule type="expression" priority="3" dxfId="0">
      <formula>$H$11&gt;-5%</formula>
    </cfRule>
  </conditionalFormatting>
  <conditionalFormatting sqref="E11">
    <cfRule type="expression" priority="4" dxfId="1">
      <formula>AND(ISNUMBER(E11),E11&gt;0)</formula>
    </cfRule>
    <cfRule type="expression" priority="5" dxfId="0">
      <formula>AND(ISNUMBER(E11),E11&lt;0)</formula>
    </cfRule>
  </conditionalFormatting>
  <dataValidations count="1">
    <dataValidation sqref="B20" showDropDown="0" showInputMessage="1" showErrorMessage="1" allowBlank="1" type="decimal">
      <formula1>0</formula1>
      <formula2>1</formula2>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FF0F6B78"/>
    <outlinePr summaryBelow="1" summaryRight="1"/>
    <pageSetUpPr/>
  </sheetPr>
  <dimension ref="A2:Q32"/>
  <sheetViews>
    <sheetView showGridLines="0" zoomScale="80" zoomScaleNormal="80" workbookViewId="0">
      <selection activeCell="A29" sqref="A29:XFD34"/>
    </sheetView>
  </sheetViews>
  <sheetFormatPr baseColWidth="8" defaultRowHeight="14.5"/>
  <cols>
    <col width="14" customWidth="1" style="5" min="1" max="1"/>
    <col width="8.1796875" customWidth="1" style="5" min="2" max="2"/>
    <col width="48.7265625" customWidth="1" style="5" min="3" max="3"/>
    <col width="12.54296875" customWidth="1" style="5" min="4" max="4"/>
    <col width="19.08984375" customWidth="1" style="5" min="5" max="5"/>
    <col width="14.90625" customWidth="1" style="5" min="6" max="7"/>
    <col width="19.81640625" customWidth="1" style="5" min="8" max="8"/>
    <col width="16.7265625" customWidth="1" style="5" min="9" max="10"/>
    <col width="28.7265625" customWidth="1" style="5" min="11" max="11"/>
    <col width="26.36328125" customWidth="1" style="5" min="12" max="12"/>
    <col width="19.08984375" customWidth="1" style="5" min="13" max="13"/>
    <col width="22.7265625" customWidth="1" style="5" min="14" max="14"/>
    <col width="23.08984375" customWidth="1" style="5" min="15" max="15"/>
    <col width="84.7265625" customWidth="1" style="5" min="16" max="16"/>
    <col width="23.26953125" customWidth="1" style="5" min="17" max="17"/>
  </cols>
  <sheetData>
    <row r="2">
      <c r="B2" s="49" t="inlineStr">
        <is>
          <t>3 | ACTION TO TAKE • kandidater, kontroll og beslutning</t>
        </is>
      </c>
    </row>
    <row r="3"/>
    <row r="5" ht="52" customHeight="1" s="5">
      <c r="B5" s="76" t="inlineStr">
        <is>
          <t>ID</t>
        </is>
      </c>
      <c r="C5" s="76" t="inlineStr">
        <is>
          <t>Tiltak</t>
        </is>
      </c>
      <c r="D5" s="76" t="inlineStr">
        <is>
          <t>Horisont</t>
        </is>
      </c>
      <c r="E5" s="76" t="inlineStr">
        <is>
          <t>Effektbase</t>
        </is>
      </c>
      <c r="F5" s="76" t="inlineStr">
        <is>
          <t>Sats</t>
        </is>
      </c>
      <c r="G5" s="76" t="inlineStr">
        <is>
          <t>Sannsynlighet</t>
        </is>
      </c>
      <c r="H5" s="76" t="inlineStr">
        <is>
          <t>EOY-effekt</t>
        </is>
      </c>
      <c r="I5" s="76" t="inlineStr">
        <is>
          <t>Tjenesterisiko</t>
        </is>
      </c>
      <c r="J5" s="76" t="inlineStr">
        <is>
          <t>HR/tariff</t>
        </is>
      </c>
      <c r="K5" s="76" t="inlineStr">
        <is>
          <t>Governance</t>
        </is>
      </c>
      <c r="L5" s="76" t="inlineStr">
        <is>
          <t>Årlig strukturell effekt</t>
        </is>
      </c>
      <c r="M5" s="96" t="inlineStr">
        <is>
          <t>Beslutning</t>
        </is>
      </c>
      <c r="N5" s="96" t="inlineStr">
        <is>
          <t>Kontroll dokumentert</t>
        </is>
      </c>
      <c r="O5" s="96" t="inlineStr">
        <is>
          <t>Godkjent EOY-effekt</t>
        </is>
      </c>
      <c r="P5" s="96" t="inlineStr">
        <is>
          <t>Neste steg / handling</t>
        </is>
      </c>
      <c r="Q5" s="96" t="inlineStr">
        <is>
          <t>Beslutningssignal</t>
        </is>
      </c>
    </row>
    <row r="6" ht="50" customHeight="1" s="5">
      <c r="B6" s="1" t="inlineStr">
        <is>
          <t>T1</t>
        </is>
      </c>
      <c r="C6" s="1" t="inlineStr">
        <is>
          <t>Oppfølging refusjoner og inntektskrav</t>
        </is>
      </c>
      <c r="D6" s="1" t="inlineStr">
        <is>
          <t>Kort</t>
        </is>
      </c>
      <c r="E6" s="104" t="n">
        <v>732705</v>
      </c>
      <c r="F6" s="163" t="n">
        <v>0.08</v>
      </c>
      <c r="G6" s="163" t="n">
        <v>0.85</v>
      </c>
      <c r="H6" s="105" t="n">
        <v>41323.94</v>
      </c>
      <c r="I6" s="163" t="n">
        <v>0.05</v>
      </c>
      <c r="J6" s="163" t="n">
        <v>0.05</v>
      </c>
      <c r="K6" s="3" t="inlineStr">
        <is>
          <t>KREVER FAGKONTROLL</t>
        </is>
      </c>
      <c r="L6" s="106" t="n">
        <v>41323.94</v>
      </c>
      <c r="M6" s="29" t="inlineStr">
        <is>
          <t>Godkjent</t>
        </is>
      </c>
      <c r="N6" s="29" t="inlineStr">
        <is>
          <t>Ja</t>
        </is>
      </c>
      <c r="O6" s="107">
        <f>IF(AND(M6="Godkjent",N6="Ja"),H6,0)</f>
        <v/>
      </c>
      <c r="P6" s="130" t="inlineStr">
        <is>
          <t>Avstem refusjonskrav mot grunnlagsbilag; fagkontroll før inndriving. | Notat: Krav avstemt mot NAV refusjonsportal; 41k bekreftet.</t>
        </is>
      </c>
      <c r="Q6">
        <f>IF(M6="Avvist","AVVIST",IF(AND(M6="Godkjent",N6="Ja"),"GRØNN",IF(N6="Ja","GUL","RØD")))</f>
        <v/>
      </c>
    </row>
    <row r="7" ht="50" customHeight="1" s="5">
      <c r="B7" s="1" t="inlineStr">
        <is>
          <t>T2</t>
        </is>
      </c>
      <c r="C7" s="1" t="inlineStr">
        <is>
          <t>Redusere unødvendig vikarbruk via intern dekning</t>
        </is>
      </c>
      <c r="D7" s="1" t="inlineStr">
        <is>
          <t>Kort</t>
        </is>
      </c>
      <c r="E7" s="104" t="n">
        <v>612450.145</v>
      </c>
      <c r="F7" s="163" t="n">
        <v>0.1</v>
      </c>
      <c r="G7" s="163" t="n">
        <v>0.7</v>
      </c>
      <c r="H7" s="105" t="n">
        <v>28871.51015</v>
      </c>
      <c r="I7" s="163" t="n">
        <v>0.15</v>
      </c>
      <c r="J7" s="163" t="n">
        <v>0.25</v>
      </c>
      <c r="K7" s="3" t="inlineStr">
        <is>
          <t>KREVER HR/TARIFF</t>
        </is>
      </c>
      <c r="L7" s="106" t="n">
        <v>28871.51015</v>
      </c>
      <c r="M7" s="29" t="inlineStr">
        <is>
          <t>Godkjent</t>
        </is>
      </c>
      <c r="N7" s="29" t="inlineStr">
        <is>
          <t>Ja</t>
        </is>
      </c>
      <c r="O7" s="107">
        <f>IF(AND(M7="Godkjent",N7="Ja"),H7,0)</f>
        <v/>
      </c>
      <c r="P7" s="130" t="inlineStr">
        <is>
          <t>Analyser turnus og ledig intern kapasitet; HR/tariff og tjenestekvalitet må godkjenne. | Notat: Drøftet med tillitsvalgt iht. HTA § 4; vikarstopp på dagtid.</t>
        </is>
      </c>
      <c r="Q7">
        <f>IF(M7="Avvist","AVVIST",IF(AND(M7="Godkjent",N7="Ja"),"GRØNN",IF(N7="Ja","GUL","RØD")))</f>
        <v/>
      </c>
    </row>
    <row r="8" ht="50" customHeight="1" s="5">
      <c r="B8" s="1" t="inlineStr">
        <is>
          <t>T3</t>
        </is>
      </c>
      <c r="C8" s="1" t="inlineStr">
        <is>
          <t>Redusere overtid gjennom planlegging</t>
        </is>
      </c>
      <c r="D8" s="1" t="inlineStr">
        <is>
          <t>Kort</t>
        </is>
      </c>
      <c r="E8" s="104" t="n">
        <v>1105443.81</v>
      </c>
      <c r="F8" s="163" t="n">
        <v>0.08</v>
      </c>
      <c r="G8" s="163" t="n">
        <v>0.75</v>
      </c>
      <c r="H8" s="105" t="n">
        <v>55076.62860000001</v>
      </c>
      <c r="I8" s="163" t="n">
        <v>0.15</v>
      </c>
      <c r="J8" s="163" t="n">
        <v>0.25</v>
      </c>
      <c r="K8" s="3" t="inlineStr">
        <is>
          <t>KREVER HR/TARIFF</t>
        </is>
      </c>
      <c r="L8" s="106" t="n">
        <v>55076.62860000001</v>
      </c>
      <c r="M8" s="29" t="inlineStr">
        <is>
          <t>Kandidat</t>
        </is>
      </c>
      <c r="N8" s="29" t="inlineStr">
        <is>
          <t>Nei</t>
        </is>
      </c>
      <c r="O8" s="107">
        <f>IF(AND(M8="Godkjent",N8="Ja"),H8,0)</f>
        <v/>
      </c>
      <c r="P8" s="130" t="inlineStr">
        <is>
          <t>Gjennomgå overtidsårsaker og arbeidsplan; avklar HR/tariff og HMS. | Notat: Drøftes videre i turnusutvalg.</t>
        </is>
      </c>
      <c r="Q8">
        <f>IF(M8="Avvist","AVVIST",IF(AND(M8="Godkjent",N8="Ja"),"GRØNN",IF(N8="Ja","GUL","RØD")))</f>
        <v/>
      </c>
    </row>
    <row r="9" ht="50" customHeight="1" s="5">
      <c r="B9" s="1" t="inlineStr">
        <is>
          <t>T4</t>
        </is>
      </c>
      <c r="C9" s="1" t="inlineStr">
        <is>
          <t>Kontroll av ikke-kritiske kjøp</t>
        </is>
      </c>
      <c r="D9" s="1" t="inlineStr">
        <is>
          <t>Kort</t>
        </is>
      </c>
      <c r="E9" s="104" t="n">
        <v>155776</v>
      </c>
      <c r="F9" s="163" t="n">
        <v>0.1</v>
      </c>
      <c r="G9" s="163" t="n">
        <v>0.9</v>
      </c>
      <c r="H9" s="105" t="n">
        <v>9519.84</v>
      </c>
      <c r="I9" s="163" t="n">
        <v>0.1</v>
      </c>
      <c r="J9" s="163" t="n">
        <v>0.05</v>
      </c>
      <c r="K9" s="3" t="inlineStr">
        <is>
          <t>KREVER FAGKONTROLL</t>
        </is>
      </c>
      <c r="L9" s="106" t="n">
        <v>9519.84</v>
      </c>
      <c r="M9" s="29" t="inlineStr">
        <is>
          <t>Kandidat</t>
        </is>
      </c>
      <c r="N9" s="29" t="inlineStr">
        <is>
          <t>Nei</t>
        </is>
      </c>
      <c r="O9" s="107">
        <f>IF(AND(M9="Godkjent",N9="Ja"),H9,0)</f>
        <v/>
      </c>
      <c r="P9" s="130" t="inlineStr">
        <is>
          <t>Gjennomgå innkjøpslinjer og avtaler; faglig vurdering før endring.</t>
        </is>
      </c>
      <c r="Q9">
        <f>IF(M9="Avvist","AVVIST",IF(AND(M9="Godkjent",N9="Ja"),"GRØNN",IF(N9="Ja","GUL","RØD")))</f>
        <v/>
      </c>
    </row>
    <row r="10" ht="50" customHeight="1" s="5">
      <c r="B10" s="1" t="inlineStr">
        <is>
          <t>T5</t>
        </is>
      </c>
      <c r="C10" s="1" t="inlineStr">
        <is>
          <t>Turnus- og kapasitetsanalyse</t>
        </is>
      </c>
      <c r="D10" s="1" t="inlineStr">
        <is>
          <t>Lang</t>
        </is>
      </c>
      <c r="E10" s="104" t="n">
        <v>4789478.564999999</v>
      </c>
      <c r="F10" s="163" t="n">
        <v>0.02</v>
      </c>
      <c r="G10" s="163" t="n">
        <v>0.6</v>
      </c>
      <c r="H10" s="105" t="n">
        <v>27473.74278</v>
      </c>
      <c r="I10" s="163" t="n">
        <v>0.1</v>
      </c>
      <c r="J10" s="163" t="n">
        <v>0.25</v>
      </c>
      <c r="K10" s="3" t="inlineStr">
        <is>
          <t>KREVER HR/TARIFF</t>
        </is>
      </c>
      <c r="L10" s="106" t="n">
        <v>48079.04986499999</v>
      </c>
      <c r="M10" s="29" t="inlineStr">
        <is>
          <t>Kandidat</t>
        </is>
      </c>
      <c r="N10" s="29" t="inlineStr">
        <is>
          <t>Nei</t>
        </is>
      </c>
      <c r="O10" s="107">
        <f>IF(AND(M10="Godkjent",N10="Ja"),H10,0)</f>
        <v/>
      </c>
      <c r="P10" s="130" t="inlineStr">
        <is>
          <t>Utarbeid kapasitets- og turnusanalyse; HR/tariff og tjenesteleder vurderer.</t>
        </is>
      </c>
      <c r="Q10">
        <f>IF(M10="Avvist","AVVIST",IF(AND(M10="Godkjent",N10="Ja"),"GRØNN",IF(N10="Ja","GUL","RØD")))</f>
        <v/>
      </c>
    </row>
    <row r="11" ht="50" customHeight="1" s="5">
      <c r="B11" s="1" t="inlineStr">
        <is>
          <t>T6</t>
        </is>
      </c>
      <c r="C11" s="1" t="inlineStr">
        <is>
          <t>Digital oppfølging og planprosess</t>
        </is>
      </c>
      <c r="D11" s="1" t="inlineStr">
        <is>
          <t>Lang</t>
        </is>
      </c>
      <c r="E11" s="104" t="n">
        <v>17233691</v>
      </c>
      <c r="F11" s="163" t="n">
        <v>0.005</v>
      </c>
      <c r="G11" s="163" t="n">
        <v>0.6</v>
      </c>
      <c r="H11" s="105" t="n">
        <v>30701.073</v>
      </c>
      <c r="I11" s="163" t="n">
        <v>0.05</v>
      </c>
      <c r="J11" s="163" t="n">
        <v>0.05</v>
      </c>
      <c r="K11" s="3" t="inlineStr">
        <is>
          <t>KREVER FAGKONTROLL</t>
        </is>
      </c>
      <c r="L11" s="106" t="n">
        <v>42981.5022</v>
      </c>
      <c r="M11" s="29" t="inlineStr">
        <is>
          <t>Kandidat</t>
        </is>
      </c>
      <c r="N11" s="29" t="inlineStr">
        <is>
          <t>Nei</t>
        </is>
      </c>
      <c r="O11" s="107">
        <f>IF(AND(M11="Godkjent",N11="Ja"),H11,0)</f>
        <v/>
      </c>
      <c r="P11" s="130" t="inlineStr">
        <is>
          <t>Test digital oppfølgingsprosess i liten skala; fagkontroll og gevinstmåling.</t>
        </is>
      </c>
      <c r="Q11">
        <f>IF(M11="Avvist","AVVIST",IF(AND(M11="Godkjent",N11="Ja"),"GRØNN",IF(N11="Ja","GUL","RØD")))</f>
        <v/>
      </c>
    </row>
    <row r="14" ht="27" customHeight="1" s="5">
      <c r="B14" s="36" t="inlineStr">
        <is>
          <t>STYRINGSKONTROLL</t>
        </is>
      </c>
      <c r="C14" s="48" t="n"/>
      <c r="D14" s="48" t="n"/>
      <c r="E14" s="48" t="n"/>
      <c r="F14" s="48" t="n"/>
      <c r="G14" s="48" t="n"/>
      <c r="H14" s="48" t="n"/>
      <c r="I14" s="48" t="n"/>
      <c r="J14" s="48" t="n"/>
      <c r="K14" s="48" t="n"/>
      <c r="L14" s="48" t="n"/>
      <c r="M14" s="48" t="n"/>
      <c r="N14" s="48" t="n"/>
      <c r="O14" s="48" t="n"/>
      <c r="P14" s="48" t="n"/>
      <c r="Q14" s="48" t="n"/>
    </row>
    <row r="15">
      <c r="B15" t="inlineStr">
        <is>
          <t>Tiltak / antall</t>
        </is>
      </c>
      <c r="E15">
        <f>COUNTA(B6:B11)</f>
        <v/>
      </c>
    </row>
    <row r="16">
      <c r="B16" t="inlineStr">
        <is>
          <t>Modellert EOY-effekt</t>
        </is>
      </c>
      <c r="E16" s="98">
        <f>SUM(H6:H11)</f>
        <v/>
      </c>
    </row>
    <row r="17">
      <c r="B17" t="inlineStr">
        <is>
          <t>Dokumentert og godkjent effekt</t>
        </is>
      </c>
      <c r="E17" s="98">
        <f>SUM(O6:O11)</f>
        <v/>
      </c>
    </row>
    <row r="18">
      <c r="B18" t="inlineStr">
        <is>
          <t>Gjenstår fag-/HR-kontroll</t>
        </is>
      </c>
      <c r="E18">
        <f>COUNTIF(N6:N11,"Nei")</f>
        <v/>
      </c>
    </row>
    <row r="21" ht="27" customHeight="1" s="5">
      <c r="B21" s="36" t="inlineStr">
        <is>
          <t>BEREGNING OG OPPFØLGING</t>
        </is>
      </c>
      <c r="C21" s="48" t="n"/>
      <c r="D21" s="48" t="n"/>
      <c r="E21" s="48" t="n"/>
      <c r="F21" s="48" t="n"/>
      <c r="G21" s="48" t="n"/>
      <c r="H21" s="48" t="n"/>
      <c r="I21" s="48" t="n"/>
      <c r="J21" s="48" t="n"/>
      <c r="K21" s="48" t="n"/>
      <c r="L21" s="48" t="n"/>
      <c r="M21" s="48" t="n"/>
      <c r="N21" s="48" t="n"/>
      <c r="O21" s="48" t="n"/>
      <c r="P21" s="48" t="n"/>
      <c r="Q21" s="48" t="n"/>
    </row>
    <row r="22">
      <c r="B22" t="inlineStr">
        <is>
          <t>Effektbase, satser, sannsynlighet, risiko og H/L er eksisterende modellestimater – ikke dokumenterte realiserte besparelser.</t>
        </is>
      </c>
    </row>
    <row r="23">
      <c r="B23" t="inlineStr">
        <is>
          <t>H = modellert effekt inneværende år; L = tidligere estimert årlig effekt. Modellen for disse inngangstallene er ikke dokumentert i rådata.</t>
        </is>
      </c>
    </row>
    <row r="24">
      <c r="B24" t="inlineStr">
        <is>
          <t>Godkjent effekt i O beregnes først når beslutning = Godkjent OG kontroll dokumentert = Ja. Registrer bare Ja etter fag-/HR-/HMS-/fullmaktskontroll.</t>
        </is>
      </c>
    </row>
    <row r="25">
      <c r="B25" t="inlineStr">
        <is>
          <t>Vurder mulig dobbelttelling mellom vikar, overtid, turnus og refusjoner før godkjenning; følg opp faktisk effekt mot regnskap.</t>
        </is>
      </c>
    </row>
    <row r="26">
      <c r="B26" t="inlineStr">
        <is>
          <t>Kontrollflagg i K er opprinnelig behovsvurdering, ikke dokumentasjon på gjennomført kontroll.</t>
        </is>
      </c>
    </row>
    <row r="27">
      <c r="B27" s="15" t="inlineStr">
        <is>
          <t>Beslutningssignal: RØD = kontroll ikke dokumentert; GUL = kontroll dokumentert, ikke godkjent; GRØNN = godkjent og kontroll dokumentert; AVVIST separat.</t>
        </is>
      </c>
    </row>
    <row r="30">
      <c r="B30" s="8" t="inlineStr">
        <is>
          <t>Viktig: Tiltakene er kandidattiltak og modellestimater. Før et tiltak inngår i anbefalt tiltakspakke må relevant fag-, HR/tariff-, HMS-, fullmakts- og eventuelt juridisk kontroll være gjennomført.</t>
        </is>
      </c>
    </row>
    <row r="31"/>
    <row r="32"/>
  </sheetData>
  <mergeCells count="2">
    <mergeCell ref="B2:L3"/>
    <mergeCell ref="B30:L32"/>
  </mergeCells>
  <conditionalFormatting sqref="Q6:Q11">
    <cfRule type="expression" priority="1" dxfId="4">
      <formula>$Q6="RØD"</formula>
    </cfRule>
    <cfRule type="expression" priority="2" dxfId="3">
      <formula>$Q6="GUL"</formula>
    </cfRule>
    <cfRule type="expression" priority="3" dxfId="0">
      <formula>$Q6="GRØNN"</formula>
    </cfRule>
    <cfRule type="expression" priority="4" dxfId="5">
      <formula>$Q6="AVVIST"</formula>
    </cfRule>
  </conditionalFormatting>
  <conditionalFormatting sqref="H6:H11">
    <cfRule type="dataBar" priority="5">
      <dataBar>
        <cfvo type="min"/>
        <cfvo type="max"/>
        <color rgb="FF638EC6"/>
      </dataBar>
    </cfRule>
  </conditionalFormatting>
  <conditionalFormatting sqref="O6:O11">
    <cfRule type="dataBar" priority="6">
      <dataBar>
        <cfvo type="min"/>
        <cfvo type="max"/>
        <color rgb="FF638EC6"/>
      </dataBar>
    </cfRule>
  </conditionalFormatting>
  <dataValidations count="2">
    <dataValidation sqref="M6:M11" showDropDown="0" showInputMessage="1" showErrorMessage="1" allowBlank="1" type="list">
      <formula1>"Kandidat,Godkjent,Avvist"</formula1>
    </dataValidation>
    <dataValidation sqref="N6:N11" showDropDown="0" showInputMessage="1" showErrorMessage="1" allowBlank="1" type="list">
      <formula1>"Nei,Ja"</formula1>
    </dataValidation>
  </dataValidations>
  <pageMargins left="0.75" right="0.75" top="1" bottom="1" header="0.5" footer="0.5"/>
</worksheet>
</file>

<file path=xl/worksheets/sheet5.xml><?xml version="1.0" encoding="utf-8"?>
<worksheet xmlns="http://schemas.openxmlformats.org/spreadsheetml/2006/main">
  <sheetPr>
    <tabColor rgb="FF70AD47"/>
    <outlinePr summaryBelow="1" summaryRight="1"/>
    <pageSetUpPr/>
  </sheetPr>
  <dimension ref="B2:L114"/>
  <sheetViews>
    <sheetView showGridLines="0" topLeftCell="A44" zoomScale="80" zoomScaleNormal="80" workbookViewId="0">
      <selection activeCell="F34" sqref="F34"/>
    </sheetView>
  </sheetViews>
  <sheetFormatPr baseColWidth="8" defaultRowHeight="14.5"/>
  <cols>
    <col width="14" customWidth="1" style="5" min="1" max="1"/>
    <col width="40" customWidth="1" style="5" min="2" max="2"/>
    <col width="23.54296875" customWidth="1" style="5" min="3" max="3"/>
    <col width="22.7265625" customWidth="1" style="5" min="4" max="5"/>
    <col width="25.453125" customWidth="1" style="5" min="6" max="7"/>
    <col width="27.26953125" customWidth="1" style="5" min="8" max="8"/>
    <col width="16.90625" customWidth="1" style="5" min="9" max="9"/>
    <col width="14" customWidth="1" style="5" min="10" max="13"/>
  </cols>
  <sheetData>
    <row r="2">
      <c r="B2" s="49" t="inlineStr">
        <is>
          <t>4 | NY PROGNOSE • scenario og godkjent effekt</t>
        </is>
      </c>
    </row>
    <row r="3"/>
    <row r="5">
      <c r="B5" s="77" t="inlineStr">
        <is>
          <t>EOY avvik før tiltak</t>
        </is>
      </c>
      <c r="E5" s="81" t="inlineStr">
        <is>
          <t>Scenario: alle kandidater (ikke godkjent)</t>
        </is>
      </c>
      <c r="H5" s="77" t="inlineStr">
        <is>
          <t>Scenario: restavvik etter kandidater</t>
        </is>
      </c>
      <c r="K5" s="51" t="inlineStr">
        <is>
          <t>Lukket andel</t>
        </is>
      </c>
    </row>
    <row r="6">
      <c r="B6" s="111">
        <f>'2 Prognose EOY'!E11</f>
        <v/>
      </c>
      <c r="E6" s="114">
        <f>'3 AI tiltak og effekt'!E16</f>
        <v/>
      </c>
      <c r="H6" s="111">
        <f>B6-E6</f>
        <v/>
      </c>
      <c r="K6" s="164">
        <f>IFERROR(E6/B6,0)</f>
        <v/>
      </c>
    </row>
    <row r="7"/>
    <row r="11">
      <c r="B11" s="9" t="inlineStr">
        <is>
          <t>Ny prognose er ikke et nytt budsjett. Øvre rad viser et hypotetisk scenario der alle seks kandidater gir anslått effekt. Det godkjente sporet under viser bare effekt fra tiltak som både er godkjent og kontrollert; restavviket må fortsatt følges opp.</t>
        </is>
      </c>
    </row>
    <row r="12"/>
    <row r="13"/>
    <row r="14"/>
    <row r="16">
      <c r="B16" s="36" t="inlineStr">
        <is>
          <t>GODKJENT SPOR</t>
        </is>
      </c>
      <c r="C16" s="48" t="n"/>
      <c r="D16" s="48" t="n"/>
      <c r="E16" s="48" t="n"/>
      <c r="F16" s="48" t="n"/>
      <c r="G16" s="48" t="n"/>
      <c r="H16" s="48" t="n"/>
      <c r="I16" s="48" t="n"/>
      <c r="J16" s="48" t="n"/>
      <c r="K16" s="48" t="n"/>
      <c r="L16" s="48" t="n"/>
    </row>
    <row r="17">
      <c r="B17" t="inlineStr">
        <is>
          <t>Årsprognose før tiltak</t>
        </is>
      </c>
      <c r="E17" s="98">
        <f>'2 Prognose EOY'!K6</f>
        <v/>
      </c>
      <c r="H17" t="inlineStr">
        <is>
          <t>Restavvik / årsbudsjett</t>
        </is>
      </c>
      <c r="K17" s="165">
        <f>IFERROR(-E20/'2 Prognose EOY'!B11,0)</f>
        <v/>
      </c>
    </row>
    <row r="18">
      <c r="B18" t="inlineStr">
        <is>
          <t>Godkjent EOY-effekt</t>
        </is>
      </c>
      <c r="E18" s="98">
        <f>'3 AI tiltak og effekt'!E17</f>
        <v/>
      </c>
    </row>
    <row r="19">
      <c r="B19" t="inlineStr">
        <is>
          <t>Årsprognose etter godkjente tiltak</t>
        </is>
      </c>
      <c r="E19" s="98">
        <f>E17-E18</f>
        <v/>
      </c>
    </row>
    <row r="20">
      <c r="B20" t="inlineStr">
        <is>
          <t>Restavvik mot årsbudsjett</t>
        </is>
      </c>
      <c r="E20" s="115">
        <f>E19-'2 Prognose EOY'!B11</f>
        <v/>
      </c>
    </row>
    <row r="21">
      <c r="B21" t="inlineStr">
        <is>
          <t>Godkjente tiltak (antall)</t>
        </is>
      </c>
      <c r="E21">
        <f>COUNTIFS('3 AI tiltak og effekt'!M6:M11,"Godkjent",'3 AI tiltak og effekt'!N6:N11,"Ja")</f>
        <v/>
      </c>
    </row>
    <row r="24">
      <c r="B24" t="inlineStr">
        <is>
          <t>Øverste rad er et hypotetisk fullt kandidat-scenario, ikke en vedtatt gevinst. Godkjent spor nedenfor teller kun dokumenterte godkjenninger.</t>
        </is>
      </c>
    </row>
    <row r="25">
      <c r="B25" t="inlineStr">
        <is>
          <t>Inngangsestimatene for tiltak er ikke automatisk oppdatert fra rådata. Revider dem etter hvert regnskapsuttak og kontroller dobbelttelling.</t>
        </is>
      </c>
    </row>
    <row r="27" ht="32" customHeight="1" s="5">
      <c r="B27" s="134" t="inlineStr">
        <is>
          <t>SCENARIOBRO  |  årsprognose og restavvik i kroner</t>
        </is>
      </c>
      <c r="C27" s="132" t="n"/>
      <c r="D27" s="132" t="n"/>
      <c r="E27" s="132" t="n"/>
      <c r="F27" s="132" t="n"/>
      <c r="G27" s="132" t="n"/>
      <c r="H27" s="132" t="n"/>
      <c r="I27" s="132" t="n"/>
      <c r="J27" s="132" t="n"/>
      <c r="K27" s="132" t="n"/>
      <c r="L27" s="132" t="n"/>
    </row>
    <row r="29" ht="29" customHeight="1" s="5">
      <c r="B29" s="135" t="inlineStr">
        <is>
          <t>Utfallsbane</t>
        </is>
      </c>
      <c r="C29" s="135" t="inlineStr">
        <is>
          <t>Årsprognose (kr)</t>
        </is>
      </c>
      <c r="D29" s="135" t="inlineStr">
        <is>
          <t>Tiltakseffekt (kr)</t>
        </is>
      </c>
      <c r="E29" s="135" t="inlineStr">
        <is>
          <t>Restavvik (kr)</t>
        </is>
      </c>
      <c r="G29" s="145" t="inlineStr">
        <is>
          <t>Mulig lukket andel · hypotese</t>
        </is>
      </c>
      <c r="J29" s="146" t="inlineStr">
        <is>
          <t>Lukket med godkjente tiltak</t>
        </is>
      </c>
    </row>
    <row r="30" ht="29" customHeight="1" s="5">
      <c r="B30" t="inlineStr">
        <is>
          <t>Før nye tiltak</t>
        </is>
      </c>
      <c r="C30" s="28">
        <f>'2 Prognose EOY'!K6</f>
        <v/>
      </c>
      <c r="D30" s="28">
        <f>0</f>
        <v/>
      </c>
      <c r="E30" s="166">
        <f>C30-'2 Prognose EOY'!B11</f>
        <v/>
      </c>
      <c r="G30" s="167">
        <f>IFERROR(D31/E30,0)</f>
        <v/>
      </c>
      <c r="J30" s="168">
        <f>IFERROR(D32/E30,0)</f>
        <v/>
      </c>
    </row>
    <row r="31" ht="29" customHeight="1" s="5">
      <c r="B31" s="141" t="inlineStr">
        <is>
          <t>Alle kandidater · hypotese</t>
        </is>
      </c>
      <c r="C31" s="138">
        <f>'2 Prognose EOY'!K6-'3 AI tiltak og effekt'!E16</f>
        <v/>
      </c>
      <c r="D31" s="138">
        <f>'3 AI tiltak og effekt'!E16</f>
        <v/>
      </c>
      <c r="E31" s="169">
        <f>C31-'2 Prognose EOY'!B11</f>
        <v/>
      </c>
    </row>
    <row r="32" ht="27" customHeight="1" s="5">
      <c r="B32" s="143" t="inlineStr">
        <is>
          <t>Kun dokumentert godkjent</t>
        </is>
      </c>
      <c r="C32" s="139">
        <f>'4 Ny Prognose EOY'!E19</f>
        <v/>
      </c>
      <c r="D32" s="139">
        <f>'3 AI tiltak og effekt'!E17</f>
        <v/>
      </c>
      <c r="E32" s="170">
        <f>C32-'2 Prognose EOY'!B11</f>
        <v/>
      </c>
    </row>
    <row r="33">
      <c r="G33" s="147" t="inlineStr">
        <is>
          <t>Forskjellen er ikke en realisert eller godkjent gevinst.</t>
        </is>
      </c>
    </row>
    <row r="34">
      <c r="B34" s="140" t="inlineStr">
        <is>
          <t>FAKTISK BESLUTNINGSGRUNNLAG</t>
        </is>
      </c>
      <c r="C34" s="143" t="n"/>
      <c r="D34" s="143" t="n"/>
      <c r="E34" s="143" t="n"/>
      <c r="F34" s="143" t="n"/>
      <c r="G34" s="143" t="n"/>
      <c r="H34" s="143" t="n"/>
      <c r="I34" s="143" t="n"/>
      <c r="J34" s="143" t="n"/>
      <c r="K34" s="143" t="n"/>
      <c r="L34" s="143" t="n"/>
    </row>
    <row r="35">
      <c r="B35" t="inlineStr">
        <is>
          <t>Kandidatscenario er ikke en vedtatt besparelse. Sammenlign først godkjent spor med årsbudsjettet.</t>
        </is>
      </c>
    </row>
    <row r="36">
      <c r="B36" t="inlineStr">
        <is>
          <t>Oppfølging: kontrollér overlapp mellom vikar, overtid og turnus, dokumenter vedtak, og mål faktisk realisert effekt.</t>
        </is>
      </c>
    </row>
    <row r="37">
      <c r="B37" s="12" t="inlineStr">
        <is>
          <t>Bare tiltak som både har beslutningen «Godkjent» og dokumentert kontroll «Ja», får redusere prognosen.</t>
        </is>
      </c>
      <c r="C37" s="12" t="n"/>
      <c r="D37" s="12" t="n"/>
      <c r="E37" s="12" t="n"/>
    </row>
    <row r="56" ht="30" customHeight="1" s="5">
      <c r="B56" s="133" t="inlineStr">
        <is>
          <t>SLIK LESER DU DIAGRAMMET</t>
        </is>
      </c>
      <c r="C56" s="132" t="n"/>
      <c r="D56" s="132" t="n"/>
      <c r="E56" s="132" t="n"/>
      <c r="F56" s="132" t="n"/>
      <c r="G56" s="132" t="n"/>
      <c r="H56" s="132" t="n"/>
      <c r="I56" s="132" t="n"/>
      <c r="J56" s="132" t="n"/>
      <c r="K56" s="132" t="n"/>
      <c r="L56" s="132" t="n"/>
    </row>
    <row r="58" ht="21" customHeight="1" s="5">
      <c r="B58" s="130" t="inlineStr">
        <is>
          <t>Restavvik = årsprognose − årsbudsjett. Positivt beløp betyr merforbruk; diagrammet starter på null for proporsjonal sammenligning.</t>
        </is>
      </c>
    </row>
    <row r="59" ht="21" customHeight="1" s="5"/>
    <row r="60" ht="21" customHeight="1" s="5">
      <c r="B60" s="130" t="inlineStr">
        <is>
          <t>Før tiltak: bokført regnskap + gjenstående budsjett + trendjustering. Trendandel er redigerbar på prognosearket.</t>
        </is>
      </c>
    </row>
    <row r="61" ht="21" customHeight="1" s="5"/>
    <row r="62" ht="21" customHeight="1" s="5">
      <c r="B62" s="130" t="inlineStr">
        <is>
          <t>Alle kandidater: seks eksisterende modellanslag trekkes fra prognosen som et hypotetisk fullt utfall, ikke som vedtak.</t>
        </is>
      </c>
    </row>
    <row r="63" ht="21" customHeight="1" s="5"/>
    <row r="64" ht="21" customHeight="1" s="5">
      <c r="B64" s="130" t="inlineStr">
        <is>
          <t>Godkjent spor: kun effekt fra tiltak med «Godkjent» OG dokumentert kontroll «Ja» trekkes fra prognosen.</t>
        </is>
      </c>
    </row>
    <row r="65" ht="21" customHeight="1" s="5"/>
    <row r="66" ht="21" customHeight="1" s="5">
      <c r="B66" s="130" t="inlineStr">
        <is>
          <t>Estimert effekt er ikke realisert regnskapseffekt. Forutsetninger, tjenestekvalitet og mulig dobbelttelling må vurderes før iverksetting.</t>
        </is>
      </c>
    </row>
    <row r="67" ht="21" customHeight="1" s="5"/>
    <row r="69" ht="32" customHeight="1" s="5">
      <c r="B69" s="134" t="inlineStr">
        <is>
          <t>NY ÅRSSLUTTKURVE  |  godkjent effekt mot kandidatpotensial</t>
        </is>
      </c>
      <c r="C69" s="132" t="n"/>
      <c r="D69" s="132" t="n"/>
      <c r="E69" s="132" t="n"/>
      <c r="F69" s="132" t="n"/>
      <c r="G69" s="132" t="n"/>
      <c r="H69" s="132" t="n"/>
      <c r="I69" s="132" t="n"/>
      <c r="J69" s="132" t="n"/>
      <c r="K69" s="132" t="n"/>
      <c r="L69" s="132" t="n"/>
    </row>
    <row r="71" ht="30" customHeight="1" s="5">
      <c r="B71" s="135" t="inlineStr">
        <is>
          <t>Periode</t>
        </is>
      </c>
      <c r="C71" s="135" t="inlineStr">
        <is>
          <t>Budsjett YTD</t>
        </is>
      </c>
      <c r="D71" s="135" t="inlineStr">
        <is>
          <t>Bokført YTD</t>
        </is>
      </c>
      <c r="E71" s="135" t="inlineStr">
        <is>
          <t>Før tiltak</t>
        </is>
      </c>
      <c r="F71" s="135" t="inlineStr">
        <is>
          <t>Godkjent prognose</t>
        </is>
      </c>
      <c r="G71" s="135" t="inlineStr">
        <is>
          <t>Alle kandidater · hypotese</t>
        </is>
      </c>
      <c r="H71" s="135" t="inlineStr">
        <is>
          <t>Godkjent merforbruk YTD (kr)</t>
        </is>
      </c>
    </row>
    <row r="72" ht="23" customHeight="1" s="5">
      <c r="B72">
        <f>'2 Prognose EOY'!B30</f>
        <v/>
      </c>
      <c r="C72" s="28">
        <f>'2 Prognose EOY'!C30</f>
        <v/>
      </c>
      <c r="D72" s="28">
        <f>'2 Prognose EOY'!D30</f>
        <v/>
      </c>
      <c r="E72" s="28" t="n"/>
      <c r="F72" s="28" t="n"/>
      <c r="G72" s="28" t="n"/>
    </row>
    <row r="73" ht="23" customHeight="1" s="5">
      <c r="B73">
        <f>'2 Prognose EOY'!B31</f>
        <v/>
      </c>
      <c r="C73" s="28">
        <f>'2 Prognose EOY'!C31</f>
        <v/>
      </c>
      <c r="D73" s="28">
        <f>'2 Prognose EOY'!D31</f>
        <v/>
      </c>
      <c r="E73" s="28" t="n"/>
      <c r="F73" s="28" t="n"/>
      <c r="G73" s="28" t="n"/>
    </row>
    <row r="74" ht="23" customHeight="1" s="5">
      <c r="B74">
        <f>'2 Prognose EOY'!B32</f>
        <v/>
      </c>
      <c r="C74" s="28">
        <f>'2 Prognose EOY'!C32</f>
        <v/>
      </c>
      <c r="D74" s="28">
        <f>'2 Prognose EOY'!D32</f>
        <v/>
      </c>
      <c r="E74" s="28" t="n"/>
      <c r="F74" s="28" t="n"/>
      <c r="G74" s="28" t="n"/>
    </row>
    <row r="75" ht="23" customHeight="1" s="5">
      <c r="B75">
        <f>'2 Prognose EOY'!B33</f>
        <v/>
      </c>
      <c r="C75" s="28">
        <f>'2 Prognose EOY'!C33</f>
        <v/>
      </c>
      <c r="D75" s="28">
        <f>'2 Prognose EOY'!D33</f>
        <v/>
      </c>
      <c r="E75" s="28" t="n"/>
      <c r="F75" s="28" t="n"/>
      <c r="G75" s="28" t="n"/>
    </row>
    <row r="76" ht="23" customHeight="1" s="5">
      <c r="B76">
        <f>'2 Prognose EOY'!B34</f>
        <v/>
      </c>
      <c r="C76" s="28">
        <f>'2 Prognose EOY'!C34</f>
        <v/>
      </c>
      <c r="D76" s="28">
        <f>'2 Prognose EOY'!D34</f>
        <v/>
      </c>
      <c r="E76" s="28" t="n"/>
      <c r="F76" s="28" t="n"/>
      <c r="G76" s="28" t="n"/>
    </row>
    <row r="77" ht="23" customHeight="1" s="5">
      <c r="B77">
        <f>'2 Prognose EOY'!B35</f>
        <v/>
      </c>
      <c r="C77" s="28">
        <f>'2 Prognose EOY'!C35</f>
        <v/>
      </c>
      <c r="D77" s="28">
        <f>'2 Prognose EOY'!D35</f>
        <v/>
      </c>
      <c r="E77" s="28" t="n"/>
      <c r="F77" s="28" t="n"/>
      <c r="G77" s="28" t="n"/>
    </row>
    <row r="78" ht="23" customHeight="1" s="5">
      <c r="B78">
        <f>'2 Prognose EOY'!B36</f>
        <v/>
      </c>
      <c r="C78" s="28">
        <f>'2 Prognose EOY'!C36</f>
        <v/>
      </c>
      <c r="D78" s="28">
        <f>'2 Prognose EOY'!D36</f>
        <v/>
      </c>
      <c r="E78" s="28" t="n"/>
      <c r="F78" s="28" t="n"/>
      <c r="G78" s="28" t="n"/>
    </row>
    <row r="79" ht="23" customHeight="1" s="5">
      <c r="B79" s="155">
        <f>'2 Prognose EOY'!B37</f>
        <v/>
      </c>
      <c r="C79" s="156">
        <f>'2 Prognose EOY'!C37</f>
        <v/>
      </c>
      <c r="D79" s="156">
        <f>'2 Prognose EOY'!D37</f>
        <v/>
      </c>
      <c r="E79" s="156">
        <f>'2 Prognose EOY'!E37</f>
        <v/>
      </c>
      <c r="F79" s="156">
        <f>E79</f>
        <v/>
      </c>
      <c r="G79" s="156">
        <f>E79</f>
        <v/>
      </c>
      <c r="H79" s="152">
        <f>IF(ISNUMBER(F79),F79-C79,"")</f>
        <v/>
      </c>
    </row>
    <row r="80" ht="23" customHeight="1" s="5">
      <c r="B80" s="153">
        <f>'2 Prognose EOY'!B38</f>
        <v/>
      </c>
      <c r="C80" s="154">
        <f>'2 Prognose EOY'!C38</f>
        <v/>
      </c>
      <c r="D80" s="154" t="n"/>
      <c r="E80" s="154">
        <f>'2 Prognose EOY'!E38</f>
        <v/>
      </c>
      <c r="F80" s="154">
        <f>E80-$E$18*(VALUE(RIGHT(B80,2))-8)/4</f>
        <v/>
      </c>
      <c r="G80" s="154">
        <f>E80-$E$6*(VALUE(RIGHT(B80,2))-8)/4</f>
        <v/>
      </c>
      <c r="H80" s="152">
        <f>IF(ISNUMBER(F80),F80-C80,"")</f>
        <v/>
      </c>
    </row>
    <row r="81" ht="23" customHeight="1" s="5">
      <c r="B81" s="153">
        <f>'2 Prognose EOY'!B39</f>
        <v/>
      </c>
      <c r="C81" s="154">
        <f>'2 Prognose EOY'!C39</f>
        <v/>
      </c>
      <c r="D81" s="154" t="n"/>
      <c r="E81" s="154">
        <f>'2 Prognose EOY'!E39</f>
        <v/>
      </c>
      <c r="F81" s="154">
        <f>E81-$E$18*(VALUE(RIGHT(B81,2))-8)/4</f>
        <v/>
      </c>
      <c r="G81" s="154">
        <f>E81-$E$6*(VALUE(RIGHT(B81,2))-8)/4</f>
        <v/>
      </c>
      <c r="H81" s="152">
        <f>IF(ISNUMBER(F81),F81-C81,"")</f>
        <v/>
      </c>
    </row>
    <row r="82" ht="23" customHeight="1" s="5">
      <c r="B82" s="153">
        <f>'2 Prognose EOY'!B40</f>
        <v/>
      </c>
      <c r="C82" s="154">
        <f>'2 Prognose EOY'!C40</f>
        <v/>
      </c>
      <c r="D82" s="154" t="n"/>
      <c r="E82" s="154">
        <f>'2 Prognose EOY'!E40</f>
        <v/>
      </c>
      <c r="F82" s="154">
        <f>E82-$E$18*(VALUE(RIGHT(B82,2))-8)/4</f>
        <v/>
      </c>
      <c r="G82" s="154">
        <f>E82-$E$6*(VALUE(RIGHT(B82,2))-8)/4</f>
        <v/>
      </c>
      <c r="H82" s="152">
        <f>IF(ISNUMBER(F82),F82-C82,"")</f>
        <v/>
      </c>
    </row>
    <row r="83" ht="23" customHeight="1" s="5">
      <c r="B83" s="153">
        <f>'2 Prognose EOY'!B41</f>
        <v/>
      </c>
      <c r="C83" s="154">
        <f>'2 Prognose EOY'!C41</f>
        <v/>
      </c>
      <c r="D83" s="154" t="n"/>
      <c r="E83" s="154">
        <f>'2 Prognose EOY'!E41</f>
        <v/>
      </c>
      <c r="F83" s="154">
        <f>E83-$E$18*(VALUE(RIGHT(B83,2))-8)/4</f>
        <v/>
      </c>
      <c r="G83" s="154">
        <f>E83-$E$6*(VALUE(RIGHT(B83,2))-8)/4</f>
        <v/>
      </c>
      <c r="H83" s="152">
        <f>IF(ISNUMBER(F83),F83-C83,"")</f>
        <v/>
      </c>
    </row>
    <row r="85">
      <c r="B85" t="inlineStr">
        <is>
          <t>Bokført t.o.m. august. September–desember er scenarier, ikke nye regnskapstall. Kandidatbanen er hypotetisk og ikke vedtatt.</t>
        </is>
      </c>
    </row>
    <row r="86">
      <c r="B86" t="inlineStr">
        <is>
          <t>Illustrasjonsregel: effekt fases inn med ¼ per gjenstående måned. Godkjent bane trekker kun fra dokumentert godkjent EOY-effekt; endepunkt = E19.</t>
        </is>
      </c>
    </row>
    <row r="87">
      <c r="B87" t="inlineStr">
        <is>
          <t>Etiketter på oransje godkjent prognoselinje = akkumulert merforbruk mot budsjett, ikke prognosebeløpet. 0 godkjente tiltak gir samme bane som før tiltak.</t>
        </is>
      </c>
    </row>
    <row r="114">
      <c r="B114" t="inlineStr">
        <is>
          <t>Godkjent prognose er foreløpig identisk med «før tiltak»: 0 av 6 tiltak er dokumentert godkjent. Oransje kurve er et hypotetisk fullt kandidatscenario.</t>
        </is>
      </c>
    </row>
  </sheetData>
  <mergeCells count="20">
    <mergeCell ref="E6:F7"/>
    <mergeCell ref="B60:L61"/>
    <mergeCell ref="E5:F5"/>
    <mergeCell ref="K5:L5"/>
    <mergeCell ref="B6:C7"/>
    <mergeCell ref="G33:L33"/>
    <mergeCell ref="B64:L65"/>
    <mergeCell ref="G29:I29"/>
    <mergeCell ref="B66:L67"/>
    <mergeCell ref="K6:L7"/>
    <mergeCell ref="J30:L31"/>
    <mergeCell ref="B62:L63"/>
    <mergeCell ref="J29:L29"/>
    <mergeCell ref="H6:I7"/>
    <mergeCell ref="B5:C5"/>
    <mergeCell ref="G30:I31"/>
    <mergeCell ref="B2:L3"/>
    <mergeCell ref="H5:I5"/>
    <mergeCell ref="B11:L14"/>
    <mergeCell ref="B58:L59"/>
  </mergeCells>
  <conditionalFormatting sqref="K17">
    <cfRule type="expression" priority="1" dxfId="4">
      <formula>$K$17&lt;=-10%</formula>
    </cfRule>
    <cfRule type="expression" priority="2" dxfId="3">
      <formula>AND($K$17&gt;-10%,$K$17&lt;=-5%)</formula>
    </cfRule>
    <cfRule type="expression" priority="3" dxfId="0">
      <formula>$K$17&gt;-5%</formula>
    </cfRule>
  </conditionalFormatting>
  <conditionalFormatting sqref="E20">
    <cfRule type="expression" priority="4" dxfId="1">
      <formula>AND(ISNUMBER(E20),E20&gt;0)</formula>
    </cfRule>
    <cfRule type="expression" priority="5" dxfId="0">
      <formula>AND(ISNUMBER(E20),E20&lt;0)</formula>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FF5B9BD5"/>
    <outlinePr summaryBelow="1" summaryRight="1"/>
    <pageSetUpPr/>
  </sheetPr>
  <dimension ref="B2:L49"/>
  <sheetViews>
    <sheetView showGridLines="0" zoomScale="80" zoomScaleNormal="80" workbookViewId="0">
      <selection activeCell="H16" sqref="H16"/>
    </sheetView>
  </sheetViews>
  <sheetFormatPr baseColWidth="8" defaultRowHeight="14.5"/>
  <cols>
    <col width="14" customWidth="1" style="5" min="1" max="1"/>
    <col width="30.54296875" customWidth="1" style="5" min="2" max="2"/>
    <col width="21.6328125" customWidth="1" style="5" min="3" max="4"/>
    <col width="16" customWidth="1" style="5" min="5" max="5"/>
    <col width="15.453125" customWidth="1" style="5" min="6" max="6"/>
    <col width="24" customWidth="1" style="5" min="7" max="7"/>
    <col width="6.90625" customWidth="1" style="5" min="8" max="8"/>
    <col width="24.54296875" customWidth="1" style="5" min="9" max="9"/>
    <col width="14" customWidth="1" style="5" min="10" max="13"/>
  </cols>
  <sheetData>
    <row r="2">
      <c r="B2" s="49" t="inlineStr">
        <is>
          <t>5 | LANGSIKTIGE TILTAK - strukturell effekt over tid</t>
        </is>
      </c>
    </row>
    <row r="3"/>
    <row r="5">
      <c r="B5" s="57" t="inlineStr">
        <is>
          <t>Langsiktig EOY-effekt inneværende år</t>
        </is>
      </c>
      <c r="E5" s="57" t="inlineStr">
        <is>
          <t>Estimert helårseffekt neste år</t>
        </is>
      </c>
      <c r="H5" s="51" t="inlineStr">
        <is>
          <t>Tidshorisont</t>
        </is>
      </c>
      <c r="K5" s="51" t="inlineStr">
        <is>
          <t>Formål</t>
        </is>
      </c>
    </row>
    <row r="6">
      <c r="B6" s="110">
        <f>SUMIF('3 AI tiltak og effekt'!D6:D11,"Lang",'3 AI tiltak og effekt'!H6:H11)</f>
        <v/>
      </c>
      <c r="E6" s="110">
        <f>SUMIF('3 AI tiltak og effekt'!D6:D11,"Lang",'3 AI tiltak og effekt'!L6:L11)</f>
        <v/>
      </c>
      <c r="H6" s="171" t="inlineStr">
        <is>
          <t>1-4 år</t>
        </is>
      </c>
      <c r="K6" s="171" t="inlineStr">
        <is>
          <t>Varig balanse</t>
        </is>
      </c>
    </row>
    <row r="7"/>
    <row r="9" ht="29" customHeight="1" s="5">
      <c r="B9" s="126" t="inlineStr">
        <is>
          <t>TO LANGSIKTIGE KANDIDATER | modellanslag, ikke vedtatt effekt</t>
        </is>
      </c>
      <c r="C9" s="125" t="n"/>
      <c r="D9" s="125" t="n"/>
      <c r="E9" s="125" t="n"/>
      <c r="F9" s="125" t="n"/>
      <c r="G9" s="125" t="n"/>
      <c r="H9" s="125" t="n"/>
      <c r="I9" s="125" t="n"/>
      <c r="J9" s="125" t="n"/>
      <c r="K9" s="125" t="n"/>
      <c r="L9" s="125" t="n"/>
    </row>
    <row r="11">
      <c r="B11" s="126" t="inlineStr">
        <is>
          <t>Tiltak</t>
        </is>
      </c>
      <c r="C11" s="126" t="inlineStr">
        <is>
          <t>EOY-estimat (kr)</t>
        </is>
      </c>
      <c r="D11" s="126" t="inlineStr">
        <is>
          <t>Helårsestimat (kr)</t>
        </is>
      </c>
      <c r="E11" s="126" t="inlineStr">
        <is>
          <t>Beslutning</t>
        </is>
      </c>
      <c r="F11" s="126" t="inlineStr">
        <is>
          <t>Kontroll</t>
        </is>
      </c>
      <c r="G11" s="126" t="inlineStr">
        <is>
          <t>Godkjent helår (kr)</t>
        </is>
      </c>
      <c r="I11" t="inlineStr">
        <is>
          <t>MER ÅRLIG POTENSIAL</t>
        </is>
      </c>
    </row>
    <row r="12">
      <c r="B12" t="inlineStr">
        <is>
          <t>T5 · Turnus/kapasitet</t>
        </is>
      </c>
      <c r="C12" s="28">
        <f>'3 AI tiltak og effekt'!H10</f>
        <v/>
      </c>
      <c r="D12" s="28">
        <f>'3 AI tiltak og effekt'!L10</f>
        <v/>
      </c>
      <c r="E12">
        <f>'3 AI tiltak og effekt'!M10</f>
        <v/>
      </c>
      <c r="F12">
        <f>'3 AI tiltak og effekt'!N10</f>
        <v/>
      </c>
      <c r="G12" s="28">
        <f>IF(AND(E12="Godkjent",F12="Ja"),D12,0)</f>
        <v/>
      </c>
      <c r="I12" s="28">
        <f>D14-C14</f>
        <v/>
      </c>
    </row>
    <row r="13">
      <c r="B13" t="inlineStr">
        <is>
          <t>T6 · Digital planprosess</t>
        </is>
      </c>
      <c r="C13" s="28">
        <f>'3 AI tiltak og effekt'!H11</f>
        <v/>
      </c>
      <c r="D13" s="28">
        <f>'3 AI tiltak og effekt'!L11</f>
        <v/>
      </c>
      <c r="E13">
        <f>'3 AI tiltak og effekt'!M11</f>
        <v/>
      </c>
      <c r="F13">
        <f>'3 AI tiltak og effekt'!N11</f>
        <v/>
      </c>
      <c r="G13" s="28">
        <f>IF(AND(E13="Godkjent",F13="Ja"),D13,0)</f>
        <v/>
      </c>
      <c r="I13" t="inlineStr">
        <is>
          <t>Mot anslått EOY-effekt</t>
        </is>
      </c>
    </row>
    <row r="14">
      <c r="B14" s="127" t="inlineStr">
        <is>
          <t>Sum av anslag</t>
        </is>
      </c>
      <c r="C14" s="128">
        <f>SUM(C12:C13)</f>
        <v/>
      </c>
      <c r="D14" s="128">
        <f>SUM(D12:D13)</f>
        <v/>
      </c>
      <c r="E14" s="127" t="n"/>
      <c r="F14" s="127" t="n"/>
      <c r="G14" s="128">
        <f>SUM(G12:G13)</f>
        <v/>
      </c>
      <c r="I14" s="172">
        <f>IFERROR(D14/C14,0)</f>
        <v/>
      </c>
    </row>
    <row r="31">
      <c r="B31" s="124" t="inlineStr">
        <is>
          <t>Langsiktige tiltak skal ikke brukes som om årets avvik er løst. De vises separat fordi de primært skal redusere strukturelt kostnadspress og risiko i neste økonomiplanperiode.</t>
        </is>
      </c>
    </row>
    <row r="32"/>
    <row r="33"/>
    <row r="34"/>
    <row r="36">
      <c r="B36" s="126" t="inlineStr">
        <is>
          <t>SLIK LESES ANALYSEN</t>
        </is>
      </c>
      <c r="C36" s="125" t="n"/>
      <c r="D36" s="125" t="n"/>
      <c r="E36" s="125" t="n"/>
      <c r="F36" s="125" t="n"/>
      <c r="G36" s="125" t="n"/>
      <c r="H36" s="125" t="n"/>
      <c r="I36" s="125" t="n"/>
      <c r="J36" s="125" t="n"/>
      <c r="K36" s="125" t="n"/>
      <c r="L36" s="125" t="n"/>
    </row>
    <row r="38" ht="23" customHeight="1" s="5">
      <c r="B38" t="inlineStr">
        <is>
          <t>01 · Tid</t>
        </is>
      </c>
      <c r="C38" s="130" t="inlineStr">
        <is>
          <t>EOY gjelder 2024-dataperiodens gjenværende måneder. Helår er et modellert årlig nivå ved full effekt, ikke dokumentert resultat for et konkret senere år.</t>
        </is>
      </c>
    </row>
    <row r="39" ht="23" customHeight="1" s="5"/>
    <row r="40" ht="23" customHeight="1" s="5">
      <c r="B40" t="inlineStr">
        <is>
          <t>02 · Forskjell</t>
        </is>
      </c>
      <c r="C40" s="130" t="inlineStr">
        <is>
          <t>Økningen mellom EOY- og helårsestimatet er opptrappingspotensial, ikke et tillegg som kan legges til inneværende års prognose.</t>
        </is>
      </c>
    </row>
    <row r="41" ht="23" customHeight="1" s="5"/>
    <row r="42" ht="23" customHeight="1" s="5">
      <c r="B42" t="inlineStr">
        <is>
          <t>03 · Beslutning</t>
        </is>
      </c>
      <c r="C42" s="130" t="inlineStr">
        <is>
          <t>Bare tiltak med både «Godkjent» og «Ja» for dokumentert kontroll teller i godkjent helår. Endre beslutning og kontroll på tiltaksarket.</t>
        </is>
      </c>
    </row>
    <row r="43" ht="23" customHeight="1" s="5"/>
    <row r="44" ht="23" customHeight="1" s="5">
      <c r="B44" t="inlineStr">
        <is>
          <t>04 · Tjeneste/HR</t>
        </is>
      </c>
      <c r="C44" s="130" t="inlineStr">
        <is>
          <t>T5 krever HR-/tariff- og tjenestekontroll. T6 krever fagkontroll og en liten test med målbar gevinst før utrulling.</t>
        </is>
      </c>
    </row>
    <row r="45" ht="23" customHeight="1" s="5"/>
    <row r="46" ht="23" customHeight="1" s="5">
      <c r="B46" t="inlineStr">
        <is>
          <t>05 · Dobbeltelling</t>
        </is>
      </c>
      <c r="C46" s="130" t="inlineStr">
        <is>
          <t>T5 kan overlappe tiltak om vikarbruk og overtid. Dokumenter avgrensning og følg faktisk effekt mot regnskap før beløp tas inn i økonomiplanen.</t>
        </is>
      </c>
    </row>
    <row r="47" ht="23" customHeight="1" s="5"/>
    <row r="48" ht="23" customHeight="1" s="5">
      <c r="B48" t="inlineStr">
        <is>
          <t>06 · Modellgrense</t>
        </is>
      </c>
      <c r="C48" s="130" t="inlineStr">
        <is>
          <t>Effektbaser, sannsynligheter og effektestimater er eksisterende kandidatanslag. Underliggende beregning kan ikke etterprøves fra rådata alene.</t>
        </is>
      </c>
    </row>
    <row r="49" ht="23" customHeight="1" s="5"/>
  </sheetData>
  <mergeCells count="16">
    <mergeCell ref="C48:L49"/>
    <mergeCell ref="C44:L45"/>
    <mergeCell ref="B31:L34"/>
    <mergeCell ref="E6:F7"/>
    <mergeCell ref="H6:I7"/>
    <mergeCell ref="B5:C5"/>
    <mergeCell ref="K6:L7"/>
    <mergeCell ref="C38:L39"/>
    <mergeCell ref="C42:L43"/>
    <mergeCell ref="E5:F5"/>
    <mergeCell ref="K5:L5"/>
    <mergeCell ref="B2:L3"/>
    <mergeCell ref="B6:C7"/>
    <mergeCell ref="H5:I5"/>
    <mergeCell ref="C46:L47"/>
    <mergeCell ref="C40:L4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H26"/>
  <sheetViews>
    <sheetView showGridLines="0" zoomScale="70" zoomScaleNormal="70" workbookViewId="0">
      <selection activeCell="D7" sqref="D7"/>
    </sheetView>
  </sheetViews>
  <sheetFormatPr baseColWidth="8" defaultRowHeight="14.5"/>
  <cols>
    <col width="31.26953125" customWidth="1" style="5" min="2" max="2"/>
    <col width="46.36328125" customWidth="1" style="5" min="3" max="3"/>
    <col width="30" customWidth="1" style="5" min="4" max="4"/>
    <col width="70.6328125" customWidth="1" style="5" min="5" max="5"/>
    <col width="42" customWidth="1" style="5" min="6" max="6"/>
    <col width="18.54296875" customWidth="1" style="5" min="7" max="7"/>
    <col width="27.08984375" customWidth="1" style="5" min="8" max="8"/>
  </cols>
  <sheetData>
    <row r="2" ht="45" customHeight="1" s="5">
      <c r="B2" s="13" t="inlineStr">
        <is>
          <t>BO OG MILJØ  |  fra status til dokumentert effekt</t>
        </is>
      </c>
      <c r="C2" s="48" t="n"/>
      <c r="D2" s="48" t="n"/>
      <c r="E2" s="48" t="n"/>
    </row>
    <row r="3">
      <c r="B3" s="15" t="inlineStr">
        <is>
          <t>2024-data • bokført til og med august • beløp i kroner • positivt avvik = merforbruk</t>
        </is>
      </c>
    </row>
    <row r="6" ht="28" customHeight="1" s="5">
      <c r="B6" s="36" t="inlineStr">
        <is>
          <t>TRINN</t>
        </is>
      </c>
      <c r="C6" s="36" t="inlineStr">
        <is>
          <t>NØKKELTALL</t>
        </is>
      </c>
      <c r="D6" s="36" t="inlineStr">
        <is>
          <t>BELØP (KR)</t>
        </is>
      </c>
      <c r="E6" s="36" t="inlineStr">
        <is>
          <t>BESLUTNING / TOLKNING</t>
        </is>
      </c>
      <c r="F6" s="36" t="inlineStr">
        <is>
          <t>KONTROLLMÅL</t>
        </is>
      </c>
      <c r="G6" s="36" t="inlineStr">
        <is>
          <t>ANDEL</t>
        </is>
      </c>
      <c r="H6" s="36" t="inlineStr">
        <is>
          <t>TRAFIKKLYS (helse)</t>
        </is>
      </c>
    </row>
    <row r="7" ht="37" customHeight="1" s="5">
      <c r="B7" s="30" t="inlineStr">
        <is>
          <t>01  Status</t>
        </is>
      </c>
      <c r="C7" s="31" t="inlineStr">
        <is>
          <t>Bokført YTD-merforbruk</t>
        </is>
      </c>
      <c r="D7" s="116">
        <f>'1 Nåsituasjon'!J7</f>
        <v/>
      </c>
      <c r="E7" s="31">
        <f>IF(D7&gt;0,"Merforbruk: identifiser lønns- og månedsdrivere.","Ingen positivt merforbruk i bokført periode.")</f>
        <v/>
      </c>
      <c r="F7" t="inlineStr">
        <is>
          <t>YTD-avvik / YTD-budsjett</t>
        </is>
      </c>
      <c r="G7" s="165">
        <f>IFERROR(-D7/'1 Nåsituasjon'!B7,0)</f>
        <v/>
      </c>
      <c r="H7" s="165">
        <f>1+G7</f>
        <v/>
      </c>
    </row>
    <row r="8" ht="37" customHeight="1" s="5">
      <c r="B8" s="30" t="inlineStr">
        <is>
          <t>02  Prognose</t>
        </is>
      </c>
      <c r="C8" s="31" t="inlineStr">
        <is>
          <t>EOY-merforbruk før tiltak</t>
        </is>
      </c>
      <c r="D8" s="116">
        <f>'2 Prognose EOY'!E11</f>
        <v/>
      </c>
      <c r="E8" s="31">
        <f>IF(D8&gt;0,"Prognosen er et scenario før nye tiltak; følg opp avvik.","Prognosen ligger innenfor årsbudsjettet.")</f>
        <v/>
      </c>
      <c r="F8" t="inlineStr">
        <is>
          <t>EOY-avvik / årsbudsjett</t>
        </is>
      </c>
      <c r="G8" s="165">
        <f>IFERROR(-D8/D15,0)</f>
        <v/>
      </c>
      <c r="H8" s="165">
        <f>1+G8</f>
        <v/>
      </c>
    </row>
    <row r="9" ht="37" customHeight="1" s="5">
      <c r="B9" s="32" t="inlineStr">
        <is>
          <t>03  Action to Take</t>
        </is>
      </c>
      <c r="C9" s="33" t="inlineStr">
        <is>
          <t>Potensial fra seks kandidater</t>
        </is>
      </c>
      <c r="D9" s="117">
        <f>'3 AI tiltak og effekt'!E16</f>
        <v/>
      </c>
      <c r="E9" s="33">
        <f>COUNTIFS('3 AI tiltak og effekt'!M6:M11,"Godkjent",'3 AI tiltak og effekt'!N6:N11,"Ja")&amp;" av 6 dokumentert godkjent. Fullfør fag-/HR-kontroll før effekt tas med."</f>
        <v/>
      </c>
      <c r="F9" t="inlineStr">
        <is>
          <t>Godkjent / kandidatpotensial</t>
        </is>
      </c>
      <c r="G9" s="165">
        <f>IFERROR('3 AI tiltak og effekt'!E17/D9,0)</f>
        <v/>
      </c>
      <c r="H9" s="165">
        <f>IF(G9&gt;=1,1,IF(G9&gt;0,0.92,0))</f>
        <v/>
      </c>
    </row>
    <row r="10" ht="37" customHeight="1" s="5">
      <c r="B10" s="34" t="inlineStr">
        <is>
          <t>04  Ny prognose</t>
        </is>
      </c>
      <c r="C10" s="35" t="inlineStr">
        <is>
          <t>Restavvik etter godkjente tiltak</t>
        </is>
      </c>
      <c r="D10" s="118">
        <f>'4 Ny Prognose EOY'!E20</f>
        <v/>
      </c>
      <c r="E10" s="35">
        <f>IF(D10&gt;0,"Restavvik består og må styres og eskaleres.","Godkjent scenario ligger innenfor årsbudsjettet.")</f>
        <v/>
      </c>
      <c r="F10" t="inlineStr">
        <is>
          <t>Restavvik / årsbudsjett</t>
        </is>
      </c>
      <c r="G10" s="165">
        <f>IFERROR(-D10/D15,0)</f>
        <v/>
      </c>
      <c r="H10" s="165">
        <f>1+G10</f>
        <v/>
      </c>
    </row>
    <row r="11">
      <c r="D11" s="28" t="n"/>
    </row>
    <row r="12">
      <c r="D12" s="28" t="n"/>
      <c r="F12" t="inlineStr">
        <is>
          <t>Avvik % = (budsjett − regnskap) / budsjett. Merforbruk er negativt: rødt ≤−10 %, gult −10 til −5 %, grønt &gt;−5 %.</t>
        </is>
      </c>
    </row>
    <row r="13" ht="28" customHeight="1" s="5">
      <c r="B13" s="20" t="inlineStr">
        <is>
          <t>SCENARIOBRO  |  ikke bland kandidater med vedtatte tiltak</t>
        </is>
      </c>
      <c r="C13" s="20" t="n"/>
      <c r="D13" s="97" t="n"/>
      <c r="E13" s="20" t="n"/>
      <c r="F13" t="inlineStr">
        <is>
          <t>Helsescore for trafikklys = 1 + avvik %; kandidatstatus måles separat etter godkjent andel.</t>
        </is>
      </c>
    </row>
    <row r="14">
      <c r="D14" s="28" t="n"/>
    </row>
    <row r="15" ht="34" customHeight="1" s="5">
      <c r="B15" t="inlineStr">
        <is>
          <t>Årsbudsjett</t>
        </is>
      </c>
      <c r="D15" s="99">
        <f>'2 Prognose EOY'!B11</f>
        <v/>
      </c>
    </row>
    <row r="16" ht="34" customHeight="1" s="5">
      <c r="B16" t="inlineStr">
        <is>
          <t>EOY prognose før tiltak</t>
        </is>
      </c>
      <c r="D16" s="100">
        <f>'2 Prognose EOY'!K6</f>
        <v/>
      </c>
    </row>
    <row r="17" ht="34" customHeight="1" s="5">
      <c r="B17" t="inlineStr">
        <is>
          <t>EOY hvis alle kandidater realiseres</t>
        </is>
      </c>
      <c r="D17" s="119">
        <f>D16-'3 AI tiltak og effekt'!E16</f>
        <v/>
      </c>
    </row>
    <row r="18" ht="34" customHeight="1" s="5">
      <c r="B18" t="inlineStr">
        <is>
          <t>EOY etter dokumentert godkjente tiltak</t>
        </is>
      </c>
      <c r="D18" s="100">
        <f>'4 Ny Prognose EOY'!E19</f>
        <v/>
      </c>
    </row>
    <row r="21" ht="28" customHeight="1" s="5">
      <c r="B21" s="20" t="inlineStr">
        <is>
          <t>KILDE OG KONTROLL</t>
        </is>
      </c>
      <c r="C21" s="20" t="n"/>
      <c r="D21" s="20" t="n"/>
      <c r="E21" s="20" t="n"/>
    </row>
    <row r="22" ht="27" customHeight="1" s="5">
      <c r="B22" s="15" t="inlineStr">
        <is>
          <t>Status = Bokført: budsjett og regnskap fra tbl_BoMiljo. Gjenstående budsjett tas først med i årsprognosen.</t>
        </is>
      </c>
    </row>
    <row r="23" ht="27" customHeight="1" s="5">
      <c r="B23" s="15" t="inlineStr">
        <is>
          <t>Prognose: bokført regnskap + gjenstående budsjett + 50 % av positivt YTD-merforbruk (justerbar andel i prognosearket).</t>
        </is>
      </c>
    </row>
    <row r="24" ht="27" customHeight="1" s="5">
      <c r="B24" s="15" t="inlineStr">
        <is>
          <t>Tiltakseffektene er eksisterende modellanslag, ikke realiserte resultater; beregningsgrunnlaget bak anslagene er ikke dokumentert i rådata.</t>
        </is>
      </c>
    </row>
    <row r="25" ht="27" customHeight="1" s="5">
      <c r="B25" s="15" t="inlineStr">
        <is>
          <t>Kun tiltak med både «Godkjent» og «Ja» for dokumentert kontroll reduserer godkjent ny prognose. Kontroll mot dobbelttelling kreves.</t>
        </is>
      </c>
    </row>
    <row r="26" ht="27" customHeight="1" s="5">
      <c r="B26" s="15" t="inlineStr">
        <is>
          <t>Det finnes ingen registrerte vedtak eller realiserte effekter ved opprettelse. Bruk tiltaksarkets blå inndatafelt for beslutning og kontroll.</t>
        </is>
      </c>
    </row>
  </sheetData>
  <conditionalFormatting sqref="D7:D10">
    <cfRule type="expression" priority="1" dxfId="4">
      <formula>AND($B7&lt;&gt;"03  Action to Take",$G7&lt;=-10%)</formula>
    </cfRule>
    <cfRule type="expression" priority="2" dxfId="3">
      <formula>AND($B7&lt;&gt;"03  Action to Take",$G7&gt;-10%,$G7&lt;=-5%)</formula>
    </cfRule>
    <cfRule type="expression" priority="3" dxfId="0">
      <formula>AND($B7&lt;&gt;"03  Action to Take",$G7&gt;-5%)</formula>
    </cfRule>
  </conditionalFormatting>
  <conditionalFormatting sqref="G7:G8">
    <cfRule type="expression" priority="4" dxfId="4">
      <formula>G7&lt;=-10%</formula>
    </cfRule>
    <cfRule type="expression" priority="5" dxfId="3">
      <formula>AND(G7&gt;-10%,G7&lt;=-5%)</formula>
    </cfRule>
    <cfRule type="expression" priority="6" dxfId="0">
      <formula>G7&gt;-5%</formula>
    </cfRule>
  </conditionalFormatting>
  <conditionalFormatting sqref="G10">
    <cfRule type="expression" priority="7" dxfId="4">
      <formula>G10&lt;=-10%</formula>
    </cfRule>
    <cfRule type="expression" priority="8" dxfId="3">
      <formula>AND(G10&gt;-10%,G10&lt;=-5%)</formula>
    </cfRule>
    <cfRule type="expression" priority="9" dxfId="0">
      <formula>G10&gt;-5%</formula>
    </cfRule>
  </conditionalFormatting>
  <conditionalFormatting sqref="G9">
    <cfRule type="expression" priority="10" dxfId="4">
      <formula>G9=0</formula>
    </cfRule>
    <cfRule type="expression" priority="11" dxfId="3">
      <formula>AND(G9&gt;0,G9&lt;1)</formula>
    </cfRule>
    <cfRule type="expression" priority="12" dxfId="0">
      <formula>G9&gt;=1</formula>
    </cfRule>
  </conditionalFormatting>
  <conditionalFormatting sqref="D9">
    <cfRule type="dataBar" priority="13">
      <dataBar>
        <cfvo type="min"/>
        <cfvo type="max"/>
        <color rgb="FF638EC6"/>
      </dataBar>
    </cfRule>
  </conditionalFormatting>
  <conditionalFormatting sqref="H7:H10">
    <cfRule type="iconSet" priority="14">
      <iconSet>
        <cfvo type="percent" val="0"/>
        <cfvo type="num" val="0.9"/>
        <cfvo type="num" val="0.95"/>
      </iconSet>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2:F18"/>
  <sheetViews>
    <sheetView workbookViewId="0">
      <selection activeCell="C7" sqref="C7 C10:E18"/>
    </sheetView>
  </sheetViews>
  <sheetFormatPr baseColWidth="8" defaultRowHeight="14.5"/>
  <cols>
    <col width="10.7265625" bestFit="1" customWidth="1" style="5" min="2" max="2"/>
    <col width="17.1796875" bestFit="1" customWidth="1" style="62" min="3" max="3"/>
    <col width="13.1796875" bestFit="1" customWidth="1" style="66" min="4" max="4"/>
    <col width="15" bestFit="1" customWidth="1" style="5" min="5" max="5"/>
  </cols>
  <sheetData>
    <row r="2" ht="34" customHeight="1" s="5">
      <c r="B2" s="13" t="inlineStr">
        <is>
          <t>BOKFØRT • månedlig budsjettkontroll</t>
        </is>
      </c>
      <c r="C2" s="61" t="n"/>
      <c r="D2" s="65" t="n"/>
      <c r="E2" s="48" t="n"/>
      <c r="F2" s="48" t="n"/>
    </row>
    <row r="4">
      <c r="B4" s="15" t="inlineStr">
        <is>
          <t>Datakilde: tbl_BoMiljo  |  Filter: Status = Bokført  |  Periode: jan–aug 2024</t>
        </is>
      </c>
      <c r="E4" s="15" t="n"/>
      <c r="F4" s="15" t="n"/>
    </row>
    <row r="5">
      <c r="B5" s="15" t="inlineStr">
        <is>
          <t>Merforbruk = Regnskap − Budsjett. Positivt tall er ugunstig; negative inntekter er kreditposter.</t>
        </is>
      </c>
      <c r="E5" s="15" t="n"/>
      <c r="F5" s="15" t="n"/>
    </row>
    <row r="7">
      <c r="B7" s="11" t="inlineStr">
        <is>
          <t>Status</t>
        </is>
      </c>
      <c r="C7" s="62" t="inlineStr">
        <is>
          <t>(Multiple Items)</t>
        </is>
      </c>
    </row>
    <row r="9" ht="26" customHeight="1" s="5">
      <c r="B9" s="36" t="inlineStr">
        <is>
          <t>Periode</t>
        </is>
      </c>
      <c r="C9" s="63" t="inlineStr">
        <is>
          <t>Sum Budsjett</t>
        </is>
      </c>
      <c r="D9" s="67" t="inlineStr">
        <is>
          <t>Sum Regnskap</t>
        </is>
      </c>
      <c r="E9" s="36" t="inlineStr">
        <is>
          <t>Sum Merforbruk</t>
        </is>
      </c>
    </row>
    <row r="10">
      <c r="B10" t="inlineStr">
        <is>
          <t>2024-01</t>
        </is>
      </c>
      <c r="C10" s="99" t="n">
        <v>1403337</v>
      </c>
      <c r="D10" s="100" t="n">
        <v>1014751.5</v>
      </c>
      <c r="E10" s="98" t="n">
        <v>-388585.4999999999</v>
      </c>
    </row>
    <row r="11">
      <c r="B11" t="inlineStr">
        <is>
          <t>2024-02</t>
        </is>
      </c>
      <c r="C11" s="99" t="n">
        <v>1410893</v>
      </c>
      <c r="D11" s="100" t="n">
        <v>2082089.79</v>
      </c>
      <c r="E11" s="98" t="n">
        <v>671196.79</v>
      </c>
    </row>
    <row r="12">
      <c r="B12" t="inlineStr">
        <is>
          <t>2024-03</t>
        </is>
      </c>
      <c r="C12" s="99" t="n">
        <v>1342381</v>
      </c>
      <c r="D12" s="100" t="n">
        <v>1541248.51</v>
      </c>
      <c r="E12" s="98" t="n">
        <v>198867.51</v>
      </c>
    </row>
    <row r="13">
      <c r="B13" t="inlineStr">
        <is>
          <t>2024-04</t>
        </is>
      </c>
      <c r="C13" s="99" t="n">
        <v>2357359</v>
      </c>
      <c r="D13" s="100" t="n">
        <v>2256715.66</v>
      </c>
      <c r="E13" s="98" t="n">
        <v>-100643.34</v>
      </c>
    </row>
    <row r="14">
      <c r="B14" t="inlineStr">
        <is>
          <t>2024-05</t>
        </is>
      </c>
      <c r="C14" s="99" t="n">
        <v>1544215</v>
      </c>
      <c r="D14" s="100" t="n">
        <v>1613436.84</v>
      </c>
      <c r="E14" s="98" t="n">
        <v>69221.83999999994</v>
      </c>
    </row>
    <row r="15">
      <c r="B15" t="inlineStr">
        <is>
          <t>2024-06</t>
        </is>
      </c>
      <c r="C15" s="99" t="n">
        <v>241681</v>
      </c>
      <c r="D15" s="100" t="n">
        <v>519336.23</v>
      </c>
      <c r="E15" s="98" t="n">
        <v>277655.23</v>
      </c>
    </row>
    <row r="16">
      <c r="B16" t="inlineStr">
        <is>
          <t>2024-07</t>
        </is>
      </c>
      <c r="C16" s="99" t="n">
        <v>1512209</v>
      </c>
      <c r="D16" s="100" t="n">
        <v>1837523.07</v>
      </c>
      <c r="E16" s="98" t="n">
        <v>325314.0700000001</v>
      </c>
    </row>
    <row r="17">
      <c r="B17" t="inlineStr">
        <is>
          <t>2024-08</t>
        </is>
      </c>
      <c r="C17" s="99" t="n">
        <v>1525162</v>
      </c>
      <c r="D17" s="100" t="n">
        <v>1757749.82</v>
      </c>
      <c r="E17" s="98" t="n">
        <v>232587.82</v>
      </c>
    </row>
    <row r="18">
      <c r="B18" s="22" t="inlineStr">
        <is>
          <t>Grand Total</t>
        </is>
      </c>
      <c r="C18" s="101" t="n">
        <v>11337237</v>
      </c>
      <c r="D18" s="102" t="n">
        <v>12622851.42</v>
      </c>
      <c r="E18" s="103" t="n">
        <v>1285614.42</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F70"/>
  <sheetViews>
    <sheetView workbookViewId="0">
      <selection activeCell="A1" sqref="A1"/>
    </sheetView>
  </sheetViews>
  <sheetFormatPr baseColWidth="8" defaultRowHeight="14.5"/>
  <cols>
    <col width="15.90625" bestFit="1" customWidth="1" style="5" min="2" max="2"/>
    <col width="17.1796875" bestFit="1" customWidth="1" style="62" min="3" max="3"/>
    <col width="13.1796875" bestFit="1" customWidth="1" style="66" min="4" max="4"/>
    <col width="15" bestFit="1" customWidth="1" style="5" min="5" max="5"/>
  </cols>
  <sheetData>
    <row r="2" ht="34" customHeight="1" s="5">
      <c r="B2" s="13" t="inlineStr">
        <is>
          <t>AVVIK • kostnadsstruktur og drivere</t>
        </is>
      </c>
      <c r="C2" s="61" t="n"/>
      <c r="D2" s="65" t="n"/>
      <c r="E2" s="48" t="n"/>
      <c r="F2" s="48" t="n"/>
    </row>
    <row r="4">
      <c r="B4" s="15" t="inlineStr">
        <is>
          <t>Begge pivotene bruker hele tbl_BoMiljo; Status er satt til Bokført. Oppdater pivottabellene etter kildeendring.</t>
        </is>
      </c>
      <c r="E4" s="15" t="n"/>
      <c r="F4" s="15" t="n"/>
    </row>
    <row r="5">
      <c r="B5" s="15" t="inlineStr">
        <is>
          <t>Beløp i kroner. Inntekter og refusjoner beholder negativt regnskapsfortegn; netto summeres uten fortegnsbytte.</t>
        </is>
      </c>
      <c r="E5" s="15" t="n"/>
      <c r="F5" s="15" t="n"/>
    </row>
    <row r="7">
      <c r="B7" s="11" t="inlineStr">
        <is>
          <t>Status</t>
        </is>
      </c>
      <c r="C7" s="62" t="inlineStr">
        <is>
          <t>(Multiple Items)</t>
        </is>
      </c>
    </row>
    <row r="9" ht="26" customHeight="1" s="5">
      <c r="B9" s="36" t="inlineStr">
        <is>
          <t>Hovedgruppe</t>
        </is>
      </c>
      <c r="C9" s="63" t="inlineStr">
        <is>
          <t>Sum Budsjett</t>
        </is>
      </c>
      <c r="D9" s="67" t="inlineStr">
        <is>
          <t>Sum Regnskap</t>
        </is>
      </c>
      <c r="E9" s="36" t="inlineStr">
        <is>
          <t>Sum Merforbruk</t>
        </is>
      </c>
    </row>
    <row r="10">
      <c r="B10" t="inlineStr">
        <is>
          <t>1 Lønn</t>
        </is>
      </c>
      <c r="C10" s="99" t="n">
        <v>11025573</v>
      </c>
      <c r="D10" s="100" t="n">
        <v>12175245.34000001</v>
      </c>
      <c r="E10" s="98" t="n">
        <v>1149672.340000001</v>
      </c>
    </row>
    <row r="11">
      <c r="B11" t="inlineStr">
        <is>
          <t>2 Utgifter</t>
        </is>
      </c>
      <c r="C11" s="99" t="n">
        <v>311552</v>
      </c>
      <c r="D11" s="100" t="n">
        <v>455666.0800000004</v>
      </c>
      <c r="E11" s="98" t="n">
        <v>144114.0800000002</v>
      </c>
    </row>
    <row r="12">
      <c r="B12" t="inlineStr">
        <is>
          <t>3 Inntekter</t>
        </is>
      </c>
      <c r="C12" s="99" t="n">
        <v>112</v>
      </c>
      <c r="D12" s="100" t="n">
        <v>-8060</v>
      </c>
      <c r="E12" s="98" t="n">
        <v>-8172</v>
      </c>
    </row>
    <row r="13">
      <c r="B13" s="22" t="inlineStr">
        <is>
          <t>Grand Total</t>
        </is>
      </c>
      <c r="C13" s="101" t="n">
        <v>11337237</v>
      </c>
      <c r="D13" s="102" t="n">
        <v>12622851.42000001</v>
      </c>
      <c r="E13" s="103" t="n">
        <v>1285614.420000001</v>
      </c>
    </row>
    <row r="14">
      <c r="C14" s="64" t="n"/>
      <c r="D14" s="68" t="n"/>
      <c r="E14" s="28" t="n"/>
    </row>
    <row r="15">
      <c r="C15" s="64" t="n"/>
      <c r="D15" s="68" t="n"/>
      <c r="E15" s="28" t="n"/>
    </row>
    <row r="16">
      <c r="C16" s="64" t="n"/>
      <c r="D16" s="68" t="n"/>
      <c r="E16" s="28" t="n"/>
    </row>
    <row r="17">
      <c r="C17" s="64" t="n"/>
      <c r="D17" s="68" t="n"/>
      <c r="E17" s="28" t="n"/>
    </row>
    <row r="18">
      <c r="C18" s="64" t="n"/>
      <c r="D18" s="68" t="n"/>
      <c r="E18" s="28" t="n"/>
    </row>
    <row r="19">
      <c r="B19" s="36" t="inlineStr">
        <is>
          <t>DETALJ • undergruppe</t>
        </is>
      </c>
      <c r="C19" s="72" t="n"/>
      <c r="D19" s="73" t="n"/>
      <c r="E19" s="74" t="n"/>
    </row>
    <row r="20">
      <c r="B20" s="11" t="inlineStr">
        <is>
          <t>Status</t>
        </is>
      </c>
      <c r="C20" s="64" t="inlineStr">
        <is>
          <t>(Multiple Items)</t>
        </is>
      </c>
      <c r="D20" s="68" t="n"/>
      <c r="E20" s="28" t="n"/>
    </row>
    <row r="21">
      <c r="C21" s="64" t="n"/>
      <c r="D21" s="68" t="n"/>
      <c r="E21" s="28" t="n"/>
    </row>
    <row r="22" ht="26" customHeight="1" s="5">
      <c r="B22" s="36" t="inlineStr">
        <is>
          <t>Undergruppe</t>
        </is>
      </c>
      <c r="C22" s="70" t="inlineStr">
        <is>
          <t>Sum Budsjett</t>
        </is>
      </c>
      <c r="D22" s="71" t="inlineStr">
        <is>
          <t>Sum Regnskap</t>
        </is>
      </c>
      <c r="E22" s="69" t="inlineStr">
        <is>
          <t>Sum Merforbruk</t>
        </is>
      </c>
    </row>
    <row r="23">
      <c r="B23" t="inlineStr">
        <is>
          <t>10 Lønn</t>
        </is>
      </c>
      <c r="C23" s="99" t="n">
        <v>11741958</v>
      </c>
      <c r="D23" s="100" t="n">
        <v>12907950.34000001</v>
      </c>
      <c r="E23" s="98" t="n">
        <v>1165992.340000001</v>
      </c>
    </row>
    <row r="24">
      <c r="B24" t="inlineStr">
        <is>
          <t>11 Refusjon lønn</t>
        </is>
      </c>
      <c r="C24" s="99" t="n">
        <v>-404833</v>
      </c>
      <c r="D24" s="100" t="n">
        <v>-277048.1899999998</v>
      </c>
      <c r="E24" s="98" t="n">
        <v>127784.8100000002</v>
      </c>
    </row>
    <row r="25">
      <c r="B25" t="inlineStr">
        <is>
          <t>14 Overføringer</t>
        </is>
      </c>
      <c r="C25" s="99" t="n">
        <v>0</v>
      </c>
      <c r="D25" s="100" t="n">
        <v>0</v>
      </c>
      <c r="E25" s="98" t="n">
        <v>0</v>
      </c>
    </row>
    <row r="26">
      <c r="B26" t="inlineStr">
        <is>
          <t>15 Finansutgifter</t>
        </is>
      </c>
      <c r="C26" s="99" t="n">
        <v>0</v>
      </c>
      <c r="D26" s="100" t="n">
        <v>9.27</v>
      </c>
      <c r="E26" s="98" t="n">
        <v>9.27</v>
      </c>
    </row>
    <row r="27">
      <c r="B27" t="inlineStr">
        <is>
          <t>16 Brukerbetaling</t>
        </is>
      </c>
      <c r="C27" s="99" t="n">
        <v>112</v>
      </c>
      <c r="D27" s="100" t="n">
        <v>0</v>
      </c>
      <c r="E27" s="98" t="n">
        <v>-112</v>
      </c>
    </row>
    <row r="28">
      <c r="B28" t="inlineStr">
        <is>
          <t>17 Refusjoner</t>
        </is>
      </c>
      <c r="C28" s="99" t="n">
        <v>0</v>
      </c>
      <c r="D28" s="100" t="n">
        <v>-8060</v>
      </c>
      <c r="E28" s="98" t="n">
        <v>-8060</v>
      </c>
    </row>
    <row r="29">
      <c r="B29" s="22" t="inlineStr">
        <is>
          <t>Grand Total</t>
        </is>
      </c>
      <c r="C29" s="101" t="n">
        <v>11337237</v>
      </c>
      <c r="D29" s="102" t="n">
        <v>12622851.42000001</v>
      </c>
      <c r="E29" s="103" t="n">
        <v>1285614.420000001</v>
      </c>
    </row>
    <row r="30">
      <c r="C30" s="64" t="n"/>
      <c r="D30" s="68" t="n"/>
      <c r="E30" s="28" t="n"/>
    </row>
    <row r="31">
      <c r="C31" s="64" t="n"/>
      <c r="D31" s="68" t="n"/>
      <c r="E31" s="28" t="n"/>
    </row>
    <row r="32">
      <c r="C32" s="64" t="n"/>
      <c r="D32" s="68" t="n"/>
      <c r="E32" s="28" t="n"/>
    </row>
    <row r="33">
      <c r="C33" s="64" t="n"/>
      <c r="D33" s="68" t="n"/>
      <c r="E33" s="28" t="n"/>
    </row>
    <row r="34">
      <c r="C34" s="64" t="n"/>
      <c r="D34" s="68" t="n"/>
      <c r="E34" s="28" t="n"/>
    </row>
    <row r="35">
      <c r="C35" s="64" t="n"/>
      <c r="D35" s="68" t="n"/>
      <c r="E35" s="28" t="n"/>
    </row>
    <row r="36">
      <c r="C36" s="64" t="n"/>
      <c r="D36" s="68" t="n"/>
      <c r="E36" s="28" t="n"/>
    </row>
    <row r="37">
      <c r="C37" s="64" t="n"/>
      <c r="D37" s="68" t="n"/>
      <c r="E37" s="28" t="n"/>
    </row>
    <row r="38">
      <c r="C38" s="64" t="n"/>
      <c r="D38" s="68" t="n"/>
      <c r="E38" s="28" t="n"/>
    </row>
    <row r="39">
      <c r="C39" s="64" t="n"/>
      <c r="D39" s="68" t="n"/>
      <c r="E39" s="28" t="n"/>
    </row>
    <row r="40">
      <c r="C40" s="64" t="n"/>
      <c r="D40" s="68" t="n"/>
      <c r="E40" s="28" t="n"/>
    </row>
    <row r="41">
      <c r="C41" s="64" t="n"/>
      <c r="D41" s="68" t="n"/>
      <c r="E41" s="28" t="n"/>
    </row>
    <row r="42">
      <c r="C42" s="64" t="n"/>
      <c r="D42" s="68" t="n"/>
      <c r="E42" s="28" t="n"/>
    </row>
    <row r="43">
      <c r="C43" s="64" t="n"/>
      <c r="D43" s="68" t="n"/>
      <c r="E43" s="28" t="n"/>
    </row>
    <row r="44">
      <c r="C44" s="64" t="n"/>
      <c r="D44" s="68" t="n"/>
      <c r="E44" s="28" t="n"/>
    </row>
    <row r="45">
      <c r="C45" s="64" t="n"/>
      <c r="D45" s="68" t="n"/>
      <c r="E45" s="28" t="n"/>
    </row>
    <row r="46">
      <c r="C46" s="64" t="n"/>
      <c r="D46" s="68" t="n"/>
      <c r="E46" s="28" t="n"/>
    </row>
    <row r="47">
      <c r="C47" s="64" t="n"/>
      <c r="D47" s="68" t="n"/>
      <c r="E47" s="28" t="n"/>
    </row>
    <row r="48">
      <c r="C48" s="64" t="n"/>
      <c r="D48" s="68" t="n"/>
      <c r="E48" s="28" t="n"/>
    </row>
    <row r="49">
      <c r="C49" s="64" t="n"/>
      <c r="D49" s="68" t="n"/>
      <c r="E49" s="28" t="n"/>
    </row>
    <row r="50">
      <c r="C50" s="64" t="n"/>
      <c r="D50" s="68" t="n"/>
      <c r="E50" s="28" t="n"/>
    </row>
    <row r="51">
      <c r="C51" s="64" t="n"/>
      <c r="D51" s="68" t="n"/>
      <c r="E51" s="28" t="n"/>
    </row>
    <row r="52">
      <c r="C52" s="64" t="n"/>
      <c r="D52" s="68" t="n"/>
      <c r="E52" s="28" t="n"/>
    </row>
    <row r="53">
      <c r="C53" s="64" t="n"/>
      <c r="D53" s="68" t="n"/>
      <c r="E53" s="28" t="n"/>
    </row>
    <row r="54">
      <c r="C54" s="64" t="n"/>
      <c r="D54" s="68" t="n"/>
      <c r="E54" s="28" t="n"/>
    </row>
    <row r="55">
      <c r="C55" s="64" t="n"/>
      <c r="D55" s="68" t="n"/>
      <c r="E55" s="28" t="n"/>
    </row>
    <row r="56">
      <c r="C56" s="64" t="n"/>
      <c r="D56" s="68" t="n"/>
      <c r="E56" s="28" t="n"/>
    </row>
    <row r="57">
      <c r="C57" s="64" t="n"/>
      <c r="D57" s="68" t="n"/>
      <c r="E57" s="28" t="n"/>
    </row>
    <row r="58">
      <c r="C58" s="64" t="n"/>
      <c r="D58" s="68" t="n"/>
      <c r="E58" s="28" t="n"/>
    </row>
    <row r="59">
      <c r="C59" s="64" t="n"/>
      <c r="D59" s="68" t="n"/>
      <c r="E59" s="28" t="n"/>
    </row>
    <row r="60">
      <c r="C60" s="64" t="n"/>
      <c r="D60" s="68" t="n"/>
      <c r="E60" s="28" t="n"/>
    </row>
    <row r="61">
      <c r="C61" s="64" t="n"/>
      <c r="D61" s="68" t="n"/>
      <c r="E61" s="28" t="n"/>
    </row>
    <row r="62">
      <c r="C62" s="64" t="n"/>
      <c r="D62" s="68" t="n"/>
      <c r="E62" s="28" t="n"/>
    </row>
    <row r="63">
      <c r="C63" s="64" t="n"/>
      <c r="D63" s="68" t="n"/>
      <c r="E63" s="28" t="n"/>
    </row>
    <row r="64">
      <c r="C64" s="64" t="n"/>
      <c r="D64" s="68" t="n"/>
      <c r="E64" s="28" t="n"/>
    </row>
    <row r="65">
      <c r="C65" s="64" t="n"/>
      <c r="D65" s="68" t="n"/>
      <c r="E65" s="28" t="n"/>
    </row>
    <row r="66">
      <c r="C66" s="64" t="n"/>
      <c r="D66" s="68" t="n"/>
      <c r="E66" s="28" t="n"/>
    </row>
    <row r="67">
      <c r="C67" s="64" t="n"/>
      <c r="D67" s="68" t="n"/>
      <c r="E67" s="28" t="n"/>
    </row>
    <row r="68">
      <c r="C68" s="64" t="n"/>
      <c r="D68" s="68" t="n"/>
      <c r="E68" s="28" t="n"/>
    </row>
    <row r="69">
      <c r="C69" s="64" t="n"/>
      <c r="D69" s="68" t="n"/>
      <c r="E69" s="28" t="n"/>
    </row>
    <row r="70">
      <c r="C70" s="64" t="n"/>
      <c r="D70" s="68" t="n"/>
      <c r="E70" s="28"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B2:F16"/>
  <sheetViews>
    <sheetView workbookViewId="0">
      <selection activeCell="A1" sqref="A1"/>
    </sheetView>
  </sheetViews>
  <sheetFormatPr baseColWidth="8" defaultRowHeight="14.5"/>
  <cols>
    <col width="39.6328125" customWidth="1" style="5" min="2" max="2"/>
    <col width="100" customWidth="1" style="5" min="3" max="3"/>
  </cols>
  <sheetData>
    <row r="2" ht="22" customHeight="1" s="5">
      <c r="B2" s="13" t="inlineStr">
        <is>
          <t>METODE OG KONTROLL</t>
        </is>
      </c>
      <c r="C2" s="48" t="n"/>
      <c r="D2" s="48" t="n"/>
      <c r="E2" s="48" t="n"/>
      <c r="F2" s="48" t="n"/>
    </row>
    <row r="3">
      <c r="B3" s="22" t="inlineStr">
        <is>
          <t>Kilde</t>
        </is>
      </c>
      <c r="C3" s="130" t="inlineStr">
        <is>
          <t>Rådata!tbl_BoMiljo (1 056 datarader; 88 kontolinjer × 12 måneder)</t>
        </is>
      </c>
    </row>
    <row r="4">
      <c r="B4" s="22" t="inlineStr">
        <is>
          <t>Tidsvindu</t>
        </is>
      </c>
      <c r="C4" s="18" t="inlineStr">
        <is>
          <t>2024-01–2024-08 bokført; 2024-09–2024-12 er gjenstående budsjett og ekskludert fra regnskapsdiagrammer.</t>
        </is>
      </c>
      <c r="D4" s="15" t="n"/>
      <c r="E4" s="15" t="n"/>
      <c r="F4" s="15" t="n"/>
    </row>
    <row r="5">
      <c r="B5" s="22" t="inlineStr">
        <is>
          <t>Populasjon</t>
        </is>
      </c>
      <c r="C5" s="18" t="inlineStr">
        <is>
          <t>Status = Bokført (704 rader), med samme filter i alle tre pivottabeller.</t>
        </is>
      </c>
      <c r="D5" s="15" t="n"/>
      <c r="E5" s="15" t="n"/>
      <c r="F5" s="15" t="n"/>
    </row>
    <row r="6">
      <c r="B6" s="22" t="inlineStr">
        <is>
          <t>Måltall</t>
        </is>
      </c>
      <c r="C6" s="130" t="inlineStr">
        <is>
          <t>Sum Budsjett, Sum Regnskap, Sum Merforbruk, gruppert per periode / hovedgruppe / undergruppe.</t>
        </is>
      </c>
    </row>
    <row r="7">
      <c r="B7" s="22" t="inlineStr">
        <is>
          <t>Fortegn</t>
        </is>
      </c>
      <c r="C7" s="130" t="inlineStr">
        <is>
          <t>Merforbruk = Regnskap − Budsjett. Positivt = over budsjett; negativt = under budsjett. Inntekter kan være negative.</t>
        </is>
      </c>
    </row>
    <row r="8">
      <c r="B8" s="22" t="inlineStr">
        <is>
          <t>Oppdatering</t>
        </is>
      </c>
      <c r="C8" s="130" t="inlineStr">
        <is>
          <t>Bruk Excels innebygde Oppdater pivottabell / Oppdater alle når tbl_BoMiljo endres. Diagrammer leser pivotceller.</t>
        </is>
      </c>
    </row>
    <row r="9" ht="29" customHeight="1" s="5">
      <c r="B9" s="22" t="inlineStr">
        <is>
          <t>Begrensning</t>
        </is>
      </c>
      <c r="C9" s="130" t="inlineStr">
        <is>
          <t>Diagrammer fra pivotceller er ordinære Excel-diagrammer, ikke native PivotCharts; de følger pivotverdier ved oppdatering, men områdene er låst til dagens antall kategorier.</t>
        </is>
      </c>
    </row>
    <row r="10">
      <c r="B10" s="75" t="inlineStr">
        <is>
          <t>Kontroll – bokført budsjett</t>
        </is>
      </c>
      <c r="C10" s="99">
        <f>'Pivot - måned'!C18</f>
        <v/>
      </c>
    </row>
    <row r="11">
      <c r="B11" s="75" t="inlineStr">
        <is>
          <t>Kontroll – bokført regnskap</t>
        </is>
      </c>
      <c r="C11" s="100">
        <f>'Pivot - måned'!D18</f>
        <v/>
      </c>
    </row>
    <row r="12">
      <c r="B12" s="75" t="inlineStr">
        <is>
          <t>Kontroll – bokført merforbruk</t>
        </is>
      </c>
      <c r="C12" s="98">
        <f>'Pivot - måned'!E18</f>
        <v/>
      </c>
    </row>
    <row r="13">
      <c r="B13" s="75" t="inlineStr">
        <is>
          <t>Kontroll – kildeberegnet avvik</t>
        </is>
      </c>
      <c r="C13" s="98">
        <f>SUMIFS(tbl_BoMiljo[Merforbruk],tbl_BoMiljo[Status],"Bokført")</f>
        <v/>
      </c>
    </row>
    <row r="14">
      <c r="B14" s="75" t="inlineStr">
        <is>
          <t>Differanse pivot mot kilde</t>
        </is>
      </c>
      <c r="C14" s="108">
        <f>C12-C13</f>
        <v/>
      </c>
    </row>
    <row r="15">
      <c r="B15" s="75" t="inlineStr">
        <is>
          <t>Bokførte datarader</t>
        </is>
      </c>
      <c r="C15">
        <f>COUNTIF(tbl_BoMiljo[Status],"Bokført")</f>
        <v/>
      </c>
    </row>
    <row r="16">
      <c r="B16" s="75" t="inlineStr">
        <is>
          <t>Gjenstående budsjett-rader</t>
        </is>
      </c>
      <c r="C16">
        <f>COUNTIF(tbl_BoMiljo[Status],"Gjenstående budsjett")</f>
        <v/>
      </c>
    </row>
  </sheetData>
  <pageMargins left="0.7" right="0.7" top="0.75" bottom="0.75" header="0.3" footer="0.3"/>
</worksheet>
</file>

<file path=xl/worksheets/sheet11.xml><?xml version="1.0" encoding="utf-8"?>
<worksheet xmlns="http://schemas.openxmlformats.org/spreadsheetml/2006/main">
  <sheetPr>
    <tabColor rgb="FF2F5597"/>
    <outlinePr summaryBelow="1" summaryRight="1"/>
    <pageSetUpPr/>
  </sheetPr>
  <dimension ref="B2:L40"/>
  <sheetViews>
    <sheetView showGridLines="0" zoomScale="90" zoomScaleNormal="90" workbookViewId="0">
      <selection activeCell="A1" sqref="A1"/>
    </sheetView>
  </sheetViews>
  <sheetFormatPr baseColWidth="8" defaultRowHeight="14.5"/>
  <cols>
    <col width="14" customWidth="1" style="5" min="1" max="13"/>
  </cols>
  <sheetData>
    <row r="2">
      <c r="B2" s="49" t="inlineStr">
        <is>
          <t>DATAMODELL | Bo og Miljø MVP</t>
        </is>
      </c>
    </row>
    <row r="3"/>
    <row r="6">
      <c r="B6" s="90" t="inlineStr">
        <is>
          <t>Dimensjoner
Dim_Dato
Dim_Art
Dim_Funksjon
Dim_Ansvar
Dim_Kontoklasse</t>
        </is>
      </c>
      <c r="F6" s="91" t="inlineStr">
        <is>
          <t>Fact_Regnskap
transaksjon_id
KOSTRA keys
korrigert_beløp
budsjett_beløp</t>
        </is>
      </c>
      <c r="K6" s="92" t="inlineStr">
        <is>
          <t>Fact_Prognose
EOY
avvik
modellversjon</t>
        </is>
      </c>
    </row>
    <row r="7"/>
    <row r="8"/>
    <row r="9" ht="23.5" customHeight="1" s="5">
      <c r="E9" s="10" t="inlineStr">
        <is>
          <t>→</t>
        </is>
      </c>
      <c r="J9" s="10" t="inlineStr">
        <is>
          <t>→</t>
        </is>
      </c>
    </row>
    <row r="10"/>
    <row r="11"/>
    <row r="12"/>
    <row r="15">
      <c r="K15" s="93" t="inlineStr">
        <is>
          <t>Fact_Alert
KPI
severity
driver
confidence</t>
        </is>
      </c>
    </row>
    <row r="16"/>
    <row r="17"/>
    <row r="18"/>
    <row r="19"/>
    <row r="20"/>
    <row r="24">
      <c r="B24" s="90" t="inlineStr">
        <is>
          <t>Dim_Tiltak
kategori
horisont
kontrollbehov
fullmakt</t>
        </is>
      </c>
      <c r="F24" s="91" t="inlineStr">
        <is>
          <t>Fact_Tiltak_Estimat
EOY-effekt
helårseffekt
risiko
sannsynlighet</t>
        </is>
      </c>
      <c r="K24" s="95" t="inlineStr">
        <is>
          <t>Governance
lov/tariff
HMS/tjeneste
fullmakt
status</t>
        </is>
      </c>
    </row>
    <row r="25"/>
    <row r="26"/>
    <row r="27" ht="23.5" customHeight="1" s="5">
      <c r="J27" s="10" t="inlineStr">
        <is>
          <t>→</t>
        </is>
      </c>
    </row>
    <row r="28"/>
    <row r="29"/>
    <row r="30"/>
    <row r="34">
      <c r="B34" s="92" t="inlineStr">
        <is>
          <t>Fact_Scenario
EOY før
effekt
EOY etter</t>
        </is>
      </c>
      <c r="F34" s="93" t="inlineStr">
        <is>
          <t>Audit_AI_Actions
AI anbefaling
human decision
begrunnelse</t>
        </is>
      </c>
      <c r="K34" s="90" t="inlineStr">
        <is>
          <t>Tiltak_Resultat
estimert
realisert
realiseringsgrad</t>
        </is>
      </c>
    </row>
    <row r="35"/>
    <row r="36"/>
    <row r="37" ht="23.5" customHeight="1" s="5">
      <c r="E37" s="10" t="inlineStr">
        <is>
          <t>→</t>
        </is>
      </c>
      <c r="J37" s="10" t="inlineStr">
        <is>
          <t>→</t>
        </is>
      </c>
    </row>
    <row r="38"/>
    <row r="39"/>
    <row r="40"/>
  </sheetData>
  <mergeCells count="11">
    <mergeCell ref="F24:I30"/>
    <mergeCell ref="B34:D40"/>
    <mergeCell ref="B6:D12"/>
    <mergeCell ref="K15:L20"/>
    <mergeCell ref="K34:L40"/>
    <mergeCell ref="B2:L3"/>
    <mergeCell ref="K6:L12"/>
    <mergeCell ref="K24:L30"/>
    <mergeCell ref="F34:I40"/>
    <mergeCell ref="B24:D30"/>
    <mergeCell ref="F6:I1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057"/>
  <sheetViews>
    <sheetView showGridLines="0" workbookViewId="0">
      <pane ySplit="1" topLeftCell="A2" activePane="bottomLeft" state="frozen"/>
      <selection pane="bottomLeft" activeCell="N956" sqref="N956"/>
    </sheetView>
  </sheetViews>
  <sheetFormatPr baseColWidth="8" defaultRowHeight="14.5"/>
  <cols>
    <col width="9.90625" bestFit="1" customWidth="1" style="5" min="1" max="1"/>
    <col width="10.36328125" bestFit="1" customWidth="1" style="5" min="2" max="2"/>
    <col width="12.26953125" bestFit="1" customWidth="1" style="5" min="3" max="3"/>
    <col width="8.7265625" bestFit="1" customWidth="1" style="5" min="4" max="4"/>
    <col width="28.1796875" customWidth="1" style="5" min="5" max="5"/>
    <col width="26.90625" customWidth="1" style="5" min="6" max="6"/>
    <col width="16.90625" customWidth="1" style="5" min="7" max="7"/>
    <col width="24.54296875" customWidth="1" style="5" min="8" max="10"/>
    <col width="13.453125" bestFit="1" customWidth="1" style="5" min="11" max="11"/>
    <col width="12.54296875" bestFit="1" customWidth="1" style="5" min="12" max="12"/>
    <col width="41.81640625" customWidth="1" style="5" min="13" max="13"/>
    <col width="18.1796875" customWidth="1" style="5" min="14" max="14"/>
    <col width="19.6328125" customWidth="1" style="5" min="15" max="17"/>
  </cols>
  <sheetData>
    <row r="1" ht="30" customHeight="1" s="5">
      <c r="A1" s="60" t="inlineStr">
        <is>
          <t>Periode</t>
        </is>
      </c>
      <c r="B1" s="60" t="inlineStr">
        <is>
          <t>Måned</t>
        </is>
      </c>
      <c r="C1" s="60" t="inlineStr">
        <is>
          <t>Måned_Nr</t>
        </is>
      </c>
      <c r="D1" s="60" t="inlineStr">
        <is>
          <t>Tertial</t>
        </is>
      </c>
      <c r="E1" s="60" t="inlineStr">
        <is>
          <t>Status</t>
        </is>
      </c>
      <c r="F1" s="60" t="inlineStr">
        <is>
          <t>Lokasjon</t>
        </is>
      </c>
      <c r="G1" s="60" t="inlineStr">
        <is>
          <t>KOSTRA_Funksjon</t>
        </is>
      </c>
      <c r="H1" s="60" t="inlineStr">
        <is>
          <t>Tjenesteområde</t>
        </is>
      </c>
      <c r="I1" s="60" t="inlineStr">
        <is>
          <t>Hovedgruppe</t>
        </is>
      </c>
      <c r="J1" s="60" t="inlineStr">
        <is>
          <t>Undergruppe</t>
        </is>
      </c>
      <c r="K1" s="60" t="inlineStr">
        <is>
          <t>KOSTRA_Art</t>
        </is>
      </c>
      <c r="L1" s="60" t="inlineStr">
        <is>
          <t>Kontokode</t>
        </is>
      </c>
      <c r="M1" s="60" t="inlineStr">
        <is>
          <t>Kontonavn</t>
        </is>
      </c>
      <c r="N1" s="60" t="inlineStr">
        <is>
          <t>Budsjett</t>
        </is>
      </c>
      <c r="O1" s="60" t="inlineStr">
        <is>
          <t>Regnskap</t>
        </is>
      </c>
      <c r="P1" s="60" t="inlineStr">
        <is>
          <t>Avvik</t>
        </is>
      </c>
      <c r="Q1" s="60" t="inlineStr">
        <is>
          <t>Merforbruk</t>
        </is>
      </c>
    </row>
    <row r="2">
      <c r="A2" t="inlineStr">
        <is>
          <t>2024-01</t>
        </is>
      </c>
      <c r="B2" t="inlineStr">
        <is>
          <t>Januar</t>
        </is>
      </c>
      <c r="C2" t="n">
        <v>1</v>
      </c>
      <c r="D2" t="inlineStr">
        <is>
          <t>T1</t>
        </is>
      </c>
      <c r="E2" t="inlineStr">
        <is>
          <t>Bokført</t>
        </is>
      </c>
      <c r="F2" t="inlineStr">
        <is>
          <t>Kommunal Boenhet</t>
        </is>
      </c>
      <c r="G2" t="n">
        <v>254</v>
      </c>
      <c r="H2" t="inlineStr">
        <is>
          <t>Helse og mestring</t>
        </is>
      </c>
      <c r="I2" t="inlineStr">
        <is>
          <t>1 Lønn</t>
        </is>
      </c>
      <c r="J2" t="inlineStr">
        <is>
          <t>10 Lønn</t>
        </is>
      </c>
      <c r="K2" t="n">
        <v>1010</v>
      </c>
      <c r="L2" t="n">
        <v>101000</v>
      </c>
      <c r="M2" t="inlineStr">
        <is>
          <t>Fastlønn - ordinære</t>
        </is>
      </c>
      <c r="N2" s="98" t="n">
        <v>821676</v>
      </c>
      <c r="O2" s="98" t="n">
        <v>659882.34</v>
      </c>
      <c r="P2" s="98" t="n">
        <v>161793.66</v>
      </c>
      <c r="Q2" s="98" t="n">
        <v>-161793.66</v>
      </c>
    </row>
    <row r="3">
      <c r="A3" t="inlineStr">
        <is>
          <t>2024-02</t>
        </is>
      </c>
      <c r="B3" t="inlineStr">
        <is>
          <t>Februar</t>
        </is>
      </c>
      <c r="C3" t="n">
        <v>2</v>
      </c>
      <c r="D3" t="inlineStr">
        <is>
          <t>T1</t>
        </is>
      </c>
      <c r="E3" t="inlineStr">
        <is>
          <t>Bokført</t>
        </is>
      </c>
      <c r="F3" t="inlineStr">
        <is>
          <t>Kommunal Boenhet</t>
        </is>
      </c>
      <c r="G3" t="n">
        <v>254</v>
      </c>
      <c r="H3" t="inlineStr">
        <is>
          <t>Helse og mestring</t>
        </is>
      </c>
      <c r="I3" t="inlineStr">
        <is>
          <t>1 Lønn</t>
        </is>
      </c>
      <c r="J3" t="inlineStr">
        <is>
          <t>10 Lønn</t>
        </is>
      </c>
      <c r="K3" t="n">
        <v>1010</v>
      </c>
      <c r="L3" t="n">
        <v>101000</v>
      </c>
      <c r="M3" t="inlineStr">
        <is>
          <t>Fastlønn - ordinære</t>
        </is>
      </c>
      <c r="N3" s="98" t="n">
        <v>821676</v>
      </c>
      <c r="O3" s="98" t="n">
        <v>956490.83</v>
      </c>
      <c r="P3" s="98" t="n">
        <v>-134814.83</v>
      </c>
      <c r="Q3" s="98" t="n">
        <v>134814.83</v>
      </c>
    </row>
    <row r="4">
      <c r="A4" t="inlineStr">
        <is>
          <t>2024-03</t>
        </is>
      </c>
      <c r="B4" t="inlineStr">
        <is>
          <t>Mars</t>
        </is>
      </c>
      <c r="C4" t="n">
        <v>3</v>
      </c>
      <c r="D4" t="inlineStr">
        <is>
          <t>T1</t>
        </is>
      </c>
      <c r="E4" t="inlineStr">
        <is>
          <t>Bokført</t>
        </is>
      </c>
      <c r="F4" t="inlineStr">
        <is>
          <t>Kommunal Boenhet</t>
        </is>
      </c>
      <c r="G4" t="n">
        <v>254</v>
      </c>
      <c r="H4" t="inlineStr">
        <is>
          <t>Helse og mestring</t>
        </is>
      </c>
      <c r="I4" t="inlineStr">
        <is>
          <t>1 Lønn</t>
        </is>
      </c>
      <c r="J4" t="inlineStr">
        <is>
          <t>10 Lønn</t>
        </is>
      </c>
      <c r="K4" t="n">
        <v>1010</v>
      </c>
      <c r="L4" t="n">
        <v>101000</v>
      </c>
      <c r="M4" t="inlineStr">
        <is>
          <t>Fastlønn - ordinære</t>
        </is>
      </c>
      <c r="N4" s="98" t="n">
        <v>821676</v>
      </c>
      <c r="O4" s="98" t="n">
        <v>923021.33</v>
      </c>
      <c r="P4" s="98" t="n">
        <v>-101345.33</v>
      </c>
      <c r="Q4" s="98" t="n">
        <v>101345.33</v>
      </c>
    </row>
    <row r="5">
      <c r="A5" t="inlineStr">
        <is>
          <t>2024-04</t>
        </is>
      </c>
      <c r="B5" t="inlineStr">
        <is>
          <t>April</t>
        </is>
      </c>
      <c r="C5" t="n">
        <v>4</v>
      </c>
      <c r="D5" t="inlineStr">
        <is>
          <t>T1</t>
        </is>
      </c>
      <c r="E5" t="inlineStr">
        <is>
          <t>Bokført</t>
        </is>
      </c>
      <c r="F5" t="inlineStr">
        <is>
          <t>Kommunal Boenhet</t>
        </is>
      </c>
      <c r="G5" t="n">
        <v>254</v>
      </c>
      <c r="H5" t="inlineStr">
        <is>
          <t>Helse og mestring</t>
        </is>
      </c>
      <c r="I5" t="inlineStr">
        <is>
          <t>1 Lønn</t>
        </is>
      </c>
      <c r="J5" t="inlineStr">
        <is>
          <t>10 Lønn</t>
        </is>
      </c>
      <c r="K5" t="n">
        <v>1010</v>
      </c>
      <c r="L5" t="n">
        <v>101000</v>
      </c>
      <c r="M5" t="inlineStr">
        <is>
          <t>Fastlønn - ordinære</t>
        </is>
      </c>
      <c r="N5" s="98" t="n">
        <v>821676</v>
      </c>
      <c r="O5" s="98" t="n">
        <v>804796.85</v>
      </c>
      <c r="P5" s="98" t="n">
        <v>16879.15</v>
      </c>
      <c r="Q5" s="98" t="n">
        <v>-16879.15</v>
      </c>
    </row>
    <row r="6">
      <c r="A6" t="inlineStr">
        <is>
          <t>2024-05</t>
        </is>
      </c>
      <c r="B6" t="inlineStr">
        <is>
          <t>Mai</t>
        </is>
      </c>
      <c r="C6" t="n">
        <v>5</v>
      </c>
      <c r="D6" t="inlineStr">
        <is>
          <t>T2</t>
        </is>
      </c>
      <c r="E6" t="inlineStr">
        <is>
          <t>Bokført</t>
        </is>
      </c>
      <c r="F6" t="inlineStr">
        <is>
          <t>Kommunal Boenhet</t>
        </is>
      </c>
      <c r="G6" t="n">
        <v>254</v>
      </c>
      <c r="H6" t="inlineStr">
        <is>
          <t>Helse og mestring</t>
        </is>
      </c>
      <c r="I6" t="inlineStr">
        <is>
          <t>1 Lønn</t>
        </is>
      </c>
      <c r="J6" t="inlineStr">
        <is>
          <t>10 Lønn</t>
        </is>
      </c>
      <c r="K6" t="n">
        <v>1010</v>
      </c>
      <c r="L6" t="n">
        <v>101000</v>
      </c>
      <c r="M6" t="inlineStr">
        <is>
          <t>Fastlønn - ordinære</t>
        </is>
      </c>
      <c r="N6" s="98" t="n">
        <v>857162</v>
      </c>
      <c r="O6" s="98" t="n">
        <v>920235.95</v>
      </c>
      <c r="P6" s="98" t="n">
        <v>-63073.95</v>
      </c>
      <c r="Q6" s="98" t="n">
        <v>63073.95</v>
      </c>
    </row>
    <row r="7">
      <c r="A7" t="inlineStr">
        <is>
          <t>2024-06</t>
        </is>
      </c>
      <c r="B7" t="inlineStr">
        <is>
          <t>Juni</t>
        </is>
      </c>
      <c r="C7" t="n">
        <v>6</v>
      </c>
      <c r="D7" t="inlineStr">
        <is>
          <t>T2</t>
        </is>
      </c>
      <c r="E7" t="inlineStr">
        <is>
          <t>Bokført</t>
        </is>
      </c>
      <c r="F7" t="inlineStr">
        <is>
          <t>Kommunal Boenhet</t>
        </is>
      </c>
      <c r="G7" t="n">
        <v>254</v>
      </c>
      <c r="H7" t="inlineStr">
        <is>
          <t>Helse og mestring</t>
        </is>
      </c>
      <c r="I7" t="inlineStr">
        <is>
          <t>1 Lønn</t>
        </is>
      </c>
      <c r="J7" t="inlineStr">
        <is>
          <t>10 Lønn</t>
        </is>
      </c>
      <c r="K7" t="n">
        <v>1010</v>
      </c>
      <c r="L7" t="n">
        <v>101000</v>
      </c>
      <c r="M7" t="inlineStr">
        <is>
          <t>Fastlønn - ordinære</t>
        </is>
      </c>
      <c r="N7" s="98" t="n">
        <v>-126322</v>
      </c>
      <c r="O7" s="98" t="n">
        <v>111858.5</v>
      </c>
      <c r="P7" s="98" t="n">
        <v>-238180.5</v>
      </c>
      <c r="Q7" s="98" t="n">
        <v>238180.5</v>
      </c>
    </row>
    <row r="8">
      <c r="A8" t="inlineStr">
        <is>
          <t>2024-07</t>
        </is>
      </c>
      <c r="B8" t="inlineStr">
        <is>
          <t>Juli</t>
        </is>
      </c>
      <c r="C8" t="n">
        <v>7</v>
      </c>
      <c r="D8" t="inlineStr">
        <is>
          <t>T2</t>
        </is>
      </c>
      <c r="E8" t="inlineStr">
        <is>
          <t>Bokført</t>
        </is>
      </c>
      <c r="F8" t="inlineStr">
        <is>
          <t>Kommunal Boenhet</t>
        </is>
      </c>
      <c r="G8" t="n">
        <v>254</v>
      </c>
      <c r="H8" t="inlineStr">
        <is>
          <t>Helse og mestring</t>
        </is>
      </c>
      <c r="I8" t="inlineStr">
        <is>
          <t>1 Lønn</t>
        </is>
      </c>
      <c r="J8" t="inlineStr">
        <is>
          <t>10 Lønn</t>
        </is>
      </c>
      <c r="K8" t="n">
        <v>1010</v>
      </c>
      <c r="L8" t="n">
        <v>101000</v>
      </c>
      <c r="M8" t="inlineStr">
        <is>
          <t>Fastlønn - ordinære</t>
        </is>
      </c>
      <c r="N8" s="98" t="n">
        <v>857144</v>
      </c>
      <c r="O8" s="98" t="n">
        <v>953189.12</v>
      </c>
      <c r="P8" s="98" t="n">
        <v>-96045.12</v>
      </c>
      <c r="Q8" s="98" t="n">
        <v>96045.12</v>
      </c>
    </row>
    <row r="9">
      <c r="A9" t="inlineStr">
        <is>
          <t>2024-08</t>
        </is>
      </c>
      <c r="B9" t="inlineStr">
        <is>
          <t>August</t>
        </is>
      </c>
      <c r="C9" t="n">
        <v>8</v>
      </c>
      <c r="D9" t="inlineStr">
        <is>
          <t>T2</t>
        </is>
      </c>
      <c r="E9" t="inlineStr">
        <is>
          <t>Bokført</t>
        </is>
      </c>
      <c r="F9" t="inlineStr">
        <is>
          <t>Kommunal Boenhet</t>
        </is>
      </c>
      <c r="G9" t="n">
        <v>254</v>
      </c>
      <c r="H9" t="inlineStr">
        <is>
          <t>Helse og mestring</t>
        </is>
      </c>
      <c r="I9" t="inlineStr">
        <is>
          <t>1 Lønn</t>
        </is>
      </c>
      <c r="J9" t="inlineStr">
        <is>
          <t>10 Lønn</t>
        </is>
      </c>
      <c r="K9" t="n">
        <v>1010</v>
      </c>
      <c r="L9" t="n">
        <v>101000</v>
      </c>
      <c r="M9" t="inlineStr">
        <is>
          <t>Fastlønn - ordinære</t>
        </is>
      </c>
      <c r="N9" s="98" t="n">
        <v>857162</v>
      </c>
      <c r="O9" s="98" t="n">
        <v>877293.6899999999</v>
      </c>
      <c r="P9" s="98" t="n">
        <v>-20131.69</v>
      </c>
      <c r="Q9" s="98" t="n">
        <v>20131.69</v>
      </c>
    </row>
    <row r="10">
      <c r="A10" t="inlineStr">
        <is>
          <t>2024-09</t>
        </is>
      </c>
      <c r="B10" t="inlineStr">
        <is>
          <t>September</t>
        </is>
      </c>
      <c r="C10" t="n">
        <v>9</v>
      </c>
      <c r="D10" t="inlineStr">
        <is>
          <t>T3</t>
        </is>
      </c>
      <c r="E10" t="inlineStr">
        <is>
          <t>Gjenstående budsjett</t>
        </is>
      </c>
      <c r="F10" t="inlineStr">
        <is>
          <t>Kommunal Boenhet</t>
        </is>
      </c>
      <c r="G10" t="n">
        <v>254</v>
      </c>
      <c r="H10" t="inlineStr">
        <is>
          <t>Helse og mestring</t>
        </is>
      </c>
      <c r="I10" t="inlineStr">
        <is>
          <t>1 Lønn</t>
        </is>
      </c>
      <c r="J10" t="inlineStr">
        <is>
          <t>10 Lønn</t>
        </is>
      </c>
      <c r="K10" t="n">
        <v>1010</v>
      </c>
      <c r="L10" t="n">
        <v>101000</v>
      </c>
      <c r="M10" t="inlineStr">
        <is>
          <t>Fastlønn - ordinære</t>
        </is>
      </c>
      <c r="N10" s="98" t="n">
        <v>857162</v>
      </c>
      <c r="O10" s="98" t="n">
        <v>0</v>
      </c>
      <c r="P10" s="98" t="n">
        <v>0</v>
      </c>
      <c r="Q10" s="98" t="n">
        <v>-857162</v>
      </c>
    </row>
    <row r="11">
      <c r="A11" t="inlineStr">
        <is>
          <t>2024-10</t>
        </is>
      </c>
      <c r="B11" t="inlineStr">
        <is>
          <t>Oktober</t>
        </is>
      </c>
      <c r="C11" t="n">
        <v>10</v>
      </c>
      <c r="D11" t="inlineStr">
        <is>
          <t>T3</t>
        </is>
      </c>
      <c r="E11" t="inlineStr">
        <is>
          <t>Gjenstående budsjett</t>
        </is>
      </c>
      <c r="F11" t="inlineStr">
        <is>
          <t>Kommunal Boenhet</t>
        </is>
      </c>
      <c r="G11" t="n">
        <v>254</v>
      </c>
      <c r="H11" t="inlineStr">
        <is>
          <t>Helse og mestring</t>
        </is>
      </c>
      <c r="I11" t="inlineStr">
        <is>
          <t>1 Lønn</t>
        </is>
      </c>
      <c r="J11" t="inlineStr">
        <is>
          <t>10 Lønn</t>
        </is>
      </c>
      <c r="K11" t="n">
        <v>1010</v>
      </c>
      <c r="L11" t="n">
        <v>101000</v>
      </c>
      <c r="M11" t="inlineStr">
        <is>
          <t>Fastlønn - ordinære</t>
        </is>
      </c>
      <c r="N11" s="98" t="n">
        <v>857162</v>
      </c>
      <c r="O11" s="98" t="n">
        <v>0</v>
      </c>
      <c r="P11" s="98" t="n">
        <v>0</v>
      </c>
      <c r="Q11" s="98" t="n">
        <v>-857162</v>
      </c>
    </row>
    <row r="12">
      <c r="A12" t="inlineStr">
        <is>
          <t>2024-11</t>
        </is>
      </c>
      <c r="B12" t="inlineStr">
        <is>
          <t>November</t>
        </is>
      </c>
      <c r="C12" t="n">
        <v>11</v>
      </c>
      <c r="D12" t="inlineStr">
        <is>
          <t>T3</t>
        </is>
      </c>
      <c r="E12" t="inlineStr">
        <is>
          <t>Gjenstående budsjett</t>
        </is>
      </c>
      <c r="F12" t="inlineStr">
        <is>
          <t>Kommunal Boenhet</t>
        </is>
      </c>
      <c r="G12" t="n">
        <v>254</v>
      </c>
      <c r="H12" t="inlineStr">
        <is>
          <t>Helse og mestring</t>
        </is>
      </c>
      <c r="I12" t="inlineStr">
        <is>
          <t>1 Lønn</t>
        </is>
      </c>
      <c r="J12" t="inlineStr">
        <is>
          <t>10 Lønn</t>
        </is>
      </c>
      <c r="K12" t="n">
        <v>1010</v>
      </c>
      <c r="L12" t="n">
        <v>101000</v>
      </c>
      <c r="M12" t="inlineStr">
        <is>
          <t>Fastlønn - ordinære</t>
        </is>
      </c>
      <c r="N12" s="98" t="n">
        <v>857162</v>
      </c>
      <c r="O12" s="98" t="n">
        <v>0</v>
      </c>
      <c r="P12" s="98" t="n">
        <v>0</v>
      </c>
      <c r="Q12" s="98" t="n">
        <v>-857162</v>
      </c>
    </row>
    <row r="13">
      <c r="A13" t="inlineStr">
        <is>
          <t>2024-12</t>
        </is>
      </c>
      <c r="B13" t="inlineStr">
        <is>
          <t>Desember</t>
        </is>
      </c>
      <c r="C13" t="n">
        <v>12</v>
      </c>
      <c r="D13" t="inlineStr">
        <is>
          <t>T3</t>
        </is>
      </c>
      <c r="E13" t="inlineStr">
        <is>
          <t>Gjenstående budsjett</t>
        </is>
      </c>
      <c r="F13" t="inlineStr">
        <is>
          <t>Kommunal Boenhet</t>
        </is>
      </c>
      <c r="G13" t="n">
        <v>254</v>
      </c>
      <c r="H13" t="inlineStr">
        <is>
          <t>Helse og mestring</t>
        </is>
      </c>
      <c r="I13" t="inlineStr">
        <is>
          <t>1 Lønn</t>
        </is>
      </c>
      <c r="J13" t="inlineStr">
        <is>
          <t>10 Lønn</t>
        </is>
      </c>
      <c r="K13" t="n">
        <v>1010</v>
      </c>
      <c r="L13" t="n">
        <v>101000</v>
      </c>
      <c r="M13" t="inlineStr">
        <is>
          <t>Fastlønn - ordinære</t>
        </is>
      </c>
      <c r="N13" s="98" t="n">
        <v>857364</v>
      </c>
      <c r="O13" s="98" t="n">
        <v>0</v>
      </c>
      <c r="P13" s="98" t="n">
        <v>0</v>
      </c>
      <c r="Q13" s="98" t="n">
        <v>-857364</v>
      </c>
    </row>
    <row r="14">
      <c r="A14" t="inlineStr">
        <is>
          <t>2024-01</t>
        </is>
      </c>
      <c r="B14" t="inlineStr">
        <is>
          <t>Januar</t>
        </is>
      </c>
      <c r="C14" t="n">
        <v>1</v>
      </c>
      <c r="D14" t="inlineStr">
        <is>
          <t>T1</t>
        </is>
      </c>
      <c r="E14" t="inlineStr">
        <is>
          <t>Bokført</t>
        </is>
      </c>
      <c r="F14" t="inlineStr">
        <is>
          <t>Kommunal Boenhet</t>
        </is>
      </c>
      <c r="G14" t="n">
        <v>254</v>
      </c>
      <c r="H14" t="inlineStr">
        <is>
          <t>Helse og mestring</t>
        </is>
      </c>
      <c r="I14" t="inlineStr">
        <is>
          <t>1 Lønn</t>
        </is>
      </c>
      <c r="J14" t="inlineStr">
        <is>
          <t>10 Lønn</t>
        </is>
      </c>
      <c r="K14" t="n">
        <v>1010</v>
      </c>
      <c r="L14" t="n">
        <v>101030</v>
      </c>
      <c r="M14" t="inlineStr">
        <is>
          <t>Fastlønn - lørdags- og søndagstillegg</t>
        </is>
      </c>
      <c r="N14" s="98" t="n">
        <v>56644</v>
      </c>
      <c r="O14" s="98" t="n">
        <v>36599.82</v>
      </c>
      <c r="P14" s="98" t="n">
        <v>20044.18</v>
      </c>
      <c r="Q14" s="98" t="n">
        <v>-20044.18</v>
      </c>
    </row>
    <row r="15">
      <c r="A15" t="inlineStr">
        <is>
          <t>2024-02</t>
        </is>
      </c>
      <c r="B15" t="inlineStr">
        <is>
          <t>Februar</t>
        </is>
      </c>
      <c r="C15" t="n">
        <v>2</v>
      </c>
      <c r="D15" t="inlineStr">
        <is>
          <t>T1</t>
        </is>
      </c>
      <c r="E15" t="inlineStr">
        <is>
          <t>Bokført</t>
        </is>
      </c>
      <c r="F15" t="inlineStr">
        <is>
          <t>Kommunal Boenhet</t>
        </is>
      </c>
      <c r="G15" t="n">
        <v>254</v>
      </c>
      <c r="H15" t="inlineStr">
        <is>
          <t>Helse og mestring</t>
        </is>
      </c>
      <c r="I15" t="inlineStr">
        <is>
          <t>1 Lønn</t>
        </is>
      </c>
      <c r="J15" t="inlineStr">
        <is>
          <t>10 Lønn</t>
        </is>
      </c>
      <c r="K15" t="n">
        <v>1010</v>
      </c>
      <c r="L15" t="n">
        <v>101030</v>
      </c>
      <c r="M15" t="inlineStr">
        <is>
          <t>Fastlønn - lørdags- og søndagstillegg</t>
        </is>
      </c>
      <c r="N15" s="98" t="n">
        <v>56644</v>
      </c>
      <c r="O15" s="98" t="n">
        <v>70150.5</v>
      </c>
      <c r="P15" s="98" t="n">
        <v>-13506.5</v>
      </c>
      <c r="Q15" s="98" t="n">
        <v>13506.5</v>
      </c>
    </row>
    <row r="16">
      <c r="A16" t="inlineStr">
        <is>
          <t>2024-03</t>
        </is>
      </c>
      <c r="B16" t="inlineStr">
        <is>
          <t>Mars</t>
        </is>
      </c>
      <c r="C16" t="n">
        <v>3</v>
      </c>
      <c r="D16" t="inlineStr">
        <is>
          <t>T1</t>
        </is>
      </c>
      <c r="E16" t="inlineStr">
        <is>
          <t>Bokført</t>
        </is>
      </c>
      <c r="F16" t="inlineStr">
        <is>
          <t>Kommunal Boenhet</t>
        </is>
      </c>
      <c r="G16" t="n">
        <v>254</v>
      </c>
      <c r="H16" t="inlineStr">
        <is>
          <t>Helse og mestring</t>
        </is>
      </c>
      <c r="I16" t="inlineStr">
        <is>
          <t>1 Lønn</t>
        </is>
      </c>
      <c r="J16" t="inlineStr">
        <is>
          <t>10 Lønn</t>
        </is>
      </c>
      <c r="K16" t="n">
        <v>1010</v>
      </c>
      <c r="L16" t="n">
        <v>101030</v>
      </c>
      <c r="M16" t="inlineStr">
        <is>
          <t>Fastlønn - lørdags- og søndagstillegg</t>
        </is>
      </c>
      <c r="N16" s="98" t="n">
        <v>56644</v>
      </c>
      <c r="O16" s="98" t="n">
        <v>39979.31</v>
      </c>
      <c r="P16" s="98" t="n">
        <v>16664.69</v>
      </c>
      <c r="Q16" s="98" t="n">
        <v>-16664.69</v>
      </c>
    </row>
    <row r="17">
      <c r="A17" t="inlineStr">
        <is>
          <t>2024-04</t>
        </is>
      </c>
      <c r="B17" t="inlineStr">
        <is>
          <t>April</t>
        </is>
      </c>
      <c r="C17" t="n">
        <v>4</v>
      </c>
      <c r="D17" t="inlineStr">
        <is>
          <t>T1</t>
        </is>
      </c>
      <c r="E17" t="inlineStr">
        <is>
          <t>Bokført</t>
        </is>
      </c>
      <c r="F17" t="inlineStr">
        <is>
          <t>Kommunal Boenhet</t>
        </is>
      </c>
      <c r="G17" t="n">
        <v>254</v>
      </c>
      <c r="H17" t="inlineStr">
        <is>
          <t>Helse og mestring</t>
        </is>
      </c>
      <c r="I17" t="inlineStr">
        <is>
          <t>1 Lønn</t>
        </is>
      </c>
      <c r="J17" t="inlineStr">
        <is>
          <t>10 Lønn</t>
        </is>
      </c>
      <c r="K17" t="n">
        <v>1010</v>
      </c>
      <c r="L17" t="n">
        <v>101030</v>
      </c>
      <c r="M17" t="inlineStr">
        <is>
          <t>Fastlønn - lørdags- og søndagstillegg</t>
        </is>
      </c>
      <c r="N17" s="98" t="n">
        <v>56644</v>
      </c>
      <c r="O17" s="98" t="n">
        <v>48274.93</v>
      </c>
      <c r="P17" s="98" t="n">
        <v>8369.07</v>
      </c>
      <c r="Q17" s="98" t="n">
        <v>-8369.07</v>
      </c>
    </row>
    <row r="18">
      <c r="A18" t="inlineStr">
        <is>
          <t>2024-05</t>
        </is>
      </c>
      <c r="B18" t="inlineStr">
        <is>
          <t>Mai</t>
        </is>
      </c>
      <c r="C18" t="n">
        <v>5</v>
      </c>
      <c r="D18" t="inlineStr">
        <is>
          <t>T2</t>
        </is>
      </c>
      <c r="E18" t="inlineStr">
        <is>
          <t>Bokført</t>
        </is>
      </c>
      <c r="F18" t="inlineStr">
        <is>
          <t>Kommunal Boenhet</t>
        </is>
      </c>
      <c r="G18" t="n">
        <v>254</v>
      </c>
      <c r="H18" t="inlineStr">
        <is>
          <t>Helse og mestring</t>
        </is>
      </c>
      <c r="I18" t="inlineStr">
        <is>
          <t>1 Lønn</t>
        </is>
      </c>
      <c r="J18" t="inlineStr">
        <is>
          <t>10 Lønn</t>
        </is>
      </c>
      <c r="K18" t="n">
        <v>1010</v>
      </c>
      <c r="L18" t="n">
        <v>101030</v>
      </c>
      <c r="M18" t="inlineStr">
        <is>
          <t>Fastlønn - lørdags- og søndagstillegg</t>
        </is>
      </c>
      <c r="N18" s="98" t="n">
        <v>56644</v>
      </c>
      <c r="O18" s="98" t="n">
        <v>47870.48</v>
      </c>
      <c r="P18" s="98" t="n">
        <v>8773.52</v>
      </c>
      <c r="Q18" s="98" t="n">
        <v>-8773.52</v>
      </c>
    </row>
    <row r="19">
      <c r="A19" t="inlineStr">
        <is>
          <t>2024-06</t>
        </is>
      </c>
      <c r="B19" t="inlineStr">
        <is>
          <t>Juni</t>
        </is>
      </c>
      <c r="C19" t="n">
        <v>6</v>
      </c>
      <c r="D19" t="inlineStr">
        <is>
          <t>T2</t>
        </is>
      </c>
      <c r="E19" t="inlineStr">
        <is>
          <t>Bokført</t>
        </is>
      </c>
      <c r="F19" t="inlineStr">
        <is>
          <t>Kommunal Boenhet</t>
        </is>
      </c>
      <c r="G19" t="n">
        <v>254</v>
      </c>
      <c r="H19" t="inlineStr">
        <is>
          <t>Helse og mestring</t>
        </is>
      </c>
      <c r="I19" t="inlineStr">
        <is>
          <t>1 Lønn</t>
        </is>
      </c>
      <c r="J19" t="inlineStr">
        <is>
          <t>10 Lønn</t>
        </is>
      </c>
      <c r="K19" t="n">
        <v>1010</v>
      </c>
      <c r="L19" t="n">
        <v>101030</v>
      </c>
      <c r="M19" t="inlineStr">
        <is>
          <t>Fastlønn - lørdags- og søndagstillegg</t>
        </is>
      </c>
      <c r="N19" s="98" t="n">
        <v>56644</v>
      </c>
      <c r="O19" s="98" t="n">
        <v>-6962.54</v>
      </c>
      <c r="P19" s="98" t="n">
        <v>63606.54</v>
      </c>
      <c r="Q19" s="98" t="n">
        <v>-63606.54</v>
      </c>
    </row>
    <row r="20">
      <c r="A20" t="inlineStr">
        <is>
          <t>2024-07</t>
        </is>
      </c>
      <c r="B20" t="inlineStr">
        <is>
          <t>Juli</t>
        </is>
      </c>
      <c r="C20" t="n">
        <v>7</v>
      </c>
      <c r="D20" t="inlineStr">
        <is>
          <t>T2</t>
        </is>
      </c>
      <c r="E20" t="inlineStr">
        <is>
          <t>Bokført</t>
        </is>
      </c>
      <c r="F20" t="inlineStr">
        <is>
          <t>Kommunal Boenhet</t>
        </is>
      </c>
      <c r="G20" t="n">
        <v>254</v>
      </c>
      <c r="H20" t="inlineStr">
        <is>
          <t>Helse og mestring</t>
        </is>
      </c>
      <c r="I20" t="inlineStr">
        <is>
          <t>1 Lønn</t>
        </is>
      </c>
      <c r="J20" t="inlineStr">
        <is>
          <t>10 Lønn</t>
        </is>
      </c>
      <c r="K20" t="n">
        <v>1010</v>
      </c>
      <c r="L20" t="n">
        <v>101030</v>
      </c>
      <c r="M20" t="inlineStr">
        <is>
          <t>Fastlønn - lørdags- og søndagstillegg</t>
        </is>
      </c>
      <c r="N20" s="98" t="n">
        <v>56644</v>
      </c>
      <c r="O20" s="98" t="n">
        <v>43842.94</v>
      </c>
      <c r="P20" s="98" t="n">
        <v>12801.06</v>
      </c>
      <c r="Q20" s="98" t="n">
        <v>-12801.06</v>
      </c>
    </row>
    <row r="21">
      <c r="A21" t="inlineStr">
        <is>
          <t>2024-08</t>
        </is>
      </c>
      <c r="B21" t="inlineStr">
        <is>
          <t>August</t>
        </is>
      </c>
      <c r="C21" t="n">
        <v>8</v>
      </c>
      <c r="D21" t="inlineStr">
        <is>
          <t>T2</t>
        </is>
      </c>
      <c r="E21" t="inlineStr">
        <is>
          <t>Bokført</t>
        </is>
      </c>
      <c r="F21" t="inlineStr">
        <is>
          <t>Kommunal Boenhet</t>
        </is>
      </c>
      <c r="G21" t="n">
        <v>254</v>
      </c>
      <c r="H21" t="inlineStr">
        <is>
          <t>Helse og mestring</t>
        </is>
      </c>
      <c r="I21" t="inlineStr">
        <is>
          <t>1 Lønn</t>
        </is>
      </c>
      <c r="J21" t="inlineStr">
        <is>
          <t>10 Lønn</t>
        </is>
      </c>
      <c r="K21" t="n">
        <v>1010</v>
      </c>
      <c r="L21" t="n">
        <v>101030</v>
      </c>
      <c r="M21" t="inlineStr">
        <is>
          <t>Fastlønn - lørdags- og søndagstillegg</t>
        </is>
      </c>
      <c r="N21" s="98" t="n">
        <v>56644</v>
      </c>
      <c r="O21" s="98" t="n">
        <v>44006.01</v>
      </c>
      <c r="P21" s="98" t="n">
        <v>12637.99</v>
      </c>
      <c r="Q21" s="98" t="n">
        <v>-12637.99</v>
      </c>
    </row>
    <row r="22">
      <c r="A22" t="inlineStr">
        <is>
          <t>2024-09</t>
        </is>
      </c>
      <c r="B22" t="inlineStr">
        <is>
          <t>September</t>
        </is>
      </c>
      <c r="C22" t="n">
        <v>9</v>
      </c>
      <c r="D22" t="inlineStr">
        <is>
          <t>T3</t>
        </is>
      </c>
      <c r="E22" t="inlineStr">
        <is>
          <t>Gjenstående budsjett</t>
        </is>
      </c>
      <c r="F22" t="inlineStr">
        <is>
          <t>Kommunal Boenhet</t>
        </is>
      </c>
      <c r="G22" t="n">
        <v>254</v>
      </c>
      <c r="H22" t="inlineStr">
        <is>
          <t>Helse og mestring</t>
        </is>
      </c>
      <c r="I22" t="inlineStr">
        <is>
          <t>1 Lønn</t>
        </is>
      </c>
      <c r="J22" t="inlineStr">
        <is>
          <t>10 Lønn</t>
        </is>
      </c>
      <c r="K22" t="n">
        <v>1010</v>
      </c>
      <c r="L22" t="n">
        <v>101030</v>
      </c>
      <c r="M22" t="inlineStr">
        <is>
          <t>Fastlønn - lørdags- og søndagstillegg</t>
        </is>
      </c>
      <c r="N22" s="98" t="n">
        <v>56644</v>
      </c>
      <c r="O22" s="98" t="n">
        <v>0</v>
      </c>
      <c r="P22" s="98" t="n">
        <v>0</v>
      </c>
      <c r="Q22" s="98" t="n">
        <v>-56644</v>
      </c>
    </row>
    <row r="23">
      <c r="A23" t="inlineStr">
        <is>
          <t>2024-10</t>
        </is>
      </c>
      <c r="B23" t="inlineStr">
        <is>
          <t>Oktober</t>
        </is>
      </c>
      <c r="C23" t="n">
        <v>10</v>
      </c>
      <c r="D23" t="inlineStr">
        <is>
          <t>T3</t>
        </is>
      </c>
      <c r="E23" t="inlineStr">
        <is>
          <t>Gjenstående budsjett</t>
        </is>
      </c>
      <c r="F23" t="inlineStr">
        <is>
          <t>Kommunal Boenhet</t>
        </is>
      </c>
      <c r="G23" t="n">
        <v>254</v>
      </c>
      <c r="H23" t="inlineStr">
        <is>
          <t>Helse og mestring</t>
        </is>
      </c>
      <c r="I23" t="inlineStr">
        <is>
          <t>1 Lønn</t>
        </is>
      </c>
      <c r="J23" t="inlineStr">
        <is>
          <t>10 Lønn</t>
        </is>
      </c>
      <c r="K23" t="n">
        <v>1010</v>
      </c>
      <c r="L23" t="n">
        <v>101030</v>
      </c>
      <c r="M23" t="inlineStr">
        <is>
          <t>Fastlønn - lørdags- og søndagstillegg</t>
        </is>
      </c>
      <c r="N23" s="98" t="n">
        <v>56644</v>
      </c>
      <c r="O23" s="98" t="n">
        <v>0</v>
      </c>
      <c r="P23" s="98" t="n">
        <v>0</v>
      </c>
      <c r="Q23" s="98" t="n">
        <v>-56644</v>
      </c>
    </row>
    <row r="24">
      <c r="A24" t="inlineStr">
        <is>
          <t>2024-11</t>
        </is>
      </c>
      <c r="B24" t="inlineStr">
        <is>
          <t>November</t>
        </is>
      </c>
      <c r="C24" t="n">
        <v>11</v>
      </c>
      <c r="D24" t="inlineStr">
        <is>
          <t>T3</t>
        </is>
      </c>
      <c r="E24" t="inlineStr">
        <is>
          <t>Gjenstående budsjett</t>
        </is>
      </c>
      <c r="F24" t="inlineStr">
        <is>
          <t>Kommunal Boenhet</t>
        </is>
      </c>
      <c r="G24" t="n">
        <v>254</v>
      </c>
      <c r="H24" t="inlineStr">
        <is>
          <t>Helse og mestring</t>
        </is>
      </c>
      <c r="I24" t="inlineStr">
        <is>
          <t>1 Lønn</t>
        </is>
      </c>
      <c r="J24" t="inlineStr">
        <is>
          <t>10 Lønn</t>
        </is>
      </c>
      <c r="K24" t="n">
        <v>1010</v>
      </c>
      <c r="L24" t="n">
        <v>101030</v>
      </c>
      <c r="M24" t="inlineStr">
        <is>
          <t>Fastlønn - lørdags- og søndagstillegg</t>
        </is>
      </c>
      <c r="N24" s="98" t="n">
        <v>56644</v>
      </c>
      <c r="O24" s="98" t="n">
        <v>0</v>
      </c>
      <c r="P24" s="98" t="n">
        <v>0</v>
      </c>
      <c r="Q24" s="98" t="n">
        <v>-56644</v>
      </c>
    </row>
    <row r="25">
      <c r="A25" t="inlineStr">
        <is>
          <t>2024-12</t>
        </is>
      </c>
      <c r="B25" t="inlineStr">
        <is>
          <t>Desember</t>
        </is>
      </c>
      <c r="C25" t="n">
        <v>12</v>
      </c>
      <c r="D25" t="inlineStr">
        <is>
          <t>T3</t>
        </is>
      </c>
      <c r="E25" t="inlineStr">
        <is>
          <t>Gjenstående budsjett</t>
        </is>
      </c>
      <c r="F25" t="inlineStr">
        <is>
          <t>Kommunal Boenhet</t>
        </is>
      </c>
      <c r="G25" t="n">
        <v>254</v>
      </c>
      <c r="H25" t="inlineStr">
        <is>
          <t>Helse og mestring</t>
        </is>
      </c>
      <c r="I25" t="inlineStr">
        <is>
          <t>1 Lønn</t>
        </is>
      </c>
      <c r="J25" t="inlineStr">
        <is>
          <t>10 Lønn</t>
        </is>
      </c>
      <c r="K25" t="n">
        <v>1010</v>
      </c>
      <c r="L25" t="n">
        <v>101030</v>
      </c>
      <c r="M25" t="inlineStr">
        <is>
          <t>Fastlønn - lørdags- og søndagstillegg</t>
        </is>
      </c>
      <c r="N25" s="98" t="n">
        <v>56916</v>
      </c>
      <c r="O25" s="98" t="n">
        <v>0</v>
      </c>
      <c r="P25" s="98" t="n">
        <v>0</v>
      </c>
      <c r="Q25" s="98" t="n">
        <v>-56916</v>
      </c>
    </row>
    <row r="26">
      <c r="A26" t="inlineStr">
        <is>
          <t>2024-01</t>
        </is>
      </c>
      <c r="B26" t="inlineStr">
        <is>
          <t>Januar</t>
        </is>
      </c>
      <c r="C26" t="n">
        <v>1</v>
      </c>
      <c r="D26" t="inlineStr">
        <is>
          <t>T1</t>
        </is>
      </c>
      <c r="E26" t="inlineStr">
        <is>
          <t>Bokført</t>
        </is>
      </c>
      <c r="F26" t="inlineStr">
        <is>
          <t>Kommunal Boenhet</t>
        </is>
      </c>
      <c r="G26" t="n">
        <v>254</v>
      </c>
      <c r="H26" t="inlineStr">
        <is>
          <t>Helse og mestring</t>
        </is>
      </c>
      <c r="I26" t="inlineStr">
        <is>
          <t>1 Lønn</t>
        </is>
      </c>
      <c r="J26" t="inlineStr">
        <is>
          <t>10 Lønn</t>
        </is>
      </c>
      <c r="K26" t="n">
        <v>1010</v>
      </c>
      <c r="L26" t="n">
        <v>101031</v>
      </c>
      <c r="M26" t="inlineStr">
        <is>
          <t>Fastlønn - kvelds- og nattillegg</t>
        </is>
      </c>
      <c r="N26" s="98" t="n">
        <v>70447</v>
      </c>
      <c r="O26" s="98" t="n">
        <v>63095.38</v>
      </c>
      <c r="P26" s="98" t="n">
        <v>7351.62</v>
      </c>
      <c r="Q26" s="98" t="n">
        <v>-7351.62</v>
      </c>
    </row>
    <row r="27">
      <c r="A27" t="inlineStr">
        <is>
          <t>2024-02</t>
        </is>
      </c>
      <c r="B27" t="inlineStr">
        <is>
          <t>Februar</t>
        </is>
      </c>
      <c r="C27" t="n">
        <v>2</v>
      </c>
      <c r="D27" t="inlineStr">
        <is>
          <t>T1</t>
        </is>
      </c>
      <c r="E27" t="inlineStr">
        <is>
          <t>Bokført</t>
        </is>
      </c>
      <c r="F27" t="inlineStr">
        <is>
          <t>Kommunal Boenhet</t>
        </is>
      </c>
      <c r="G27" t="n">
        <v>254</v>
      </c>
      <c r="H27" t="inlineStr">
        <is>
          <t>Helse og mestring</t>
        </is>
      </c>
      <c r="I27" t="inlineStr">
        <is>
          <t>1 Lønn</t>
        </is>
      </c>
      <c r="J27" t="inlineStr">
        <is>
          <t>10 Lønn</t>
        </is>
      </c>
      <c r="K27" t="n">
        <v>1010</v>
      </c>
      <c r="L27" t="n">
        <v>101031</v>
      </c>
      <c r="M27" t="inlineStr">
        <is>
          <t>Fastlønn - kvelds- og nattillegg</t>
        </is>
      </c>
      <c r="N27" s="98" t="n">
        <v>70447</v>
      </c>
      <c r="O27" s="98" t="n">
        <v>70583.67</v>
      </c>
      <c r="P27" s="98" t="n">
        <v>-136.67</v>
      </c>
      <c r="Q27" s="98" t="n">
        <v>136.67</v>
      </c>
    </row>
    <row r="28">
      <c r="A28" t="inlineStr">
        <is>
          <t>2024-03</t>
        </is>
      </c>
      <c r="B28" t="inlineStr">
        <is>
          <t>Mars</t>
        </is>
      </c>
      <c r="C28" t="n">
        <v>3</v>
      </c>
      <c r="D28" t="inlineStr">
        <is>
          <t>T1</t>
        </is>
      </c>
      <c r="E28" t="inlineStr">
        <is>
          <t>Bokført</t>
        </is>
      </c>
      <c r="F28" t="inlineStr">
        <is>
          <t>Kommunal Boenhet</t>
        </is>
      </c>
      <c r="G28" t="n">
        <v>254</v>
      </c>
      <c r="H28" t="inlineStr">
        <is>
          <t>Helse og mestring</t>
        </is>
      </c>
      <c r="I28" t="inlineStr">
        <is>
          <t>1 Lønn</t>
        </is>
      </c>
      <c r="J28" t="inlineStr">
        <is>
          <t>10 Lønn</t>
        </is>
      </c>
      <c r="K28" t="n">
        <v>1010</v>
      </c>
      <c r="L28" t="n">
        <v>101031</v>
      </c>
      <c r="M28" t="inlineStr">
        <is>
          <t>Fastlønn - kvelds- og nattillegg</t>
        </is>
      </c>
      <c r="N28" s="98" t="n">
        <v>70447</v>
      </c>
      <c r="O28" s="98" t="n">
        <v>64251.84</v>
      </c>
      <c r="P28" s="98" t="n">
        <v>6195.16</v>
      </c>
      <c r="Q28" s="98" t="n">
        <v>-6195.16</v>
      </c>
    </row>
    <row r="29">
      <c r="A29" t="inlineStr">
        <is>
          <t>2024-04</t>
        </is>
      </c>
      <c r="B29" t="inlineStr">
        <is>
          <t>April</t>
        </is>
      </c>
      <c r="C29" t="n">
        <v>4</v>
      </c>
      <c r="D29" t="inlineStr">
        <is>
          <t>T1</t>
        </is>
      </c>
      <c r="E29" t="inlineStr">
        <is>
          <t>Bokført</t>
        </is>
      </c>
      <c r="F29" t="inlineStr">
        <is>
          <t>Kommunal Boenhet</t>
        </is>
      </c>
      <c r="G29" t="n">
        <v>254</v>
      </c>
      <c r="H29" t="inlineStr">
        <is>
          <t>Helse og mestring</t>
        </is>
      </c>
      <c r="I29" t="inlineStr">
        <is>
          <t>1 Lønn</t>
        </is>
      </c>
      <c r="J29" t="inlineStr">
        <is>
          <t>10 Lønn</t>
        </is>
      </c>
      <c r="K29" t="n">
        <v>1010</v>
      </c>
      <c r="L29" t="n">
        <v>101031</v>
      </c>
      <c r="M29" t="inlineStr">
        <is>
          <t>Fastlønn - kvelds- og nattillegg</t>
        </is>
      </c>
      <c r="N29" s="98" t="n">
        <v>70447</v>
      </c>
      <c r="O29" s="98" t="n">
        <v>84135.94</v>
      </c>
      <c r="P29" s="98" t="n">
        <v>-13688.94</v>
      </c>
      <c r="Q29" s="98" t="n">
        <v>13688.94</v>
      </c>
    </row>
    <row r="30">
      <c r="A30" t="inlineStr">
        <is>
          <t>2024-05</t>
        </is>
      </c>
      <c r="B30" t="inlineStr">
        <is>
          <t>Mai</t>
        </is>
      </c>
      <c r="C30" t="n">
        <v>5</v>
      </c>
      <c r="D30" t="inlineStr">
        <is>
          <t>T2</t>
        </is>
      </c>
      <c r="E30" t="inlineStr">
        <is>
          <t>Bokført</t>
        </is>
      </c>
      <c r="F30" t="inlineStr">
        <is>
          <t>Kommunal Boenhet</t>
        </is>
      </c>
      <c r="G30" t="n">
        <v>254</v>
      </c>
      <c r="H30" t="inlineStr">
        <is>
          <t>Helse og mestring</t>
        </is>
      </c>
      <c r="I30" t="inlineStr">
        <is>
          <t>1 Lønn</t>
        </is>
      </c>
      <c r="J30" t="inlineStr">
        <is>
          <t>10 Lønn</t>
        </is>
      </c>
      <c r="K30" t="n">
        <v>1010</v>
      </c>
      <c r="L30" t="n">
        <v>101031</v>
      </c>
      <c r="M30" t="inlineStr">
        <is>
          <t>Fastlønn - kvelds- og nattillegg</t>
        </is>
      </c>
      <c r="N30" s="98" t="n">
        <v>70447</v>
      </c>
      <c r="O30" s="98" t="n">
        <v>79057.96000000001</v>
      </c>
      <c r="P30" s="98" t="n">
        <v>-8610.959999999999</v>
      </c>
      <c r="Q30" s="98" t="n">
        <v>8610.959999999999</v>
      </c>
    </row>
    <row r="31">
      <c r="A31" t="inlineStr">
        <is>
          <t>2024-06</t>
        </is>
      </c>
      <c r="B31" t="inlineStr">
        <is>
          <t>Juni</t>
        </is>
      </c>
      <c r="C31" t="n">
        <v>6</v>
      </c>
      <c r="D31" t="inlineStr">
        <is>
          <t>T2</t>
        </is>
      </c>
      <c r="E31" t="inlineStr">
        <is>
          <t>Bokført</t>
        </is>
      </c>
      <c r="F31" t="inlineStr">
        <is>
          <t>Kommunal Boenhet</t>
        </is>
      </c>
      <c r="G31" t="n">
        <v>254</v>
      </c>
      <c r="H31" t="inlineStr">
        <is>
          <t>Helse og mestring</t>
        </is>
      </c>
      <c r="I31" t="inlineStr">
        <is>
          <t>1 Lønn</t>
        </is>
      </c>
      <c r="J31" t="inlineStr">
        <is>
          <t>10 Lønn</t>
        </is>
      </c>
      <c r="K31" t="n">
        <v>1010</v>
      </c>
      <c r="L31" t="n">
        <v>101031</v>
      </c>
      <c r="M31" t="inlineStr">
        <is>
          <t>Fastlønn - kvelds- og nattillegg</t>
        </is>
      </c>
      <c r="N31" s="98" t="n">
        <v>70447</v>
      </c>
      <c r="O31" s="98" t="n">
        <v>-14989.09</v>
      </c>
      <c r="P31" s="98" t="n">
        <v>85436.09</v>
      </c>
      <c r="Q31" s="98" t="n">
        <v>-85436.09</v>
      </c>
    </row>
    <row r="32">
      <c r="A32" t="inlineStr">
        <is>
          <t>2024-07</t>
        </is>
      </c>
      <c r="B32" t="inlineStr">
        <is>
          <t>Juli</t>
        </is>
      </c>
      <c r="C32" t="n">
        <v>7</v>
      </c>
      <c r="D32" t="inlineStr">
        <is>
          <t>T2</t>
        </is>
      </c>
      <c r="E32" t="inlineStr">
        <is>
          <t>Bokført</t>
        </is>
      </c>
      <c r="F32" t="inlineStr">
        <is>
          <t>Kommunal Boenhet</t>
        </is>
      </c>
      <c r="G32" t="n">
        <v>254</v>
      </c>
      <c r="H32" t="inlineStr">
        <is>
          <t>Helse og mestring</t>
        </is>
      </c>
      <c r="I32" t="inlineStr">
        <is>
          <t>1 Lønn</t>
        </is>
      </c>
      <c r="J32" t="inlineStr">
        <is>
          <t>10 Lønn</t>
        </is>
      </c>
      <c r="K32" t="n">
        <v>1010</v>
      </c>
      <c r="L32" t="n">
        <v>101031</v>
      </c>
      <c r="M32" t="inlineStr">
        <is>
          <t>Fastlønn - kvelds- og nattillegg</t>
        </is>
      </c>
      <c r="N32" s="98" t="n">
        <v>70447</v>
      </c>
      <c r="O32" s="98" t="n">
        <v>66994.64</v>
      </c>
      <c r="P32" s="98" t="n">
        <v>3452.36</v>
      </c>
      <c r="Q32" s="98" t="n">
        <v>-3452.36</v>
      </c>
    </row>
    <row r="33">
      <c r="A33" t="inlineStr">
        <is>
          <t>2024-08</t>
        </is>
      </c>
      <c r="B33" t="inlineStr">
        <is>
          <t>August</t>
        </is>
      </c>
      <c r="C33" t="n">
        <v>8</v>
      </c>
      <c r="D33" t="inlineStr">
        <is>
          <t>T2</t>
        </is>
      </c>
      <c r="E33" t="inlineStr">
        <is>
          <t>Bokført</t>
        </is>
      </c>
      <c r="F33" t="inlineStr">
        <is>
          <t>Kommunal Boenhet</t>
        </is>
      </c>
      <c r="G33" t="n">
        <v>254</v>
      </c>
      <c r="H33" t="inlineStr">
        <is>
          <t>Helse og mestring</t>
        </is>
      </c>
      <c r="I33" t="inlineStr">
        <is>
          <t>1 Lønn</t>
        </is>
      </c>
      <c r="J33" t="inlineStr">
        <is>
          <t>10 Lønn</t>
        </is>
      </c>
      <c r="K33" t="n">
        <v>1010</v>
      </c>
      <c r="L33" t="n">
        <v>101031</v>
      </c>
      <c r="M33" t="inlineStr">
        <is>
          <t>Fastlønn - kvelds- og nattillegg</t>
        </is>
      </c>
      <c r="N33" s="98" t="n">
        <v>70447</v>
      </c>
      <c r="O33" s="98" t="n">
        <v>68899.92</v>
      </c>
      <c r="P33" s="98" t="n">
        <v>1547.08</v>
      </c>
      <c r="Q33" s="98" t="n">
        <v>-1547.08</v>
      </c>
    </row>
    <row r="34">
      <c r="A34" t="inlineStr">
        <is>
          <t>2024-09</t>
        </is>
      </c>
      <c r="B34" t="inlineStr">
        <is>
          <t>September</t>
        </is>
      </c>
      <c r="C34" t="n">
        <v>9</v>
      </c>
      <c r="D34" t="inlineStr">
        <is>
          <t>T3</t>
        </is>
      </c>
      <c r="E34" t="inlineStr">
        <is>
          <t>Gjenstående budsjett</t>
        </is>
      </c>
      <c r="F34" t="inlineStr">
        <is>
          <t>Kommunal Boenhet</t>
        </is>
      </c>
      <c r="G34" t="n">
        <v>254</v>
      </c>
      <c r="H34" t="inlineStr">
        <is>
          <t>Helse og mestring</t>
        </is>
      </c>
      <c r="I34" t="inlineStr">
        <is>
          <t>1 Lønn</t>
        </is>
      </c>
      <c r="J34" t="inlineStr">
        <is>
          <t>10 Lønn</t>
        </is>
      </c>
      <c r="K34" t="n">
        <v>1010</v>
      </c>
      <c r="L34" t="n">
        <v>101031</v>
      </c>
      <c r="M34" t="inlineStr">
        <is>
          <t>Fastlønn - kvelds- og nattillegg</t>
        </is>
      </c>
      <c r="N34" s="98" t="n">
        <v>70447</v>
      </c>
      <c r="O34" s="98" t="n">
        <v>0</v>
      </c>
      <c r="P34" s="98" t="n">
        <v>0</v>
      </c>
      <c r="Q34" s="98" t="n">
        <v>-70447</v>
      </c>
    </row>
    <row r="35">
      <c r="A35" t="inlineStr">
        <is>
          <t>2024-10</t>
        </is>
      </c>
      <c r="B35" t="inlineStr">
        <is>
          <t>Oktober</t>
        </is>
      </c>
      <c r="C35" t="n">
        <v>10</v>
      </c>
      <c r="D35" t="inlineStr">
        <is>
          <t>T3</t>
        </is>
      </c>
      <c r="E35" t="inlineStr">
        <is>
          <t>Gjenstående budsjett</t>
        </is>
      </c>
      <c r="F35" t="inlineStr">
        <is>
          <t>Kommunal Boenhet</t>
        </is>
      </c>
      <c r="G35" t="n">
        <v>254</v>
      </c>
      <c r="H35" t="inlineStr">
        <is>
          <t>Helse og mestring</t>
        </is>
      </c>
      <c r="I35" t="inlineStr">
        <is>
          <t>1 Lønn</t>
        </is>
      </c>
      <c r="J35" t="inlineStr">
        <is>
          <t>10 Lønn</t>
        </is>
      </c>
      <c r="K35" t="n">
        <v>1010</v>
      </c>
      <c r="L35" t="n">
        <v>101031</v>
      </c>
      <c r="M35" t="inlineStr">
        <is>
          <t>Fastlønn - kvelds- og nattillegg</t>
        </is>
      </c>
      <c r="N35" s="98" t="n">
        <v>70447</v>
      </c>
      <c r="O35" s="98" t="n">
        <v>0</v>
      </c>
      <c r="P35" s="98" t="n">
        <v>0</v>
      </c>
      <c r="Q35" s="98" t="n">
        <v>-70447</v>
      </c>
    </row>
    <row r="36">
      <c r="A36" t="inlineStr">
        <is>
          <t>2024-11</t>
        </is>
      </c>
      <c r="B36" t="inlineStr">
        <is>
          <t>November</t>
        </is>
      </c>
      <c r="C36" t="n">
        <v>11</v>
      </c>
      <c r="D36" t="inlineStr">
        <is>
          <t>T3</t>
        </is>
      </c>
      <c r="E36" t="inlineStr">
        <is>
          <t>Gjenstående budsjett</t>
        </is>
      </c>
      <c r="F36" t="inlineStr">
        <is>
          <t>Kommunal Boenhet</t>
        </is>
      </c>
      <c r="G36" t="n">
        <v>254</v>
      </c>
      <c r="H36" t="inlineStr">
        <is>
          <t>Helse og mestring</t>
        </is>
      </c>
      <c r="I36" t="inlineStr">
        <is>
          <t>1 Lønn</t>
        </is>
      </c>
      <c r="J36" t="inlineStr">
        <is>
          <t>10 Lønn</t>
        </is>
      </c>
      <c r="K36" t="n">
        <v>1010</v>
      </c>
      <c r="L36" t="n">
        <v>101031</v>
      </c>
      <c r="M36" t="inlineStr">
        <is>
          <t>Fastlønn - kvelds- og nattillegg</t>
        </is>
      </c>
      <c r="N36" s="98" t="n">
        <v>70447</v>
      </c>
      <c r="O36" s="98" t="n">
        <v>0</v>
      </c>
      <c r="P36" s="98" t="n">
        <v>0</v>
      </c>
      <c r="Q36" s="98" t="n">
        <v>-70447</v>
      </c>
    </row>
    <row r="37">
      <c r="A37" t="inlineStr">
        <is>
          <t>2024-12</t>
        </is>
      </c>
      <c r="B37" t="inlineStr">
        <is>
          <t>Desember</t>
        </is>
      </c>
      <c r="C37" t="n">
        <v>12</v>
      </c>
      <c r="D37" t="inlineStr">
        <is>
          <t>T3</t>
        </is>
      </c>
      <c r="E37" t="inlineStr">
        <is>
          <t>Gjenstående budsjett</t>
        </is>
      </c>
      <c r="F37" t="inlineStr">
        <is>
          <t>Kommunal Boenhet</t>
        </is>
      </c>
      <c r="G37" t="n">
        <v>254</v>
      </c>
      <c r="H37" t="inlineStr">
        <is>
          <t>Helse og mestring</t>
        </is>
      </c>
      <c r="I37" t="inlineStr">
        <is>
          <t>1 Lønn</t>
        </is>
      </c>
      <c r="J37" t="inlineStr">
        <is>
          <t>10 Lønn</t>
        </is>
      </c>
      <c r="K37" t="n">
        <v>1010</v>
      </c>
      <c r="L37" t="n">
        <v>101031</v>
      </c>
      <c r="M37" t="inlineStr">
        <is>
          <t>Fastlønn - kvelds- og nattillegg</t>
        </is>
      </c>
      <c r="N37" s="98" t="n">
        <v>70783</v>
      </c>
      <c r="O37" s="98" t="n">
        <v>0</v>
      </c>
      <c r="P37" s="98" t="n">
        <v>0</v>
      </c>
      <c r="Q37" s="98" t="n">
        <v>-70783</v>
      </c>
    </row>
    <row r="38">
      <c r="A38" t="inlineStr">
        <is>
          <t>2024-01</t>
        </is>
      </c>
      <c r="B38" t="inlineStr">
        <is>
          <t>Januar</t>
        </is>
      </c>
      <c r="C38" t="n">
        <v>1</v>
      </c>
      <c r="D38" t="inlineStr">
        <is>
          <t>T1</t>
        </is>
      </c>
      <c r="E38" t="inlineStr">
        <is>
          <t>Bokført</t>
        </is>
      </c>
      <c r="F38" t="inlineStr">
        <is>
          <t>Kommunal Boenhet</t>
        </is>
      </c>
      <c r="G38" t="n">
        <v>254</v>
      </c>
      <c r="H38" t="inlineStr">
        <is>
          <t>Helse og mestring</t>
        </is>
      </c>
      <c r="I38" t="inlineStr">
        <is>
          <t>1 Lønn</t>
        </is>
      </c>
      <c r="J38" t="inlineStr">
        <is>
          <t>10 Lønn</t>
        </is>
      </c>
      <c r="K38" t="n">
        <v>1010</v>
      </c>
      <c r="L38" t="n">
        <v>101032</v>
      </c>
      <c r="M38" t="inlineStr">
        <is>
          <t>Fastlønn - helligdagstillegg</t>
        </is>
      </c>
      <c r="N38" s="98" t="n">
        <v>41400</v>
      </c>
      <c r="O38" s="98" t="n">
        <v>0</v>
      </c>
      <c r="P38" s="98" t="n">
        <v>41400</v>
      </c>
      <c r="Q38" s="98" t="n">
        <v>-41400</v>
      </c>
    </row>
    <row r="39">
      <c r="A39" t="inlineStr">
        <is>
          <t>2024-02</t>
        </is>
      </c>
      <c r="B39" t="inlineStr">
        <is>
          <t>Februar</t>
        </is>
      </c>
      <c r="C39" t="n">
        <v>2</v>
      </c>
      <c r="D39" t="inlineStr">
        <is>
          <t>T1</t>
        </is>
      </c>
      <c r="E39" t="inlineStr">
        <is>
          <t>Bokført</t>
        </is>
      </c>
      <c r="F39" t="inlineStr">
        <is>
          <t>Kommunal Boenhet</t>
        </is>
      </c>
      <c r="G39" t="n">
        <v>254</v>
      </c>
      <c r="H39" t="inlineStr">
        <is>
          <t>Helse og mestring</t>
        </is>
      </c>
      <c r="I39" t="inlineStr">
        <is>
          <t>1 Lønn</t>
        </is>
      </c>
      <c r="J39" t="inlineStr">
        <is>
          <t>10 Lønn</t>
        </is>
      </c>
      <c r="K39" t="n">
        <v>1010</v>
      </c>
      <c r="L39" t="n">
        <v>101032</v>
      </c>
      <c r="M39" t="inlineStr">
        <is>
          <t>Fastlønn - helligdagstillegg</t>
        </is>
      </c>
      <c r="N39" s="98" t="n">
        <v>69138</v>
      </c>
      <c r="O39" s="98" t="n">
        <v>68846.14999999999</v>
      </c>
      <c r="P39" s="98" t="n">
        <v>291.85</v>
      </c>
      <c r="Q39" s="98" t="n">
        <v>-291.85</v>
      </c>
    </row>
    <row r="40">
      <c r="A40" t="inlineStr">
        <is>
          <t>2024-03</t>
        </is>
      </c>
      <c r="B40" t="inlineStr">
        <is>
          <t>Mars</t>
        </is>
      </c>
      <c r="C40" t="n">
        <v>3</v>
      </c>
      <c r="D40" t="inlineStr">
        <is>
          <t>T1</t>
        </is>
      </c>
      <c r="E40" t="inlineStr">
        <is>
          <t>Bokført</t>
        </is>
      </c>
      <c r="F40" t="inlineStr">
        <is>
          <t>Kommunal Boenhet</t>
        </is>
      </c>
      <c r="G40" t="n">
        <v>254</v>
      </c>
      <c r="H40" t="inlineStr">
        <is>
          <t>Helse og mestring</t>
        </is>
      </c>
      <c r="I40" t="inlineStr">
        <is>
          <t>1 Lønn</t>
        </is>
      </c>
      <c r="J40" t="inlineStr">
        <is>
          <t>10 Lønn</t>
        </is>
      </c>
      <c r="K40" t="n">
        <v>1010</v>
      </c>
      <c r="L40" t="n">
        <v>101032</v>
      </c>
      <c r="M40" t="inlineStr">
        <is>
          <t>Fastlønn - helligdagstillegg</t>
        </is>
      </c>
      <c r="N40" s="98" t="n">
        <v>0</v>
      </c>
      <c r="O40" s="98" t="n">
        <v>0</v>
      </c>
      <c r="P40" s="98" t="n">
        <v>0</v>
      </c>
      <c r="Q40" s="98" t="n">
        <v>0</v>
      </c>
    </row>
    <row r="41">
      <c r="A41" t="inlineStr">
        <is>
          <t>2024-04</t>
        </is>
      </c>
      <c r="B41" t="inlineStr">
        <is>
          <t>April</t>
        </is>
      </c>
      <c r="C41" t="n">
        <v>4</v>
      </c>
      <c r="D41" t="inlineStr">
        <is>
          <t>T1</t>
        </is>
      </c>
      <c r="E41" t="inlineStr">
        <is>
          <t>Bokført</t>
        </is>
      </c>
      <c r="F41" t="inlineStr">
        <is>
          <t>Kommunal Boenhet</t>
        </is>
      </c>
      <c r="G41" t="n">
        <v>254</v>
      </c>
      <c r="H41" t="inlineStr">
        <is>
          <t>Helse og mestring</t>
        </is>
      </c>
      <c r="I41" t="inlineStr">
        <is>
          <t>1 Lønn</t>
        </is>
      </c>
      <c r="J41" t="inlineStr">
        <is>
          <t>10 Lønn</t>
        </is>
      </c>
      <c r="K41" t="n">
        <v>1010</v>
      </c>
      <c r="L41" t="n">
        <v>101032</v>
      </c>
      <c r="M41" t="inlineStr">
        <is>
          <t>Fastlønn - helligdagstillegg</t>
        </is>
      </c>
      <c r="N41" s="98" t="n">
        <v>0</v>
      </c>
      <c r="O41" s="98" t="n">
        <v>0</v>
      </c>
      <c r="P41" s="98" t="n">
        <v>0</v>
      </c>
      <c r="Q41" s="98" t="n">
        <v>0</v>
      </c>
    </row>
    <row r="42">
      <c r="A42" t="inlineStr">
        <is>
          <t>2024-05</t>
        </is>
      </c>
      <c r="B42" t="inlineStr">
        <is>
          <t>Mai</t>
        </is>
      </c>
      <c r="C42" t="n">
        <v>5</v>
      </c>
      <c r="D42" t="inlineStr">
        <is>
          <t>T2</t>
        </is>
      </c>
      <c r="E42" t="inlineStr">
        <is>
          <t>Bokført</t>
        </is>
      </c>
      <c r="F42" t="inlineStr">
        <is>
          <t>Kommunal Boenhet</t>
        </is>
      </c>
      <c r="G42" t="n">
        <v>254</v>
      </c>
      <c r="H42" t="inlineStr">
        <is>
          <t>Helse og mestring</t>
        </is>
      </c>
      <c r="I42" t="inlineStr">
        <is>
          <t>1 Lønn</t>
        </is>
      </c>
      <c r="J42" t="inlineStr">
        <is>
          <t>10 Lønn</t>
        </is>
      </c>
      <c r="K42" t="n">
        <v>1010</v>
      </c>
      <c r="L42" t="n">
        <v>101032</v>
      </c>
      <c r="M42" t="inlineStr">
        <is>
          <t>Fastlønn - helligdagstillegg</t>
        </is>
      </c>
      <c r="N42" s="98" t="n">
        <v>151524</v>
      </c>
      <c r="O42" s="98" t="n">
        <v>124415.44</v>
      </c>
      <c r="P42" s="98" t="n">
        <v>27108.56</v>
      </c>
      <c r="Q42" s="98" t="n">
        <v>-27108.56</v>
      </c>
    </row>
    <row r="43">
      <c r="A43" t="inlineStr">
        <is>
          <t>2024-06</t>
        </is>
      </c>
      <c r="B43" t="inlineStr">
        <is>
          <t>Juni</t>
        </is>
      </c>
      <c r="C43" t="n">
        <v>6</v>
      </c>
      <c r="D43" t="inlineStr">
        <is>
          <t>T2</t>
        </is>
      </c>
      <c r="E43" t="inlineStr">
        <is>
          <t>Bokført</t>
        </is>
      </c>
      <c r="F43" t="inlineStr">
        <is>
          <t>Kommunal Boenhet</t>
        </is>
      </c>
      <c r="G43" t="n">
        <v>254</v>
      </c>
      <c r="H43" t="inlineStr">
        <is>
          <t>Helse og mestring</t>
        </is>
      </c>
      <c r="I43" t="inlineStr">
        <is>
          <t>1 Lønn</t>
        </is>
      </c>
      <c r="J43" t="inlineStr">
        <is>
          <t>10 Lønn</t>
        </is>
      </c>
      <c r="K43" t="n">
        <v>1010</v>
      </c>
      <c r="L43" t="n">
        <v>101032</v>
      </c>
      <c r="M43" t="inlineStr">
        <is>
          <t>Fastlønn - helligdagstillegg</t>
        </is>
      </c>
      <c r="N43" s="98" t="n">
        <v>82800</v>
      </c>
      <c r="O43" s="98" t="n">
        <v>83030.13</v>
      </c>
      <c r="P43" s="98" t="n">
        <v>-230.13</v>
      </c>
      <c r="Q43" s="98" t="n">
        <v>230.13</v>
      </c>
    </row>
    <row r="44">
      <c r="A44" t="inlineStr">
        <is>
          <t>2024-07</t>
        </is>
      </c>
      <c r="B44" t="inlineStr">
        <is>
          <t>Juli</t>
        </is>
      </c>
      <c r="C44" t="n">
        <v>7</v>
      </c>
      <c r="D44" t="inlineStr">
        <is>
          <t>T2</t>
        </is>
      </c>
      <c r="E44" t="inlineStr">
        <is>
          <t>Bokført</t>
        </is>
      </c>
      <c r="F44" t="inlineStr">
        <is>
          <t>Kommunal Boenhet</t>
        </is>
      </c>
      <c r="G44" t="n">
        <v>254</v>
      </c>
      <c r="H44" t="inlineStr">
        <is>
          <t>Helse og mestring</t>
        </is>
      </c>
      <c r="I44" t="inlineStr">
        <is>
          <t>1 Lønn</t>
        </is>
      </c>
      <c r="J44" t="inlineStr">
        <is>
          <t>10 Lønn</t>
        </is>
      </c>
      <c r="K44" t="n">
        <v>1010</v>
      </c>
      <c r="L44" t="n">
        <v>101032</v>
      </c>
      <c r="M44" t="inlineStr">
        <is>
          <t>Fastlønn - helligdagstillegg</t>
        </is>
      </c>
      <c r="N44" s="98" t="n">
        <v>69138</v>
      </c>
      <c r="O44" s="98" t="n">
        <v>74223.33</v>
      </c>
      <c r="P44" s="98" t="n">
        <v>-5085.33</v>
      </c>
      <c r="Q44" s="98" t="n">
        <v>5085.33</v>
      </c>
    </row>
    <row r="45">
      <c r="A45" t="inlineStr">
        <is>
          <t>2024-08</t>
        </is>
      </c>
      <c r="B45" t="inlineStr">
        <is>
          <t>August</t>
        </is>
      </c>
      <c r="C45" t="n">
        <v>8</v>
      </c>
      <c r="D45" t="inlineStr">
        <is>
          <t>T2</t>
        </is>
      </c>
      <c r="E45" t="inlineStr">
        <is>
          <t>Bokført</t>
        </is>
      </c>
      <c r="F45" t="inlineStr">
        <is>
          <t>Kommunal Boenhet</t>
        </is>
      </c>
      <c r="G45" t="n">
        <v>254</v>
      </c>
      <c r="H45" t="inlineStr">
        <is>
          <t>Helse og mestring</t>
        </is>
      </c>
      <c r="I45" t="inlineStr">
        <is>
          <t>1 Lønn</t>
        </is>
      </c>
      <c r="J45" t="inlineStr">
        <is>
          <t>10 Lønn</t>
        </is>
      </c>
      <c r="K45" t="n">
        <v>1010</v>
      </c>
      <c r="L45" t="n">
        <v>101032</v>
      </c>
      <c r="M45" t="inlineStr">
        <is>
          <t>Fastlønn - helligdagstillegg</t>
        </is>
      </c>
      <c r="N45" s="98" t="n">
        <v>0</v>
      </c>
      <c r="O45" s="98" t="n">
        <v>0</v>
      </c>
      <c r="P45" s="98" t="n">
        <v>0</v>
      </c>
      <c r="Q45" s="98" t="n">
        <v>0</v>
      </c>
    </row>
    <row r="46">
      <c r="A46" t="inlineStr">
        <is>
          <t>2024-09</t>
        </is>
      </c>
      <c r="B46" t="inlineStr">
        <is>
          <t>September</t>
        </is>
      </c>
      <c r="C46" t="n">
        <v>9</v>
      </c>
      <c r="D46" t="inlineStr">
        <is>
          <t>T3</t>
        </is>
      </c>
      <c r="E46" t="inlineStr">
        <is>
          <t>Gjenstående budsjett</t>
        </is>
      </c>
      <c r="F46" t="inlineStr">
        <is>
          <t>Kommunal Boenhet</t>
        </is>
      </c>
      <c r="G46" t="n">
        <v>254</v>
      </c>
      <c r="H46" t="inlineStr">
        <is>
          <t>Helse og mestring</t>
        </is>
      </c>
      <c r="I46" t="inlineStr">
        <is>
          <t>1 Lønn</t>
        </is>
      </c>
      <c r="J46" t="inlineStr">
        <is>
          <t>10 Lønn</t>
        </is>
      </c>
      <c r="K46" t="n">
        <v>1010</v>
      </c>
      <c r="L46" t="n">
        <v>101032</v>
      </c>
      <c r="M46" t="inlineStr">
        <is>
          <t>Fastlønn - helligdagstillegg</t>
        </is>
      </c>
      <c r="N46" s="98" t="n">
        <v>0</v>
      </c>
      <c r="O46" s="98" t="n">
        <v>0</v>
      </c>
      <c r="P46" s="98" t="n">
        <v>0</v>
      </c>
      <c r="Q46" s="98" t="n">
        <v>0</v>
      </c>
    </row>
    <row r="47">
      <c r="A47" t="inlineStr">
        <is>
          <t>2024-10</t>
        </is>
      </c>
      <c r="B47" t="inlineStr">
        <is>
          <t>Oktober</t>
        </is>
      </c>
      <c r="C47" t="n">
        <v>10</v>
      </c>
      <c r="D47" t="inlineStr">
        <is>
          <t>T3</t>
        </is>
      </c>
      <c r="E47" t="inlineStr">
        <is>
          <t>Gjenstående budsjett</t>
        </is>
      </c>
      <c r="F47" t="inlineStr">
        <is>
          <t>Kommunal Boenhet</t>
        </is>
      </c>
      <c r="G47" t="n">
        <v>254</v>
      </c>
      <c r="H47" t="inlineStr">
        <is>
          <t>Helse og mestring</t>
        </is>
      </c>
      <c r="I47" t="inlineStr">
        <is>
          <t>1 Lønn</t>
        </is>
      </c>
      <c r="J47" t="inlineStr">
        <is>
          <t>10 Lønn</t>
        </is>
      </c>
      <c r="K47" t="n">
        <v>1010</v>
      </c>
      <c r="L47" t="n">
        <v>101032</v>
      </c>
      <c r="M47" t="inlineStr">
        <is>
          <t>Fastlønn - helligdagstillegg</t>
        </is>
      </c>
      <c r="N47" s="98" t="n">
        <v>0</v>
      </c>
      <c r="O47" s="98" t="n">
        <v>0</v>
      </c>
      <c r="P47" s="98" t="n">
        <v>0</v>
      </c>
      <c r="Q47" s="98" t="n">
        <v>0</v>
      </c>
    </row>
    <row r="48">
      <c r="A48" t="inlineStr">
        <is>
          <t>2024-11</t>
        </is>
      </c>
      <c r="B48" t="inlineStr">
        <is>
          <t>November</t>
        </is>
      </c>
      <c r="C48" t="n">
        <v>11</v>
      </c>
      <c r="D48" t="inlineStr">
        <is>
          <t>T3</t>
        </is>
      </c>
      <c r="E48" t="inlineStr">
        <is>
          <t>Gjenstående budsjett</t>
        </is>
      </c>
      <c r="F48" t="inlineStr">
        <is>
          <t>Kommunal Boenhet</t>
        </is>
      </c>
      <c r="G48" t="n">
        <v>254</v>
      </c>
      <c r="H48" t="inlineStr">
        <is>
          <t>Helse og mestring</t>
        </is>
      </c>
      <c r="I48" t="inlineStr">
        <is>
          <t>1 Lønn</t>
        </is>
      </c>
      <c r="J48" t="inlineStr">
        <is>
          <t>10 Lønn</t>
        </is>
      </c>
      <c r="K48" t="n">
        <v>1010</v>
      </c>
      <c r="L48" t="n">
        <v>101032</v>
      </c>
      <c r="M48" t="inlineStr">
        <is>
          <t>Fastlønn - helligdagstillegg</t>
        </is>
      </c>
      <c r="N48" s="98" t="n">
        <v>0</v>
      </c>
      <c r="O48" s="98" t="n">
        <v>0</v>
      </c>
      <c r="P48" s="98" t="n">
        <v>0</v>
      </c>
      <c r="Q48" s="98" t="n">
        <v>0</v>
      </c>
    </row>
    <row r="49">
      <c r="A49" t="inlineStr">
        <is>
          <t>2024-12</t>
        </is>
      </c>
      <c r="B49" t="inlineStr">
        <is>
          <t>Desember</t>
        </is>
      </c>
      <c r="C49" t="n">
        <v>12</v>
      </c>
      <c r="D49" t="inlineStr">
        <is>
          <t>T3</t>
        </is>
      </c>
      <c r="E49" t="inlineStr">
        <is>
          <t>Gjenstående budsjett</t>
        </is>
      </c>
      <c r="F49" t="inlineStr">
        <is>
          <t>Kommunal Boenhet</t>
        </is>
      </c>
      <c r="G49" t="n">
        <v>254</v>
      </c>
      <c r="H49" t="inlineStr">
        <is>
          <t>Helse og mestring</t>
        </is>
      </c>
      <c r="I49" t="inlineStr">
        <is>
          <t>1 Lønn</t>
        </is>
      </c>
      <c r="J49" t="inlineStr">
        <is>
          <t>10 Lønn</t>
        </is>
      </c>
      <c r="K49" t="n">
        <v>1010</v>
      </c>
      <c r="L49" t="n">
        <v>101032</v>
      </c>
      <c r="M49" t="inlineStr">
        <is>
          <t>Fastlønn - helligdagstillegg</t>
        </is>
      </c>
      <c r="N49" s="98" t="n">
        <v>0</v>
      </c>
      <c r="O49" s="98" t="n">
        <v>0</v>
      </c>
      <c r="P49" s="98" t="n">
        <v>0</v>
      </c>
      <c r="Q49" s="98" t="n">
        <v>0</v>
      </c>
    </row>
    <row r="50">
      <c r="A50" t="inlineStr">
        <is>
          <t>2024-01</t>
        </is>
      </c>
      <c r="B50" t="inlineStr">
        <is>
          <t>Januar</t>
        </is>
      </c>
      <c r="C50" t="n">
        <v>1</v>
      </c>
      <c r="D50" t="inlineStr">
        <is>
          <t>T1</t>
        </is>
      </c>
      <c r="E50" t="inlineStr">
        <is>
          <t>Bokført</t>
        </is>
      </c>
      <c r="F50" t="inlineStr">
        <is>
          <t>Kommunal Boenhet</t>
        </is>
      </c>
      <c r="G50" t="n">
        <v>254</v>
      </c>
      <c r="H50" t="inlineStr">
        <is>
          <t>Helse og mestring</t>
        </is>
      </c>
      <c r="I50" t="inlineStr">
        <is>
          <t>1 Lønn</t>
        </is>
      </c>
      <c r="J50" t="inlineStr">
        <is>
          <t>10 Lønn</t>
        </is>
      </c>
      <c r="K50" t="n">
        <v>1010</v>
      </c>
      <c r="L50" t="n">
        <v>101040</v>
      </c>
      <c r="M50" t="inlineStr">
        <is>
          <t>Fastlønn - veiledningstillegg</t>
        </is>
      </c>
      <c r="N50" s="98" t="n">
        <v>1292</v>
      </c>
      <c r="O50" s="98" t="n">
        <v>0</v>
      </c>
      <c r="P50" s="98" t="n">
        <v>1292</v>
      </c>
      <c r="Q50" s="98" t="n">
        <v>-1292</v>
      </c>
    </row>
    <row r="51">
      <c r="A51" t="inlineStr">
        <is>
          <t>2024-02</t>
        </is>
      </c>
      <c r="B51" t="inlineStr">
        <is>
          <t>Februar</t>
        </is>
      </c>
      <c r="C51" t="n">
        <v>2</v>
      </c>
      <c r="D51" t="inlineStr">
        <is>
          <t>T1</t>
        </is>
      </c>
      <c r="E51" t="inlineStr">
        <is>
          <t>Bokført</t>
        </is>
      </c>
      <c r="F51" t="inlineStr">
        <is>
          <t>Kommunal Boenhet</t>
        </is>
      </c>
      <c r="G51" t="n">
        <v>254</v>
      </c>
      <c r="H51" t="inlineStr">
        <is>
          <t>Helse og mestring</t>
        </is>
      </c>
      <c r="I51" t="inlineStr">
        <is>
          <t>1 Lønn</t>
        </is>
      </c>
      <c r="J51" t="inlineStr">
        <is>
          <t>10 Lønn</t>
        </is>
      </c>
      <c r="K51" t="n">
        <v>1010</v>
      </c>
      <c r="L51" t="n">
        <v>101040</v>
      </c>
      <c r="M51" t="inlineStr">
        <is>
          <t>Fastlønn - veiledningstillegg</t>
        </is>
      </c>
      <c r="N51" s="98" t="n">
        <v>1292</v>
      </c>
      <c r="O51" s="98" t="n">
        <v>0</v>
      </c>
      <c r="P51" s="98" t="n">
        <v>1292</v>
      </c>
      <c r="Q51" s="98" t="n">
        <v>-1292</v>
      </c>
    </row>
    <row r="52">
      <c r="A52" t="inlineStr">
        <is>
          <t>2024-03</t>
        </is>
      </c>
      <c r="B52" t="inlineStr">
        <is>
          <t>Mars</t>
        </is>
      </c>
      <c r="C52" t="n">
        <v>3</v>
      </c>
      <c r="D52" t="inlineStr">
        <is>
          <t>T1</t>
        </is>
      </c>
      <c r="E52" t="inlineStr">
        <is>
          <t>Bokført</t>
        </is>
      </c>
      <c r="F52" t="inlineStr">
        <is>
          <t>Kommunal Boenhet</t>
        </is>
      </c>
      <c r="G52" t="n">
        <v>254</v>
      </c>
      <c r="H52" t="inlineStr">
        <is>
          <t>Helse og mestring</t>
        </is>
      </c>
      <c r="I52" t="inlineStr">
        <is>
          <t>1 Lønn</t>
        </is>
      </c>
      <c r="J52" t="inlineStr">
        <is>
          <t>10 Lønn</t>
        </is>
      </c>
      <c r="K52" t="n">
        <v>1010</v>
      </c>
      <c r="L52" t="n">
        <v>101040</v>
      </c>
      <c r="M52" t="inlineStr">
        <is>
          <t>Fastlønn - veiledningstillegg</t>
        </is>
      </c>
      <c r="N52" s="98" t="n">
        <v>1292</v>
      </c>
      <c r="O52" s="98" t="n">
        <v>686.45</v>
      </c>
      <c r="P52" s="98" t="n">
        <v>605.55</v>
      </c>
      <c r="Q52" s="98" t="n">
        <v>-605.55</v>
      </c>
    </row>
    <row r="53">
      <c r="A53" t="inlineStr">
        <is>
          <t>2024-04</t>
        </is>
      </c>
      <c r="B53" t="inlineStr">
        <is>
          <t>April</t>
        </is>
      </c>
      <c r="C53" t="n">
        <v>4</v>
      </c>
      <c r="D53" t="inlineStr">
        <is>
          <t>T1</t>
        </is>
      </c>
      <c r="E53" t="inlineStr">
        <is>
          <t>Bokført</t>
        </is>
      </c>
      <c r="F53" t="inlineStr">
        <is>
          <t>Kommunal Boenhet</t>
        </is>
      </c>
      <c r="G53" t="n">
        <v>254</v>
      </c>
      <c r="H53" t="inlineStr">
        <is>
          <t>Helse og mestring</t>
        </is>
      </c>
      <c r="I53" t="inlineStr">
        <is>
          <t>1 Lønn</t>
        </is>
      </c>
      <c r="J53" t="inlineStr">
        <is>
          <t>10 Lønn</t>
        </is>
      </c>
      <c r="K53" t="n">
        <v>1010</v>
      </c>
      <c r="L53" t="n">
        <v>101040</v>
      </c>
      <c r="M53" t="inlineStr">
        <is>
          <t>Fastlønn - veiledningstillegg</t>
        </is>
      </c>
      <c r="N53" s="98" t="n">
        <v>1292</v>
      </c>
      <c r="O53" s="98" t="n">
        <v>1120</v>
      </c>
      <c r="P53" s="98" t="n">
        <v>172</v>
      </c>
      <c r="Q53" s="98" t="n">
        <v>-172</v>
      </c>
    </row>
    <row r="54">
      <c r="A54" t="inlineStr">
        <is>
          <t>2024-05</t>
        </is>
      </c>
      <c r="B54" t="inlineStr">
        <is>
          <t>Mai</t>
        </is>
      </c>
      <c r="C54" t="n">
        <v>5</v>
      </c>
      <c r="D54" t="inlineStr">
        <is>
          <t>T2</t>
        </is>
      </c>
      <c r="E54" t="inlineStr">
        <is>
          <t>Bokført</t>
        </is>
      </c>
      <c r="F54" t="inlineStr">
        <is>
          <t>Kommunal Boenhet</t>
        </is>
      </c>
      <c r="G54" t="n">
        <v>254</v>
      </c>
      <c r="H54" t="inlineStr">
        <is>
          <t>Helse og mestring</t>
        </is>
      </c>
      <c r="I54" t="inlineStr">
        <is>
          <t>1 Lønn</t>
        </is>
      </c>
      <c r="J54" t="inlineStr">
        <is>
          <t>10 Lønn</t>
        </is>
      </c>
      <c r="K54" t="n">
        <v>1010</v>
      </c>
      <c r="L54" t="n">
        <v>101040</v>
      </c>
      <c r="M54" t="inlineStr">
        <is>
          <t>Fastlønn - veiledningstillegg</t>
        </is>
      </c>
      <c r="N54" s="98" t="n">
        <v>1292</v>
      </c>
      <c r="O54" s="98" t="n">
        <v>1120</v>
      </c>
      <c r="P54" s="98" t="n">
        <v>172</v>
      </c>
      <c r="Q54" s="98" t="n">
        <v>-172</v>
      </c>
    </row>
    <row r="55">
      <c r="A55" t="inlineStr">
        <is>
          <t>2024-06</t>
        </is>
      </c>
      <c r="B55" t="inlineStr">
        <is>
          <t>Juni</t>
        </is>
      </c>
      <c r="C55" t="n">
        <v>6</v>
      </c>
      <c r="D55" t="inlineStr">
        <is>
          <t>T2</t>
        </is>
      </c>
      <c r="E55" t="inlineStr">
        <is>
          <t>Bokført</t>
        </is>
      </c>
      <c r="F55" t="inlineStr">
        <is>
          <t>Kommunal Boenhet</t>
        </is>
      </c>
      <c r="G55" t="n">
        <v>254</v>
      </c>
      <c r="H55" t="inlineStr">
        <is>
          <t>Helse og mestring</t>
        </is>
      </c>
      <c r="I55" t="inlineStr">
        <is>
          <t>1 Lønn</t>
        </is>
      </c>
      <c r="J55" t="inlineStr">
        <is>
          <t>10 Lønn</t>
        </is>
      </c>
      <c r="K55" t="n">
        <v>1010</v>
      </c>
      <c r="L55" t="n">
        <v>101040</v>
      </c>
      <c r="M55" t="inlineStr">
        <is>
          <t>Fastlønn - veiledningstillegg</t>
        </is>
      </c>
      <c r="N55" s="98" t="n">
        <v>1292</v>
      </c>
      <c r="O55" s="98" t="n">
        <v>-172.31</v>
      </c>
      <c r="P55" s="98" t="n">
        <v>1464.31</v>
      </c>
      <c r="Q55" s="98" t="n">
        <v>-1464.31</v>
      </c>
    </row>
    <row r="56">
      <c r="A56" t="inlineStr">
        <is>
          <t>2024-07</t>
        </is>
      </c>
      <c r="B56" t="inlineStr">
        <is>
          <t>Juli</t>
        </is>
      </c>
      <c r="C56" t="n">
        <v>7</v>
      </c>
      <c r="D56" t="inlineStr">
        <is>
          <t>T2</t>
        </is>
      </c>
      <c r="E56" t="inlineStr">
        <is>
          <t>Bokført</t>
        </is>
      </c>
      <c r="F56" t="inlineStr">
        <is>
          <t>Kommunal Boenhet</t>
        </is>
      </c>
      <c r="G56" t="n">
        <v>254</v>
      </c>
      <c r="H56" t="inlineStr">
        <is>
          <t>Helse og mestring</t>
        </is>
      </c>
      <c r="I56" t="inlineStr">
        <is>
          <t>1 Lønn</t>
        </is>
      </c>
      <c r="J56" t="inlineStr">
        <is>
          <t>10 Lønn</t>
        </is>
      </c>
      <c r="K56" t="n">
        <v>1010</v>
      </c>
      <c r="L56" t="n">
        <v>101040</v>
      </c>
      <c r="M56" t="inlineStr">
        <is>
          <t>Fastlønn - veiledningstillegg</t>
        </is>
      </c>
      <c r="N56" s="98" t="n">
        <v>1292</v>
      </c>
      <c r="O56" s="98" t="n">
        <v>1120</v>
      </c>
      <c r="P56" s="98" t="n">
        <v>172</v>
      </c>
      <c r="Q56" s="98" t="n">
        <v>-172</v>
      </c>
    </row>
    <row r="57">
      <c r="A57" t="inlineStr">
        <is>
          <t>2024-08</t>
        </is>
      </c>
      <c r="B57" t="inlineStr">
        <is>
          <t>August</t>
        </is>
      </c>
      <c r="C57" t="n">
        <v>8</v>
      </c>
      <c r="D57" t="inlineStr">
        <is>
          <t>T2</t>
        </is>
      </c>
      <c r="E57" t="inlineStr">
        <is>
          <t>Bokført</t>
        </is>
      </c>
      <c r="F57" t="inlineStr">
        <is>
          <t>Kommunal Boenhet</t>
        </is>
      </c>
      <c r="G57" t="n">
        <v>254</v>
      </c>
      <c r="H57" t="inlineStr">
        <is>
          <t>Helse og mestring</t>
        </is>
      </c>
      <c r="I57" t="inlineStr">
        <is>
          <t>1 Lønn</t>
        </is>
      </c>
      <c r="J57" t="inlineStr">
        <is>
          <t>10 Lønn</t>
        </is>
      </c>
      <c r="K57" t="n">
        <v>1010</v>
      </c>
      <c r="L57" t="n">
        <v>101040</v>
      </c>
      <c r="M57" t="inlineStr">
        <is>
          <t>Fastlønn - veiledningstillegg</t>
        </is>
      </c>
      <c r="N57" s="98" t="n">
        <v>1292</v>
      </c>
      <c r="O57" s="98" t="n">
        <v>1120</v>
      </c>
      <c r="P57" s="98" t="n">
        <v>172</v>
      </c>
      <c r="Q57" s="98" t="n">
        <v>-172</v>
      </c>
    </row>
    <row r="58">
      <c r="A58" t="inlineStr">
        <is>
          <t>2024-09</t>
        </is>
      </c>
      <c r="B58" t="inlineStr">
        <is>
          <t>September</t>
        </is>
      </c>
      <c r="C58" t="n">
        <v>9</v>
      </c>
      <c r="D58" t="inlineStr">
        <is>
          <t>T3</t>
        </is>
      </c>
      <c r="E58" t="inlineStr">
        <is>
          <t>Gjenstående budsjett</t>
        </is>
      </c>
      <c r="F58" t="inlineStr">
        <is>
          <t>Kommunal Boenhet</t>
        </is>
      </c>
      <c r="G58" t="n">
        <v>254</v>
      </c>
      <c r="H58" t="inlineStr">
        <is>
          <t>Helse og mestring</t>
        </is>
      </c>
      <c r="I58" t="inlineStr">
        <is>
          <t>1 Lønn</t>
        </is>
      </c>
      <c r="J58" t="inlineStr">
        <is>
          <t>10 Lønn</t>
        </is>
      </c>
      <c r="K58" t="n">
        <v>1010</v>
      </c>
      <c r="L58" t="n">
        <v>101040</v>
      </c>
      <c r="M58" t="inlineStr">
        <is>
          <t>Fastlønn - veiledningstillegg</t>
        </is>
      </c>
      <c r="N58" s="98" t="n">
        <v>1292</v>
      </c>
      <c r="O58" s="98" t="n">
        <v>0</v>
      </c>
      <c r="P58" s="98" t="n">
        <v>0</v>
      </c>
      <c r="Q58" s="98" t="n">
        <v>-1292</v>
      </c>
    </row>
    <row r="59">
      <c r="A59" t="inlineStr">
        <is>
          <t>2024-10</t>
        </is>
      </c>
      <c r="B59" t="inlineStr">
        <is>
          <t>Oktober</t>
        </is>
      </c>
      <c r="C59" t="n">
        <v>10</v>
      </c>
      <c r="D59" t="inlineStr">
        <is>
          <t>T3</t>
        </is>
      </c>
      <c r="E59" t="inlineStr">
        <is>
          <t>Gjenstående budsjett</t>
        </is>
      </c>
      <c r="F59" t="inlineStr">
        <is>
          <t>Kommunal Boenhet</t>
        </is>
      </c>
      <c r="G59" t="n">
        <v>254</v>
      </c>
      <c r="H59" t="inlineStr">
        <is>
          <t>Helse og mestring</t>
        </is>
      </c>
      <c r="I59" t="inlineStr">
        <is>
          <t>1 Lønn</t>
        </is>
      </c>
      <c r="J59" t="inlineStr">
        <is>
          <t>10 Lønn</t>
        </is>
      </c>
      <c r="K59" t="n">
        <v>1010</v>
      </c>
      <c r="L59" t="n">
        <v>101040</v>
      </c>
      <c r="M59" t="inlineStr">
        <is>
          <t>Fastlønn - veiledningstillegg</t>
        </is>
      </c>
      <c r="N59" s="98" t="n">
        <v>1292</v>
      </c>
      <c r="O59" s="98" t="n">
        <v>0</v>
      </c>
      <c r="P59" s="98" t="n">
        <v>0</v>
      </c>
      <c r="Q59" s="98" t="n">
        <v>-1292</v>
      </c>
    </row>
    <row r="60">
      <c r="A60" t="inlineStr">
        <is>
          <t>2024-11</t>
        </is>
      </c>
      <c r="B60" t="inlineStr">
        <is>
          <t>November</t>
        </is>
      </c>
      <c r="C60" t="n">
        <v>11</v>
      </c>
      <c r="D60" t="inlineStr">
        <is>
          <t>T3</t>
        </is>
      </c>
      <c r="E60" t="inlineStr">
        <is>
          <t>Gjenstående budsjett</t>
        </is>
      </c>
      <c r="F60" t="inlineStr">
        <is>
          <t>Kommunal Boenhet</t>
        </is>
      </c>
      <c r="G60" t="n">
        <v>254</v>
      </c>
      <c r="H60" t="inlineStr">
        <is>
          <t>Helse og mestring</t>
        </is>
      </c>
      <c r="I60" t="inlineStr">
        <is>
          <t>1 Lønn</t>
        </is>
      </c>
      <c r="J60" t="inlineStr">
        <is>
          <t>10 Lønn</t>
        </is>
      </c>
      <c r="K60" t="n">
        <v>1010</v>
      </c>
      <c r="L60" t="n">
        <v>101040</v>
      </c>
      <c r="M60" t="inlineStr">
        <is>
          <t>Fastlønn - veiledningstillegg</t>
        </is>
      </c>
      <c r="N60" s="98" t="n">
        <v>1292</v>
      </c>
      <c r="O60" s="98" t="n">
        <v>0</v>
      </c>
      <c r="P60" s="98" t="n">
        <v>0</v>
      </c>
      <c r="Q60" s="98" t="n">
        <v>-1292</v>
      </c>
    </row>
    <row r="61">
      <c r="A61" t="inlineStr">
        <is>
          <t>2024-12</t>
        </is>
      </c>
      <c r="B61" t="inlineStr">
        <is>
          <t>Desember</t>
        </is>
      </c>
      <c r="C61" t="n">
        <v>12</v>
      </c>
      <c r="D61" t="inlineStr">
        <is>
          <t>T3</t>
        </is>
      </c>
      <c r="E61" t="inlineStr">
        <is>
          <t>Gjenstående budsjett</t>
        </is>
      </c>
      <c r="F61" t="inlineStr">
        <is>
          <t>Kommunal Boenhet</t>
        </is>
      </c>
      <c r="G61" t="n">
        <v>254</v>
      </c>
      <c r="H61" t="inlineStr">
        <is>
          <t>Helse og mestring</t>
        </is>
      </c>
      <c r="I61" t="inlineStr">
        <is>
          <t>1 Lønn</t>
        </is>
      </c>
      <c r="J61" t="inlineStr">
        <is>
          <t>10 Lønn</t>
        </is>
      </c>
      <c r="K61" t="n">
        <v>1010</v>
      </c>
      <c r="L61" t="n">
        <v>101040</v>
      </c>
      <c r="M61" t="inlineStr">
        <is>
          <t>Fastlønn - veiledningstillegg</t>
        </is>
      </c>
      <c r="N61" s="98" t="n">
        <v>1788</v>
      </c>
      <c r="O61" s="98" t="n">
        <v>0</v>
      </c>
      <c r="P61" s="98" t="n">
        <v>0</v>
      </c>
      <c r="Q61" s="98" t="n">
        <v>-1788</v>
      </c>
    </row>
    <row r="62">
      <c r="A62" t="inlineStr">
        <is>
          <t>2024-01</t>
        </is>
      </c>
      <c r="B62" t="inlineStr">
        <is>
          <t>Januar</t>
        </is>
      </c>
      <c r="C62" t="n">
        <v>1</v>
      </c>
      <c r="D62" t="inlineStr">
        <is>
          <t>T1</t>
        </is>
      </c>
      <c r="E62" t="inlineStr">
        <is>
          <t>Bokført</t>
        </is>
      </c>
      <c r="F62" t="inlineStr">
        <is>
          <t>Kommunal Boenhet</t>
        </is>
      </c>
      <c r="G62" t="n">
        <v>254</v>
      </c>
      <c r="H62" t="inlineStr">
        <is>
          <t>Helse og mestring</t>
        </is>
      </c>
      <c r="I62" t="inlineStr">
        <is>
          <t>1 Lønn</t>
        </is>
      </c>
      <c r="J62" t="inlineStr">
        <is>
          <t>10 Lønn</t>
        </is>
      </c>
      <c r="K62" t="n">
        <v>1020</v>
      </c>
      <c r="L62" t="n">
        <v>102000</v>
      </c>
      <c r="M62" t="inlineStr">
        <is>
          <t>Vikar - sykefravær - med refusjon</t>
        </is>
      </c>
      <c r="N62" s="98" t="n">
        <v>16660</v>
      </c>
      <c r="O62" s="98" t="n">
        <v>0</v>
      </c>
      <c r="P62" s="98" t="n">
        <v>16660</v>
      </c>
      <c r="Q62" s="98" t="n">
        <v>-16660</v>
      </c>
    </row>
    <row r="63">
      <c r="A63" t="inlineStr">
        <is>
          <t>2024-02</t>
        </is>
      </c>
      <c r="B63" t="inlineStr">
        <is>
          <t>Februar</t>
        </is>
      </c>
      <c r="C63" t="n">
        <v>2</v>
      </c>
      <c r="D63" t="inlineStr">
        <is>
          <t>T1</t>
        </is>
      </c>
      <c r="E63" t="inlineStr">
        <is>
          <t>Bokført</t>
        </is>
      </c>
      <c r="F63" t="inlineStr">
        <is>
          <t>Kommunal Boenhet</t>
        </is>
      </c>
      <c r="G63" t="n">
        <v>254</v>
      </c>
      <c r="H63" t="inlineStr">
        <is>
          <t>Helse og mestring</t>
        </is>
      </c>
      <c r="I63" t="inlineStr">
        <is>
          <t>1 Lønn</t>
        </is>
      </c>
      <c r="J63" t="inlineStr">
        <is>
          <t>10 Lønn</t>
        </is>
      </c>
      <c r="K63" t="n">
        <v>1020</v>
      </c>
      <c r="L63" t="n">
        <v>102000</v>
      </c>
      <c r="M63" t="inlineStr">
        <is>
          <t>Vikar - sykefravær - med refusjon</t>
        </is>
      </c>
      <c r="N63" s="98" t="n">
        <v>16660</v>
      </c>
      <c r="O63" s="98" t="n">
        <v>96432.33</v>
      </c>
      <c r="P63" s="98" t="n">
        <v>-79772.33</v>
      </c>
      <c r="Q63" s="98" t="n">
        <v>79772.33</v>
      </c>
    </row>
    <row r="64">
      <c r="A64" t="inlineStr">
        <is>
          <t>2024-03</t>
        </is>
      </c>
      <c r="B64" t="inlineStr">
        <is>
          <t>Mars</t>
        </is>
      </c>
      <c r="C64" t="n">
        <v>3</v>
      </c>
      <c r="D64" t="inlineStr">
        <is>
          <t>T1</t>
        </is>
      </c>
      <c r="E64" t="inlineStr">
        <is>
          <t>Bokført</t>
        </is>
      </c>
      <c r="F64" t="inlineStr">
        <is>
          <t>Kommunal Boenhet</t>
        </is>
      </c>
      <c r="G64" t="n">
        <v>254</v>
      </c>
      <c r="H64" t="inlineStr">
        <is>
          <t>Helse og mestring</t>
        </is>
      </c>
      <c r="I64" t="inlineStr">
        <is>
          <t>1 Lønn</t>
        </is>
      </c>
      <c r="J64" t="inlineStr">
        <is>
          <t>10 Lønn</t>
        </is>
      </c>
      <c r="K64" t="n">
        <v>1020</v>
      </c>
      <c r="L64" t="n">
        <v>102000</v>
      </c>
      <c r="M64" t="inlineStr">
        <is>
          <t>Vikar - sykefravær - med refusjon</t>
        </is>
      </c>
      <c r="N64" s="98" t="n">
        <v>16660</v>
      </c>
      <c r="O64" s="98" t="n">
        <v>35833.75</v>
      </c>
      <c r="P64" s="98" t="n">
        <v>-19173.75</v>
      </c>
      <c r="Q64" s="98" t="n">
        <v>19173.75</v>
      </c>
    </row>
    <row r="65">
      <c r="A65" t="inlineStr">
        <is>
          <t>2024-04</t>
        </is>
      </c>
      <c r="B65" t="inlineStr">
        <is>
          <t>April</t>
        </is>
      </c>
      <c r="C65" t="n">
        <v>4</v>
      </c>
      <c r="D65" t="inlineStr">
        <is>
          <t>T1</t>
        </is>
      </c>
      <c r="E65" t="inlineStr">
        <is>
          <t>Bokført</t>
        </is>
      </c>
      <c r="F65" t="inlineStr">
        <is>
          <t>Kommunal Boenhet</t>
        </is>
      </c>
      <c r="G65" t="n">
        <v>254</v>
      </c>
      <c r="H65" t="inlineStr">
        <is>
          <t>Helse og mestring</t>
        </is>
      </c>
      <c r="I65" t="inlineStr">
        <is>
          <t>1 Lønn</t>
        </is>
      </c>
      <c r="J65" t="inlineStr">
        <is>
          <t>10 Lønn</t>
        </is>
      </c>
      <c r="K65" t="n">
        <v>1020</v>
      </c>
      <c r="L65" t="n">
        <v>102000</v>
      </c>
      <c r="M65" t="inlineStr">
        <is>
          <t>Vikar - sykefravær - med refusjon</t>
        </is>
      </c>
      <c r="N65" s="98" t="n">
        <v>16660</v>
      </c>
      <c r="O65" s="98" t="n">
        <v>34855.64</v>
      </c>
      <c r="P65" s="98" t="n">
        <v>-18195.64</v>
      </c>
      <c r="Q65" s="98" t="n">
        <v>18195.64</v>
      </c>
    </row>
    <row r="66">
      <c r="A66" t="inlineStr">
        <is>
          <t>2024-05</t>
        </is>
      </c>
      <c r="B66" t="inlineStr">
        <is>
          <t>Mai</t>
        </is>
      </c>
      <c r="C66" t="n">
        <v>5</v>
      </c>
      <c r="D66" t="inlineStr">
        <is>
          <t>T2</t>
        </is>
      </c>
      <c r="E66" t="inlineStr">
        <is>
          <t>Bokført</t>
        </is>
      </c>
      <c r="F66" t="inlineStr">
        <is>
          <t>Kommunal Boenhet</t>
        </is>
      </c>
      <c r="G66" t="n">
        <v>254</v>
      </c>
      <c r="H66" t="inlineStr">
        <is>
          <t>Helse og mestring</t>
        </is>
      </c>
      <c r="I66" t="inlineStr">
        <is>
          <t>1 Lønn</t>
        </is>
      </c>
      <c r="J66" t="inlineStr">
        <is>
          <t>10 Lønn</t>
        </is>
      </c>
      <c r="K66" t="n">
        <v>1020</v>
      </c>
      <c r="L66" t="n">
        <v>102000</v>
      </c>
      <c r="M66" t="inlineStr">
        <is>
          <t>Vikar - sykefravær - med refusjon</t>
        </is>
      </c>
      <c r="N66" s="98" t="n">
        <v>16660</v>
      </c>
      <c r="O66" s="98" t="n">
        <v>13105.85</v>
      </c>
      <c r="P66" s="98" t="n">
        <v>3554.15</v>
      </c>
      <c r="Q66" s="98" t="n">
        <v>-3554.15</v>
      </c>
    </row>
    <row r="67">
      <c r="A67" t="inlineStr">
        <is>
          <t>2024-06</t>
        </is>
      </c>
      <c r="B67" t="inlineStr">
        <is>
          <t>Juni</t>
        </is>
      </c>
      <c r="C67" t="n">
        <v>6</v>
      </c>
      <c r="D67" t="inlineStr">
        <is>
          <t>T2</t>
        </is>
      </c>
      <c r="E67" t="inlineStr">
        <is>
          <t>Bokført</t>
        </is>
      </c>
      <c r="F67" t="inlineStr">
        <is>
          <t>Kommunal Boenhet</t>
        </is>
      </c>
      <c r="G67" t="n">
        <v>254</v>
      </c>
      <c r="H67" t="inlineStr">
        <is>
          <t>Helse og mestring</t>
        </is>
      </c>
      <c r="I67" t="inlineStr">
        <is>
          <t>1 Lønn</t>
        </is>
      </c>
      <c r="J67" t="inlineStr">
        <is>
          <t>10 Lønn</t>
        </is>
      </c>
      <c r="K67" t="n">
        <v>1020</v>
      </c>
      <c r="L67" t="n">
        <v>102000</v>
      </c>
      <c r="M67" t="inlineStr">
        <is>
          <t>Vikar - sykefravær - med refusjon</t>
        </is>
      </c>
      <c r="N67" s="98" t="n">
        <v>16660</v>
      </c>
      <c r="O67" s="98" t="n">
        <v>3417.85</v>
      </c>
      <c r="P67" s="98" t="n">
        <v>13242.15</v>
      </c>
      <c r="Q67" s="98" t="n">
        <v>-13242.15</v>
      </c>
    </row>
    <row r="68">
      <c r="A68" t="inlineStr">
        <is>
          <t>2024-07</t>
        </is>
      </c>
      <c r="B68" t="inlineStr">
        <is>
          <t>Juli</t>
        </is>
      </c>
      <c r="C68" t="n">
        <v>7</v>
      </c>
      <c r="D68" t="inlineStr">
        <is>
          <t>T2</t>
        </is>
      </c>
      <c r="E68" t="inlineStr">
        <is>
          <t>Bokført</t>
        </is>
      </c>
      <c r="F68" t="inlineStr">
        <is>
          <t>Kommunal Boenhet</t>
        </is>
      </c>
      <c r="G68" t="n">
        <v>254</v>
      </c>
      <c r="H68" t="inlineStr">
        <is>
          <t>Helse og mestring</t>
        </is>
      </c>
      <c r="I68" t="inlineStr">
        <is>
          <t>1 Lønn</t>
        </is>
      </c>
      <c r="J68" t="inlineStr">
        <is>
          <t>10 Lønn</t>
        </is>
      </c>
      <c r="K68" t="n">
        <v>1020</v>
      </c>
      <c r="L68" t="n">
        <v>102000</v>
      </c>
      <c r="M68" t="inlineStr">
        <is>
          <t>Vikar - sykefravær - med refusjon</t>
        </is>
      </c>
      <c r="N68" s="98" t="n">
        <v>16660</v>
      </c>
      <c r="O68" s="98" t="n">
        <v>13415.11</v>
      </c>
      <c r="P68" s="98" t="n">
        <v>3244.89</v>
      </c>
      <c r="Q68" s="98" t="n">
        <v>-3244.89</v>
      </c>
    </row>
    <row r="69">
      <c r="A69" t="inlineStr">
        <is>
          <t>2024-08</t>
        </is>
      </c>
      <c r="B69" t="inlineStr">
        <is>
          <t>August</t>
        </is>
      </c>
      <c r="C69" t="n">
        <v>8</v>
      </c>
      <c r="D69" t="inlineStr">
        <is>
          <t>T2</t>
        </is>
      </c>
      <c r="E69" t="inlineStr">
        <is>
          <t>Bokført</t>
        </is>
      </c>
      <c r="F69" t="inlineStr">
        <is>
          <t>Kommunal Boenhet</t>
        </is>
      </c>
      <c r="G69" t="n">
        <v>254</v>
      </c>
      <c r="H69" t="inlineStr">
        <is>
          <t>Helse og mestring</t>
        </is>
      </c>
      <c r="I69" t="inlineStr">
        <is>
          <t>1 Lønn</t>
        </is>
      </c>
      <c r="J69" t="inlineStr">
        <is>
          <t>10 Lønn</t>
        </is>
      </c>
      <c r="K69" t="n">
        <v>1020</v>
      </c>
      <c r="L69" t="n">
        <v>102000</v>
      </c>
      <c r="M69" t="inlineStr">
        <is>
          <t>Vikar - sykefravær - med refusjon</t>
        </is>
      </c>
      <c r="N69" s="98" t="n">
        <v>16660</v>
      </c>
      <c r="O69" s="98" t="n">
        <v>15319.5</v>
      </c>
      <c r="P69" s="98" t="n">
        <v>1340.5</v>
      </c>
      <c r="Q69" s="98" t="n">
        <v>-1340.5</v>
      </c>
    </row>
    <row r="70">
      <c r="A70" t="inlineStr">
        <is>
          <t>2024-09</t>
        </is>
      </c>
      <c r="B70" t="inlineStr">
        <is>
          <t>September</t>
        </is>
      </c>
      <c r="C70" t="n">
        <v>9</v>
      </c>
      <c r="D70" t="inlineStr">
        <is>
          <t>T3</t>
        </is>
      </c>
      <c r="E70" t="inlineStr">
        <is>
          <t>Gjenstående budsjett</t>
        </is>
      </c>
      <c r="F70" t="inlineStr">
        <is>
          <t>Kommunal Boenhet</t>
        </is>
      </c>
      <c r="G70" t="n">
        <v>254</v>
      </c>
      <c r="H70" t="inlineStr">
        <is>
          <t>Helse og mestring</t>
        </is>
      </c>
      <c r="I70" t="inlineStr">
        <is>
          <t>1 Lønn</t>
        </is>
      </c>
      <c r="J70" t="inlineStr">
        <is>
          <t>10 Lønn</t>
        </is>
      </c>
      <c r="K70" t="n">
        <v>1020</v>
      </c>
      <c r="L70" t="n">
        <v>102000</v>
      </c>
      <c r="M70" t="inlineStr">
        <is>
          <t>Vikar - sykefravær - med refusjon</t>
        </is>
      </c>
      <c r="N70" s="98" t="n">
        <v>16660</v>
      </c>
      <c r="O70" s="98" t="n">
        <v>0</v>
      </c>
      <c r="P70" s="98" t="n">
        <v>0</v>
      </c>
      <c r="Q70" s="98" t="n">
        <v>-16660</v>
      </c>
    </row>
    <row r="71">
      <c r="A71" t="inlineStr">
        <is>
          <t>2024-10</t>
        </is>
      </c>
      <c r="B71" t="inlineStr">
        <is>
          <t>Oktober</t>
        </is>
      </c>
      <c r="C71" t="n">
        <v>10</v>
      </c>
      <c r="D71" t="inlineStr">
        <is>
          <t>T3</t>
        </is>
      </c>
      <c r="E71" t="inlineStr">
        <is>
          <t>Gjenstående budsjett</t>
        </is>
      </c>
      <c r="F71" t="inlineStr">
        <is>
          <t>Kommunal Boenhet</t>
        </is>
      </c>
      <c r="G71" t="n">
        <v>254</v>
      </c>
      <c r="H71" t="inlineStr">
        <is>
          <t>Helse og mestring</t>
        </is>
      </c>
      <c r="I71" t="inlineStr">
        <is>
          <t>1 Lønn</t>
        </is>
      </c>
      <c r="J71" t="inlineStr">
        <is>
          <t>10 Lønn</t>
        </is>
      </c>
      <c r="K71" t="n">
        <v>1020</v>
      </c>
      <c r="L71" t="n">
        <v>102000</v>
      </c>
      <c r="M71" t="inlineStr">
        <is>
          <t>Vikar - sykefravær - med refusjon</t>
        </is>
      </c>
      <c r="N71" s="98" t="n">
        <v>16660</v>
      </c>
      <c r="O71" s="98" t="n">
        <v>0</v>
      </c>
      <c r="P71" s="98" t="n">
        <v>0</v>
      </c>
      <c r="Q71" s="98" t="n">
        <v>-16660</v>
      </c>
    </row>
    <row r="72">
      <c r="A72" t="inlineStr">
        <is>
          <t>2024-11</t>
        </is>
      </c>
      <c r="B72" t="inlineStr">
        <is>
          <t>November</t>
        </is>
      </c>
      <c r="C72" t="n">
        <v>11</v>
      </c>
      <c r="D72" t="inlineStr">
        <is>
          <t>T3</t>
        </is>
      </c>
      <c r="E72" t="inlineStr">
        <is>
          <t>Gjenstående budsjett</t>
        </is>
      </c>
      <c r="F72" t="inlineStr">
        <is>
          <t>Kommunal Boenhet</t>
        </is>
      </c>
      <c r="G72" t="n">
        <v>254</v>
      </c>
      <c r="H72" t="inlineStr">
        <is>
          <t>Helse og mestring</t>
        </is>
      </c>
      <c r="I72" t="inlineStr">
        <is>
          <t>1 Lønn</t>
        </is>
      </c>
      <c r="J72" t="inlineStr">
        <is>
          <t>10 Lønn</t>
        </is>
      </c>
      <c r="K72" t="n">
        <v>1020</v>
      </c>
      <c r="L72" t="n">
        <v>102000</v>
      </c>
      <c r="M72" t="inlineStr">
        <is>
          <t>Vikar - sykefravær - med refusjon</t>
        </is>
      </c>
      <c r="N72" s="98" t="n">
        <v>16660</v>
      </c>
      <c r="O72" s="98" t="n">
        <v>0</v>
      </c>
      <c r="P72" s="98" t="n">
        <v>0</v>
      </c>
      <c r="Q72" s="98" t="n">
        <v>-16660</v>
      </c>
    </row>
    <row r="73">
      <c r="A73" t="inlineStr">
        <is>
          <t>2024-12</t>
        </is>
      </c>
      <c r="B73" t="inlineStr">
        <is>
          <t>Desember</t>
        </is>
      </c>
      <c r="C73" t="n">
        <v>12</v>
      </c>
      <c r="D73" t="inlineStr">
        <is>
          <t>T3</t>
        </is>
      </c>
      <c r="E73" t="inlineStr">
        <is>
          <t>Gjenstående budsjett</t>
        </is>
      </c>
      <c r="F73" t="inlineStr">
        <is>
          <t>Kommunal Boenhet</t>
        </is>
      </c>
      <c r="G73" t="n">
        <v>254</v>
      </c>
      <c r="H73" t="inlineStr">
        <is>
          <t>Helse og mestring</t>
        </is>
      </c>
      <c r="I73" t="inlineStr">
        <is>
          <t>1 Lønn</t>
        </is>
      </c>
      <c r="J73" t="inlineStr">
        <is>
          <t>10 Lønn</t>
        </is>
      </c>
      <c r="K73" t="n">
        <v>1020</v>
      </c>
      <c r="L73" t="n">
        <v>102000</v>
      </c>
      <c r="M73" t="inlineStr">
        <is>
          <t>Vikar - sykefravær - med refusjon</t>
        </is>
      </c>
      <c r="N73" s="98" t="n">
        <v>16740</v>
      </c>
      <c r="O73" s="98" t="n">
        <v>0</v>
      </c>
      <c r="P73" s="98" t="n">
        <v>0</v>
      </c>
      <c r="Q73" s="98" t="n">
        <v>-16740</v>
      </c>
    </row>
    <row r="74">
      <c r="A74" t="inlineStr">
        <is>
          <t>2024-01</t>
        </is>
      </c>
      <c r="B74" t="inlineStr">
        <is>
          <t>Januar</t>
        </is>
      </c>
      <c r="C74" t="n">
        <v>1</v>
      </c>
      <c r="D74" t="inlineStr">
        <is>
          <t>T1</t>
        </is>
      </c>
      <c r="E74" t="inlineStr">
        <is>
          <t>Bokført</t>
        </is>
      </c>
      <c r="F74" t="inlineStr">
        <is>
          <t>Kommunal Boenhet</t>
        </is>
      </c>
      <c r="G74" t="n">
        <v>254</v>
      </c>
      <c r="H74" t="inlineStr">
        <is>
          <t>Helse og mestring</t>
        </is>
      </c>
      <c r="I74" t="inlineStr">
        <is>
          <t>1 Lønn</t>
        </is>
      </c>
      <c r="J74" t="inlineStr">
        <is>
          <t>10 Lønn</t>
        </is>
      </c>
      <c r="K74" t="n">
        <v>1020</v>
      </c>
      <c r="L74" t="n">
        <v>102001</v>
      </c>
      <c r="M74" t="inlineStr">
        <is>
          <t>Vikar - sykefravær - uten refusjon</t>
        </is>
      </c>
      <c r="N74" s="98" t="n">
        <v>21809</v>
      </c>
      <c r="O74" s="98" t="n">
        <v>0</v>
      </c>
      <c r="P74" s="98" t="n">
        <v>21809</v>
      </c>
      <c r="Q74" s="98" t="n">
        <v>-21809</v>
      </c>
    </row>
    <row r="75">
      <c r="A75" t="inlineStr">
        <is>
          <t>2024-02</t>
        </is>
      </c>
      <c r="B75" t="inlineStr">
        <is>
          <t>Februar</t>
        </is>
      </c>
      <c r="C75" t="n">
        <v>2</v>
      </c>
      <c r="D75" t="inlineStr">
        <is>
          <t>T1</t>
        </is>
      </c>
      <c r="E75" t="inlineStr">
        <is>
          <t>Bokført</t>
        </is>
      </c>
      <c r="F75" t="inlineStr">
        <is>
          <t>Kommunal Boenhet</t>
        </is>
      </c>
      <c r="G75" t="n">
        <v>254</v>
      </c>
      <c r="H75" t="inlineStr">
        <is>
          <t>Helse og mestring</t>
        </is>
      </c>
      <c r="I75" t="inlineStr">
        <is>
          <t>1 Lønn</t>
        </is>
      </c>
      <c r="J75" t="inlineStr">
        <is>
          <t>10 Lønn</t>
        </is>
      </c>
      <c r="K75" t="n">
        <v>1020</v>
      </c>
      <c r="L75" t="n">
        <v>102001</v>
      </c>
      <c r="M75" t="inlineStr">
        <is>
          <t>Vikar - sykefravær - uten refusjon</t>
        </is>
      </c>
      <c r="N75" s="98" t="n">
        <v>21809</v>
      </c>
      <c r="O75" s="98" t="n">
        <v>39187.82</v>
      </c>
      <c r="P75" s="98" t="n">
        <v>-17378.82</v>
      </c>
      <c r="Q75" s="98" t="n">
        <v>17378.82</v>
      </c>
    </row>
    <row r="76">
      <c r="A76" t="inlineStr">
        <is>
          <t>2024-03</t>
        </is>
      </c>
      <c r="B76" t="inlineStr">
        <is>
          <t>Mars</t>
        </is>
      </c>
      <c r="C76" t="n">
        <v>3</v>
      </c>
      <c r="D76" t="inlineStr">
        <is>
          <t>T1</t>
        </is>
      </c>
      <c r="E76" t="inlineStr">
        <is>
          <t>Bokført</t>
        </is>
      </c>
      <c r="F76" t="inlineStr">
        <is>
          <t>Kommunal Boenhet</t>
        </is>
      </c>
      <c r="G76" t="n">
        <v>254</v>
      </c>
      <c r="H76" t="inlineStr">
        <is>
          <t>Helse og mestring</t>
        </is>
      </c>
      <c r="I76" t="inlineStr">
        <is>
          <t>1 Lønn</t>
        </is>
      </c>
      <c r="J76" t="inlineStr">
        <is>
          <t>10 Lønn</t>
        </is>
      </c>
      <c r="K76" t="n">
        <v>1020</v>
      </c>
      <c r="L76" t="n">
        <v>102001</v>
      </c>
      <c r="M76" t="inlineStr">
        <is>
          <t>Vikar - sykefravær - uten refusjon</t>
        </is>
      </c>
      <c r="N76" s="98" t="n">
        <v>21809</v>
      </c>
      <c r="O76" s="98" t="n">
        <v>3729.89</v>
      </c>
      <c r="P76" s="98" t="n">
        <v>18079.11</v>
      </c>
      <c r="Q76" s="98" t="n">
        <v>-18079.11</v>
      </c>
    </row>
    <row r="77">
      <c r="A77" t="inlineStr">
        <is>
          <t>2024-04</t>
        </is>
      </c>
      <c r="B77" t="inlineStr">
        <is>
          <t>April</t>
        </is>
      </c>
      <c r="C77" t="n">
        <v>4</v>
      </c>
      <c r="D77" t="inlineStr">
        <is>
          <t>T1</t>
        </is>
      </c>
      <c r="E77" t="inlineStr">
        <is>
          <t>Bokført</t>
        </is>
      </c>
      <c r="F77" t="inlineStr">
        <is>
          <t>Kommunal Boenhet</t>
        </is>
      </c>
      <c r="G77" t="n">
        <v>254</v>
      </c>
      <c r="H77" t="inlineStr">
        <is>
          <t>Helse og mestring</t>
        </is>
      </c>
      <c r="I77" t="inlineStr">
        <is>
          <t>1 Lønn</t>
        </is>
      </c>
      <c r="J77" t="inlineStr">
        <is>
          <t>10 Lønn</t>
        </is>
      </c>
      <c r="K77" t="n">
        <v>1020</v>
      </c>
      <c r="L77" t="n">
        <v>102001</v>
      </c>
      <c r="M77" t="inlineStr">
        <is>
          <t>Vikar - sykefravær - uten refusjon</t>
        </is>
      </c>
      <c r="N77" s="98" t="n">
        <v>21809</v>
      </c>
      <c r="O77" s="98" t="n">
        <v>1558.23</v>
      </c>
      <c r="P77" s="98" t="n">
        <v>20250.77</v>
      </c>
      <c r="Q77" s="98" t="n">
        <v>-20250.77</v>
      </c>
    </row>
    <row r="78">
      <c r="A78" t="inlineStr">
        <is>
          <t>2024-05</t>
        </is>
      </c>
      <c r="B78" t="inlineStr">
        <is>
          <t>Mai</t>
        </is>
      </c>
      <c r="C78" t="n">
        <v>5</v>
      </c>
      <c r="D78" t="inlineStr">
        <is>
          <t>T2</t>
        </is>
      </c>
      <c r="E78" t="inlineStr">
        <is>
          <t>Bokført</t>
        </is>
      </c>
      <c r="F78" t="inlineStr">
        <is>
          <t>Kommunal Boenhet</t>
        </is>
      </c>
      <c r="G78" t="n">
        <v>254</v>
      </c>
      <c r="H78" t="inlineStr">
        <is>
          <t>Helse og mestring</t>
        </is>
      </c>
      <c r="I78" t="inlineStr">
        <is>
          <t>1 Lønn</t>
        </is>
      </c>
      <c r="J78" t="inlineStr">
        <is>
          <t>10 Lønn</t>
        </is>
      </c>
      <c r="K78" t="n">
        <v>1020</v>
      </c>
      <c r="L78" t="n">
        <v>102001</v>
      </c>
      <c r="M78" t="inlineStr">
        <is>
          <t>Vikar - sykefravær - uten refusjon</t>
        </is>
      </c>
      <c r="N78" s="98" t="n">
        <v>21809</v>
      </c>
      <c r="O78" s="98" t="n">
        <v>13647.27</v>
      </c>
      <c r="P78" s="98" t="n">
        <v>8161.73</v>
      </c>
      <c r="Q78" s="98" t="n">
        <v>-8161.73</v>
      </c>
    </row>
    <row r="79">
      <c r="A79" t="inlineStr">
        <is>
          <t>2024-06</t>
        </is>
      </c>
      <c r="B79" t="inlineStr">
        <is>
          <t>Juni</t>
        </is>
      </c>
      <c r="C79" t="n">
        <v>6</v>
      </c>
      <c r="D79" t="inlineStr">
        <is>
          <t>T2</t>
        </is>
      </c>
      <c r="E79" t="inlineStr">
        <is>
          <t>Bokført</t>
        </is>
      </c>
      <c r="F79" t="inlineStr">
        <is>
          <t>Kommunal Boenhet</t>
        </is>
      </c>
      <c r="G79" t="n">
        <v>254</v>
      </c>
      <c r="H79" t="inlineStr">
        <is>
          <t>Helse og mestring</t>
        </is>
      </c>
      <c r="I79" t="inlineStr">
        <is>
          <t>1 Lønn</t>
        </is>
      </c>
      <c r="J79" t="inlineStr">
        <is>
          <t>10 Lønn</t>
        </is>
      </c>
      <c r="K79" t="n">
        <v>1020</v>
      </c>
      <c r="L79" t="n">
        <v>102001</v>
      </c>
      <c r="M79" t="inlineStr">
        <is>
          <t>Vikar - sykefravær - uten refusjon</t>
        </is>
      </c>
      <c r="N79" s="98" t="n">
        <v>21807</v>
      </c>
      <c r="O79" s="98" t="n">
        <v>18359.38</v>
      </c>
      <c r="P79" s="98" t="n">
        <v>3447.62</v>
      </c>
      <c r="Q79" s="98" t="n">
        <v>-3447.62</v>
      </c>
    </row>
    <row r="80">
      <c r="A80" t="inlineStr">
        <is>
          <t>2024-07</t>
        </is>
      </c>
      <c r="B80" t="inlineStr">
        <is>
          <t>Juli</t>
        </is>
      </c>
      <c r="C80" t="n">
        <v>7</v>
      </c>
      <c r="D80" t="inlineStr">
        <is>
          <t>T2</t>
        </is>
      </c>
      <c r="E80" t="inlineStr">
        <is>
          <t>Bokført</t>
        </is>
      </c>
      <c r="F80" t="inlineStr">
        <is>
          <t>Kommunal Boenhet</t>
        </is>
      </c>
      <c r="G80" t="n">
        <v>254</v>
      </c>
      <c r="H80" t="inlineStr">
        <is>
          <t>Helse og mestring</t>
        </is>
      </c>
      <c r="I80" t="inlineStr">
        <is>
          <t>1 Lønn</t>
        </is>
      </c>
      <c r="J80" t="inlineStr">
        <is>
          <t>10 Lønn</t>
        </is>
      </c>
      <c r="K80" t="n">
        <v>1020</v>
      </c>
      <c r="L80" t="n">
        <v>102001</v>
      </c>
      <c r="M80" t="inlineStr">
        <is>
          <t>Vikar - sykefravær - uten refusjon</t>
        </is>
      </c>
      <c r="N80" s="98" t="n">
        <v>21809</v>
      </c>
      <c r="O80" s="98" t="n">
        <v>33861.46</v>
      </c>
      <c r="P80" s="98" t="n">
        <v>-12052.46</v>
      </c>
      <c r="Q80" s="98" t="n">
        <v>12052.46</v>
      </c>
    </row>
    <row r="81">
      <c r="A81" t="inlineStr">
        <is>
          <t>2024-08</t>
        </is>
      </c>
      <c r="B81" t="inlineStr">
        <is>
          <t>August</t>
        </is>
      </c>
      <c r="C81" t="n">
        <v>8</v>
      </c>
      <c r="D81" t="inlineStr">
        <is>
          <t>T2</t>
        </is>
      </c>
      <c r="E81" t="inlineStr">
        <is>
          <t>Bokført</t>
        </is>
      </c>
      <c r="F81" t="inlineStr">
        <is>
          <t>Kommunal Boenhet</t>
        </is>
      </c>
      <c r="G81" t="n">
        <v>254</v>
      </c>
      <c r="H81" t="inlineStr">
        <is>
          <t>Helse og mestring</t>
        </is>
      </c>
      <c r="I81" t="inlineStr">
        <is>
          <t>1 Lønn</t>
        </is>
      </c>
      <c r="J81" t="inlineStr">
        <is>
          <t>10 Lønn</t>
        </is>
      </c>
      <c r="K81" t="n">
        <v>1020</v>
      </c>
      <c r="L81" t="n">
        <v>102001</v>
      </c>
      <c r="M81" t="inlineStr">
        <is>
          <t>Vikar - sykefravær - uten refusjon</t>
        </is>
      </c>
      <c r="N81" s="98" t="n">
        <v>21809</v>
      </c>
      <c r="O81" s="98" t="n">
        <v>18868.99</v>
      </c>
      <c r="P81" s="98" t="n">
        <v>2940.01</v>
      </c>
      <c r="Q81" s="98" t="n">
        <v>-2940.01</v>
      </c>
    </row>
    <row r="82">
      <c r="A82" t="inlineStr">
        <is>
          <t>2024-09</t>
        </is>
      </c>
      <c r="B82" t="inlineStr">
        <is>
          <t>September</t>
        </is>
      </c>
      <c r="C82" t="n">
        <v>9</v>
      </c>
      <c r="D82" t="inlineStr">
        <is>
          <t>T3</t>
        </is>
      </c>
      <c r="E82" t="inlineStr">
        <is>
          <t>Gjenstående budsjett</t>
        </is>
      </c>
      <c r="F82" t="inlineStr">
        <is>
          <t>Kommunal Boenhet</t>
        </is>
      </c>
      <c r="G82" t="n">
        <v>254</v>
      </c>
      <c r="H82" t="inlineStr">
        <is>
          <t>Helse og mestring</t>
        </is>
      </c>
      <c r="I82" t="inlineStr">
        <is>
          <t>1 Lønn</t>
        </is>
      </c>
      <c r="J82" t="inlineStr">
        <is>
          <t>10 Lønn</t>
        </is>
      </c>
      <c r="K82" t="n">
        <v>1020</v>
      </c>
      <c r="L82" t="n">
        <v>102001</v>
      </c>
      <c r="M82" t="inlineStr">
        <is>
          <t>Vikar - sykefravær - uten refusjon</t>
        </is>
      </c>
      <c r="N82" s="98" t="n">
        <v>21809</v>
      </c>
      <c r="O82" s="98" t="n">
        <v>0</v>
      </c>
      <c r="P82" s="98" t="n">
        <v>0</v>
      </c>
      <c r="Q82" s="98" t="n">
        <v>-21809</v>
      </c>
    </row>
    <row r="83">
      <c r="A83" t="inlineStr">
        <is>
          <t>2024-10</t>
        </is>
      </c>
      <c r="B83" t="inlineStr">
        <is>
          <t>Oktober</t>
        </is>
      </c>
      <c r="C83" t="n">
        <v>10</v>
      </c>
      <c r="D83" t="inlineStr">
        <is>
          <t>T3</t>
        </is>
      </c>
      <c r="E83" t="inlineStr">
        <is>
          <t>Gjenstående budsjett</t>
        </is>
      </c>
      <c r="F83" t="inlineStr">
        <is>
          <t>Kommunal Boenhet</t>
        </is>
      </c>
      <c r="G83" t="n">
        <v>254</v>
      </c>
      <c r="H83" t="inlineStr">
        <is>
          <t>Helse og mestring</t>
        </is>
      </c>
      <c r="I83" t="inlineStr">
        <is>
          <t>1 Lønn</t>
        </is>
      </c>
      <c r="J83" t="inlineStr">
        <is>
          <t>10 Lønn</t>
        </is>
      </c>
      <c r="K83" t="n">
        <v>1020</v>
      </c>
      <c r="L83" t="n">
        <v>102001</v>
      </c>
      <c r="M83" t="inlineStr">
        <is>
          <t>Vikar - sykefravær - uten refusjon</t>
        </is>
      </c>
      <c r="N83" s="98" t="n">
        <v>21809</v>
      </c>
      <c r="O83" s="98" t="n">
        <v>0</v>
      </c>
      <c r="P83" s="98" t="n">
        <v>0</v>
      </c>
      <c r="Q83" s="98" t="n">
        <v>-21809</v>
      </c>
    </row>
    <row r="84">
      <c r="A84" t="inlineStr">
        <is>
          <t>2024-11</t>
        </is>
      </c>
      <c r="B84" t="inlineStr">
        <is>
          <t>November</t>
        </is>
      </c>
      <c r="C84" t="n">
        <v>11</v>
      </c>
      <c r="D84" t="inlineStr">
        <is>
          <t>T3</t>
        </is>
      </c>
      <c r="E84" t="inlineStr">
        <is>
          <t>Gjenstående budsjett</t>
        </is>
      </c>
      <c r="F84" t="inlineStr">
        <is>
          <t>Kommunal Boenhet</t>
        </is>
      </c>
      <c r="G84" t="n">
        <v>254</v>
      </c>
      <c r="H84" t="inlineStr">
        <is>
          <t>Helse og mestring</t>
        </is>
      </c>
      <c r="I84" t="inlineStr">
        <is>
          <t>1 Lønn</t>
        </is>
      </c>
      <c r="J84" t="inlineStr">
        <is>
          <t>10 Lønn</t>
        </is>
      </c>
      <c r="K84" t="n">
        <v>1020</v>
      </c>
      <c r="L84" t="n">
        <v>102001</v>
      </c>
      <c r="M84" t="inlineStr">
        <is>
          <t>Vikar - sykefravær - uten refusjon</t>
        </is>
      </c>
      <c r="N84" s="98" t="n">
        <v>21809</v>
      </c>
      <c r="O84" s="98" t="n">
        <v>0</v>
      </c>
      <c r="P84" s="98" t="n">
        <v>0</v>
      </c>
      <c r="Q84" s="98" t="n">
        <v>-21809</v>
      </c>
    </row>
    <row r="85">
      <c r="A85" t="inlineStr">
        <is>
          <t>2024-12</t>
        </is>
      </c>
      <c r="B85" t="inlineStr">
        <is>
          <t>Desember</t>
        </is>
      </c>
      <c r="C85" t="n">
        <v>12</v>
      </c>
      <c r="D85" t="inlineStr">
        <is>
          <t>T3</t>
        </is>
      </c>
      <c r="E85" t="inlineStr">
        <is>
          <t>Gjenstående budsjett</t>
        </is>
      </c>
      <c r="F85" t="inlineStr">
        <is>
          <t>Kommunal Boenhet</t>
        </is>
      </c>
      <c r="G85" t="n">
        <v>254</v>
      </c>
      <c r="H85" t="inlineStr">
        <is>
          <t>Helse og mestring</t>
        </is>
      </c>
      <c r="I85" t="inlineStr">
        <is>
          <t>1 Lønn</t>
        </is>
      </c>
      <c r="J85" t="inlineStr">
        <is>
          <t>10 Lønn</t>
        </is>
      </c>
      <c r="K85" t="n">
        <v>1020</v>
      </c>
      <c r="L85" t="n">
        <v>102001</v>
      </c>
      <c r="M85" t="inlineStr">
        <is>
          <t>Vikar - sykefravær - uten refusjon</t>
        </is>
      </c>
      <c r="N85" s="98" t="n">
        <v>22103</v>
      </c>
      <c r="O85" s="98" t="n">
        <v>0</v>
      </c>
      <c r="P85" s="98" t="n">
        <v>0</v>
      </c>
      <c r="Q85" s="98" t="n">
        <v>-22103</v>
      </c>
    </row>
    <row r="86">
      <c r="A86" t="inlineStr">
        <is>
          <t>2024-01</t>
        </is>
      </c>
      <c r="B86" t="inlineStr">
        <is>
          <t>Januar</t>
        </is>
      </c>
      <c r="C86" t="n">
        <v>1</v>
      </c>
      <c r="D86" t="inlineStr">
        <is>
          <t>T1</t>
        </is>
      </c>
      <c r="E86" t="inlineStr">
        <is>
          <t>Bokført</t>
        </is>
      </c>
      <c r="F86" t="inlineStr">
        <is>
          <t>Kommunal Boenhet</t>
        </is>
      </c>
      <c r="G86" t="n">
        <v>254</v>
      </c>
      <c r="H86" t="inlineStr">
        <is>
          <t>Helse og mestring</t>
        </is>
      </c>
      <c r="I86" t="inlineStr">
        <is>
          <t>1 Lønn</t>
        </is>
      </c>
      <c r="J86" t="inlineStr">
        <is>
          <t>10 Lønn</t>
        </is>
      </c>
      <c r="K86" t="n">
        <v>1020</v>
      </c>
      <c r="L86" t="n">
        <v>102002</v>
      </c>
      <c r="M86" t="inlineStr">
        <is>
          <t>Vikar - foreldrepermisjon</t>
        </is>
      </c>
      <c r="N86" s="98" t="n">
        <v>23741</v>
      </c>
      <c r="O86" s="98" t="n">
        <v>0</v>
      </c>
      <c r="P86" s="98" t="n">
        <v>23741</v>
      </c>
      <c r="Q86" s="98" t="n">
        <v>-23741</v>
      </c>
    </row>
    <row r="87">
      <c r="A87" t="inlineStr">
        <is>
          <t>2024-02</t>
        </is>
      </c>
      <c r="B87" t="inlineStr">
        <is>
          <t>Februar</t>
        </is>
      </c>
      <c r="C87" t="n">
        <v>2</v>
      </c>
      <c r="D87" t="inlineStr">
        <is>
          <t>T1</t>
        </is>
      </c>
      <c r="E87" t="inlineStr">
        <is>
          <t>Bokført</t>
        </is>
      </c>
      <c r="F87" t="inlineStr">
        <is>
          <t>Kommunal Boenhet</t>
        </is>
      </c>
      <c r="G87" t="n">
        <v>254</v>
      </c>
      <c r="H87" t="inlineStr">
        <is>
          <t>Helse og mestring</t>
        </is>
      </c>
      <c r="I87" t="inlineStr">
        <is>
          <t>1 Lønn</t>
        </is>
      </c>
      <c r="J87" t="inlineStr">
        <is>
          <t>10 Lønn</t>
        </is>
      </c>
      <c r="K87" t="n">
        <v>1020</v>
      </c>
      <c r="L87" t="n">
        <v>102002</v>
      </c>
      <c r="M87" t="inlineStr">
        <is>
          <t>Vikar - foreldrepermisjon</t>
        </is>
      </c>
      <c r="N87" s="98" t="n">
        <v>23741</v>
      </c>
      <c r="O87" s="98" t="n">
        <v>0</v>
      </c>
      <c r="P87" s="98" t="n">
        <v>23741</v>
      </c>
      <c r="Q87" s="98" t="n">
        <v>-23741</v>
      </c>
    </row>
    <row r="88">
      <c r="A88" t="inlineStr">
        <is>
          <t>2024-03</t>
        </is>
      </c>
      <c r="B88" t="inlineStr">
        <is>
          <t>Mars</t>
        </is>
      </c>
      <c r="C88" t="n">
        <v>3</v>
      </c>
      <c r="D88" t="inlineStr">
        <is>
          <t>T1</t>
        </is>
      </c>
      <c r="E88" t="inlineStr">
        <is>
          <t>Bokført</t>
        </is>
      </c>
      <c r="F88" t="inlineStr">
        <is>
          <t>Kommunal Boenhet</t>
        </is>
      </c>
      <c r="G88" t="n">
        <v>254</v>
      </c>
      <c r="H88" t="inlineStr">
        <is>
          <t>Helse og mestring</t>
        </is>
      </c>
      <c r="I88" t="inlineStr">
        <is>
          <t>1 Lønn</t>
        </is>
      </c>
      <c r="J88" t="inlineStr">
        <is>
          <t>10 Lønn</t>
        </is>
      </c>
      <c r="K88" t="n">
        <v>1020</v>
      </c>
      <c r="L88" t="n">
        <v>102002</v>
      </c>
      <c r="M88" t="inlineStr">
        <is>
          <t>Vikar - foreldrepermisjon</t>
        </is>
      </c>
      <c r="N88" s="98" t="n">
        <v>23741</v>
      </c>
      <c r="O88" s="98" t="n">
        <v>0</v>
      </c>
      <c r="P88" s="98" t="n">
        <v>23741</v>
      </c>
      <c r="Q88" s="98" t="n">
        <v>-23741</v>
      </c>
    </row>
    <row r="89">
      <c r="A89" t="inlineStr">
        <is>
          <t>2024-04</t>
        </is>
      </c>
      <c r="B89" t="inlineStr">
        <is>
          <t>April</t>
        </is>
      </c>
      <c r="C89" t="n">
        <v>4</v>
      </c>
      <c r="D89" t="inlineStr">
        <is>
          <t>T1</t>
        </is>
      </c>
      <c r="E89" t="inlineStr">
        <is>
          <t>Bokført</t>
        </is>
      </c>
      <c r="F89" t="inlineStr">
        <is>
          <t>Kommunal Boenhet</t>
        </is>
      </c>
      <c r="G89" t="n">
        <v>254</v>
      </c>
      <c r="H89" t="inlineStr">
        <is>
          <t>Helse og mestring</t>
        </is>
      </c>
      <c r="I89" t="inlineStr">
        <is>
          <t>1 Lønn</t>
        </is>
      </c>
      <c r="J89" t="inlineStr">
        <is>
          <t>10 Lønn</t>
        </is>
      </c>
      <c r="K89" t="n">
        <v>1020</v>
      </c>
      <c r="L89" t="n">
        <v>102002</v>
      </c>
      <c r="M89" t="inlineStr">
        <is>
          <t>Vikar - foreldrepermisjon</t>
        </is>
      </c>
      <c r="N89" s="98" t="n">
        <v>23741</v>
      </c>
      <c r="O89" s="98" t="n">
        <v>0</v>
      </c>
      <c r="P89" s="98" t="n">
        <v>23741</v>
      </c>
      <c r="Q89" s="98" t="n">
        <v>-23741</v>
      </c>
    </row>
    <row r="90">
      <c r="A90" t="inlineStr">
        <is>
          <t>2024-05</t>
        </is>
      </c>
      <c r="B90" t="inlineStr">
        <is>
          <t>Mai</t>
        </is>
      </c>
      <c r="C90" t="n">
        <v>5</v>
      </c>
      <c r="D90" t="inlineStr">
        <is>
          <t>T2</t>
        </is>
      </c>
      <c r="E90" t="inlineStr">
        <is>
          <t>Bokført</t>
        </is>
      </c>
      <c r="F90" t="inlineStr">
        <is>
          <t>Kommunal Boenhet</t>
        </is>
      </c>
      <c r="G90" t="n">
        <v>254</v>
      </c>
      <c r="H90" t="inlineStr">
        <is>
          <t>Helse og mestring</t>
        </is>
      </c>
      <c r="I90" t="inlineStr">
        <is>
          <t>1 Lønn</t>
        </is>
      </c>
      <c r="J90" t="inlineStr">
        <is>
          <t>10 Lønn</t>
        </is>
      </c>
      <c r="K90" t="n">
        <v>1020</v>
      </c>
      <c r="L90" t="n">
        <v>102002</v>
      </c>
      <c r="M90" t="inlineStr">
        <is>
          <t>Vikar - foreldrepermisjon</t>
        </is>
      </c>
      <c r="N90" s="98" t="n">
        <v>23741</v>
      </c>
      <c r="O90" s="98" t="n">
        <v>0</v>
      </c>
      <c r="P90" s="98" t="n">
        <v>23741</v>
      </c>
      <c r="Q90" s="98" t="n">
        <v>-23741</v>
      </c>
    </row>
    <row r="91">
      <c r="A91" t="inlineStr">
        <is>
          <t>2024-06</t>
        </is>
      </c>
      <c r="B91" t="inlineStr">
        <is>
          <t>Juni</t>
        </is>
      </c>
      <c r="C91" t="n">
        <v>6</v>
      </c>
      <c r="D91" t="inlineStr">
        <is>
          <t>T2</t>
        </is>
      </c>
      <c r="E91" t="inlineStr">
        <is>
          <t>Bokført</t>
        </is>
      </c>
      <c r="F91" t="inlineStr">
        <is>
          <t>Kommunal Boenhet</t>
        </is>
      </c>
      <c r="G91" t="n">
        <v>254</v>
      </c>
      <c r="H91" t="inlineStr">
        <is>
          <t>Helse og mestring</t>
        </is>
      </c>
      <c r="I91" t="inlineStr">
        <is>
          <t>1 Lønn</t>
        </is>
      </c>
      <c r="J91" t="inlineStr">
        <is>
          <t>10 Lønn</t>
        </is>
      </c>
      <c r="K91" t="n">
        <v>1020</v>
      </c>
      <c r="L91" t="n">
        <v>102002</v>
      </c>
      <c r="M91" t="inlineStr">
        <is>
          <t>Vikar - foreldrepermisjon</t>
        </is>
      </c>
      <c r="N91" s="98" t="n">
        <v>23741</v>
      </c>
      <c r="O91" s="98" t="n">
        <v>0</v>
      </c>
      <c r="P91" s="98" t="n">
        <v>23741</v>
      </c>
      <c r="Q91" s="98" t="n">
        <v>-23741</v>
      </c>
    </row>
    <row r="92">
      <c r="A92" t="inlineStr">
        <is>
          <t>2024-07</t>
        </is>
      </c>
      <c r="B92" t="inlineStr">
        <is>
          <t>Juli</t>
        </is>
      </c>
      <c r="C92" t="n">
        <v>7</v>
      </c>
      <c r="D92" t="inlineStr">
        <is>
          <t>T2</t>
        </is>
      </c>
      <c r="E92" t="inlineStr">
        <is>
          <t>Bokført</t>
        </is>
      </c>
      <c r="F92" t="inlineStr">
        <is>
          <t>Kommunal Boenhet</t>
        </is>
      </c>
      <c r="G92" t="n">
        <v>254</v>
      </c>
      <c r="H92" t="inlineStr">
        <is>
          <t>Helse og mestring</t>
        </is>
      </c>
      <c r="I92" t="inlineStr">
        <is>
          <t>1 Lønn</t>
        </is>
      </c>
      <c r="J92" t="inlineStr">
        <is>
          <t>10 Lønn</t>
        </is>
      </c>
      <c r="K92" t="n">
        <v>1020</v>
      </c>
      <c r="L92" t="n">
        <v>102002</v>
      </c>
      <c r="M92" t="inlineStr">
        <is>
          <t>Vikar - foreldrepermisjon</t>
        </is>
      </c>
      <c r="N92" s="98" t="n">
        <v>23741</v>
      </c>
      <c r="O92" s="98" t="n">
        <v>0</v>
      </c>
      <c r="P92" s="98" t="n">
        <v>23741</v>
      </c>
      <c r="Q92" s="98" t="n">
        <v>-23741</v>
      </c>
    </row>
    <row r="93">
      <c r="A93" t="inlineStr">
        <is>
          <t>2024-08</t>
        </is>
      </c>
      <c r="B93" t="inlineStr">
        <is>
          <t>August</t>
        </is>
      </c>
      <c r="C93" t="n">
        <v>8</v>
      </c>
      <c r="D93" t="inlineStr">
        <is>
          <t>T2</t>
        </is>
      </c>
      <c r="E93" t="inlineStr">
        <is>
          <t>Bokført</t>
        </is>
      </c>
      <c r="F93" t="inlineStr">
        <is>
          <t>Kommunal Boenhet</t>
        </is>
      </c>
      <c r="G93" t="n">
        <v>254</v>
      </c>
      <c r="H93" t="inlineStr">
        <is>
          <t>Helse og mestring</t>
        </is>
      </c>
      <c r="I93" t="inlineStr">
        <is>
          <t>1 Lønn</t>
        </is>
      </c>
      <c r="J93" t="inlineStr">
        <is>
          <t>10 Lønn</t>
        </is>
      </c>
      <c r="K93" t="n">
        <v>1020</v>
      </c>
      <c r="L93" t="n">
        <v>102002</v>
      </c>
      <c r="M93" t="inlineStr">
        <is>
          <t>Vikar - foreldrepermisjon</t>
        </is>
      </c>
      <c r="N93" s="98" t="n">
        <v>23741</v>
      </c>
      <c r="O93" s="98" t="n">
        <v>0</v>
      </c>
      <c r="P93" s="98" t="n">
        <v>23741</v>
      </c>
      <c r="Q93" s="98" t="n">
        <v>-23741</v>
      </c>
    </row>
    <row r="94">
      <c r="A94" t="inlineStr">
        <is>
          <t>2024-09</t>
        </is>
      </c>
      <c r="B94" t="inlineStr">
        <is>
          <t>September</t>
        </is>
      </c>
      <c r="C94" t="n">
        <v>9</v>
      </c>
      <c r="D94" t="inlineStr">
        <is>
          <t>T3</t>
        </is>
      </c>
      <c r="E94" t="inlineStr">
        <is>
          <t>Gjenstående budsjett</t>
        </is>
      </c>
      <c r="F94" t="inlineStr">
        <is>
          <t>Kommunal Boenhet</t>
        </is>
      </c>
      <c r="G94" t="n">
        <v>254</v>
      </c>
      <c r="H94" t="inlineStr">
        <is>
          <t>Helse og mestring</t>
        </is>
      </c>
      <c r="I94" t="inlineStr">
        <is>
          <t>1 Lønn</t>
        </is>
      </c>
      <c r="J94" t="inlineStr">
        <is>
          <t>10 Lønn</t>
        </is>
      </c>
      <c r="K94" t="n">
        <v>1020</v>
      </c>
      <c r="L94" t="n">
        <v>102002</v>
      </c>
      <c r="M94" t="inlineStr">
        <is>
          <t>Vikar - foreldrepermisjon</t>
        </is>
      </c>
      <c r="N94" s="98" t="n">
        <v>23741</v>
      </c>
      <c r="O94" s="98" t="n">
        <v>0</v>
      </c>
      <c r="P94" s="98" t="n">
        <v>0</v>
      </c>
      <c r="Q94" s="98" t="n">
        <v>-23741</v>
      </c>
    </row>
    <row r="95">
      <c r="A95" t="inlineStr">
        <is>
          <t>2024-10</t>
        </is>
      </c>
      <c r="B95" t="inlineStr">
        <is>
          <t>Oktober</t>
        </is>
      </c>
      <c r="C95" t="n">
        <v>10</v>
      </c>
      <c r="D95" t="inlineStr">
        <is>
          <t>T3</t>
        </is>
      </c>
      <c r="E95" t="inlineStr">
        <is>
          <t>Gjenstående budsjett</t>
        </is>
      </c>
      <c r="F95" t="inlineStr">
        <is>
          <t>Kommunal Boenhet</t>
        </is>
      </c>
      <c r="G95" t="n">
        <v>254</v>
      </c>
      <c r="H95" t="inlineStr">
        <is>
          <t>Helse og mestring</t>
        </is>
      </c>
      <c r="I95" t="inlineStr">
        <is>
          <t>1 Lønn</t>
        </is>
      </c>
      <c r="J95" t="inlineStr">
        <is>
          <t>10 Lønn</t>
        </is>
      </c>
      <c r="K95" t="n">
        <v>1020</v>
      </c>
      <c r="L95" t="n">
        <v>102002</v>
      </c>
      <c r="M95" t="inlineStr">
        <is>
          <t>Vikar - foreldrepermisjon</t>
        </is>
      </c>
      <c r="N95" s="98" t="n">
        <v>23741</v>
      </c>
      <c r="O95" s="98" t="n">
        <v>0</v>
      </c>
      <c r="P95" s="98" t="n">
        <v>0</v>
      </c>
      <c r="Q95" s="98" t="n">
        <v>-23741</v>
      </c>
    </row>
    <row r="96">
      <c r="A96" t="inlineStr">
        <is>
          <t>2024-11</t>
        </is>
      </c>
      <c r="B96" t="inlineStr">
        <is>
          <t>November</t>
        </is>
      </c>
      <c r="C96" t="n">
        <v>11</v>
      </c>
      <c r="D96" t="inlineStr">
        <is>
          <t>T3</t>
        </is>
      </c>
      <c r="E96" t="inlineStr">
        <is>
          <t>Gjenstående budsjett</t>
        </is>
      </c>
      <c r="F96" t="inlineStr">
        <is>
          <t>Kommunal Boenhet</t>
        </is>
      </c>
      <c r="G96" t="n">
        <v>254</v>
      </c>
      <c r="H96" t="inlineStr">
        <is>
          <t>Helse og mestring</t>
        </is>
      </c>
      <c r="I96" t="inlineStr">
        <is>
          <t>1 Lønn</t>
        </is>
      </c>
      <c r="J96" t="inlineStr">
        <is>
          <t>10 Lønn</t>
        </is>
      </c>
      <c r="K96" t="n">
        <v>1020</v>
      </c>
      <c r="L96" t="n">
        <v>102002</v>
      </c>
      <c r="M96" t="inlineStr">
        <is>
          <t>Vikar - foreldrepermisjon</t>
        </is>
      </c>
      <c r="N96" s="98" t="n">
        <v>23741</v>
      </c>
      <c r="O96" s="98" t="n">
        <v>0</v>
      </c>
      <c r="P96" s="98" t="n">
        <v>0</v>
      </c>
      <c r="Q96" s="98" t="n">
        <v>-23741</v>
      </c>
    </row>
    <row r="97">
      <c r="A97" t="inlineStr">
        <is>
          <t>2024-12</t>
        </is>
      </c>
      <c r="B97" t="inlineStr">
        <is>
          <t>Desember</t>
        </is>
      </c>
      <c r="C97" t="n">
        <v>12</v>
      </c>
      <c r="D97" t="inlineStr">
        <is>
          <t>T3</t>
        </is>
      </c>
      <c r="E97" t="inlineStr">
        <is>
          <t>Gjenstående budsjett</t>
        </is>
      </c>
      <c r="F97" t="inlineStr">
        <is>
          <t>Kommunal Boenhet</t>
        </is>
      </c>
      <c r="G97" t="n">
        <v>254</v>
      </c>
      <c r="H97" t="inlineStr">
        <is>
          <t>Helse og mestring</t>
        </is>
      </c>
      <c r="I97" t="inlineStr">
        <is>
          <t>1 Lønn</t>
        </is>
      </c>
      <c r="J97" t="inlineStr">
        <is>
          <t>10 Lønn</t>
        </is>
      </c>
      <c r="K97" t="n">
        <v>1020</v>
      </c>
      <c r="L97" t="n">
        <v>102002</v>
      </c>
      <c r="M97" t="inlineStr">
        <is>
          <t>Vikar - foreldrepermisjon</t>
        </is>
      </c>
      <c r="N97" s="98" t="n">
        <v>23849</v>
      </c>
      <c r="O97" s="98" t="n">
        <v>0</v>
      </c>
      <c r="P97" s="98" t="n">
        <v>0</v>
      </c>
      <c r="Q97" s="98" t="n">
        <v>-23849</v>
      </c>
    </row>
    <row r="98">
      <c r="A98" t="inlineStr">
        <is>
          <t>2024-01</t>
        </is>
      </c>
      <c r="B98" t="inlineStr">
        <is>
          <t>Januar</t>
        </is>
      </c>
      <c r="C98" t="n">
        <v>1</v>
      </c>
      <c r="D98" t="inlineStr">
        <is>
          <t>T1</t>
        </is>
      </c>
      <c r="E98" t="inlineStr">
        <is>
          <t>Bokført</t>
        </is>
      </c>
      <c r="F98" t="inlineStr">
        <is>
          <t>Kommunal Boenhet</t>
        </is>
      </c>
      <c r="G98" t="n">
        <v>254</v>
      </c>
      <c r="H98" t="inlineStr">
        <is>
          <t>Helse og mestring</t>
        </is>
      </c>
      <c r="I98" t="inlineStr">
        <is>
          <t>1 Lønn</t>
        </is>
      </c>
      <c r="J98" t="inlineStr">
        <is>
          <t>10 Lønn</t>
        </is>
      </c>
      <c r="K98" t="n">
        <v>1020</v>
      </c>
      <c r="L98" t="n">
        <v>102010</v>
      </c>
      <c r="M98" t="inlineStr">
        <is>
          <t>Vikar - lønnet perm inkl tillitsverv og velf.perm.</t>
        </is>
      </c>
      <c r="N98" s="98" t="n">
        <v>4738</v>
      </c>
      <c r="O98" s="98" t="n">
        <v>0</v>
      </c>
      <c r="P98" s="98" t="n">
        <v>4738</v>
      </c>
      <c r="Q98" s="98" t="n">
        <v>-4738</v>
      </c>
    </row>
    <row r="99">
      <c r="A99" t="inlineStr">
        <is>
          <t>2024-02</t>
        </is>
      </c>
      <c r="B99" t="inlineStr">
        <is>
          <t>Februar</t>
        </is>
      </c>
      <c r="C99" t="n">
        <v>2</v>
      </c>
      <c r="D99" t="inlineStr">
        <is>
          <t>T1</t>
        </is>
      </c>
      <c r="E99" t="inlineStr">
        <is>
          <t>Bokført</t>
        </is>
      </c>
      <c r="F99" t="inlineStr">
        <is>
          <t>Kommunal Boenhet</t>
        </is>
      </c>
      <c r="G99" t="n">
        <v>254</v>
      </c>
      <c r="H99" t="inlineStr">
        <is>
          <t>Helse og mestring</t>
        </is>
      </c>
      <c r="I99" t="inlineStr">
        <is>
          <t>1 Lønn</t>
        </is>
      </c>
      <c r="J99" t="inlineStr">
        <is>
          <t>10 Lønn</t>
        </is>
      </c>
      <c r="K99" t="n">
        <v>1020</v>
      </c>
      <c r="L99" t="n">
        <v>102010</v>
      </c>
      <c r="M99" t="inlineStr">
        <is>
          <t>Vikar - lønnet perm inkl tillitsverv og velf.perm.</t>
        </is>
      </c>
      <c r="N99" s="98" t="n">
        <v>4738</v>
      </c>
      <c r="O99" s="98" t="n">
        <v>8996.59</v>
      </c>
      <c r="P99" s="98" t="n">
        <v>-4258.59</v>
      </c>
      <c r="Q99" s="98" t="n">
        <v>4258.59</v>
      </c>
    </row>
    <row r="100">
      <c r="A100" t="inlineStr">
        <is>
          <t>2024-03</t>
        </is>
      </c>
      <c r="B100" t="inlineStr">
        <is>
          <t>Mars</t>
        </is>
      </c>
      <c r="C100" t="n">
        <v>3</v>
      </c>
      <c r="D100" t="inlineStr">
        <is>
          <t>T1</t>
        </is>
      </c>
      <c r="E100" t="inlineStr">
        <is>
          <t>Bokført</t>
        </is>
      </c>
      <c r="F100" t="inlineStr">
        <is>
          <t>Kommunal Boenhet</t>
        </is>
      </c>
      <c r="G100" t="n">
        <v>254</v>
      </c>
      <c r="H100" t="inlineStr">
        <is>
          <t>Helse og mestring</t>
        </is>
      </c>
      <c r="I100" t="inlineStr">
        <is>
          <t>1 Lønn</t>
        </is>
      </c>
      <c r="J100" t="inlineStr">
        <is>
          <t>10 Lønn</t>
        </is>
      </c>
      <c r="K100" t="n">
        <v>1020</v>
      </c>
      <c r="L100" t="n">
        <v>102010</v>
      </c>
      <c r="M100" t="inlineStr">
        <is>
          <t>Vikar - lønnet perm inkl tillitsverv og velf.perm.</t>
        </is>
      </c>
      <c r="N100" s="98" t="n">
        <v>4738</v>
      </c>
      <c r="O100" s="98" t="n">
        <v>0</v>
      </c>
      <c r="P100" s="98" t="n">
        <v>4738</v>
      </c>
      <c r="Q100" s="98" t="n">
        <v>-4738</v>
      </c>
    </row>
    <row r="101">
      <c r="A101" t="inlineStr">
        <is>
          <t>2024-04</t>
        </is>
      </c>
      <c r="B101" t="inlineStr">
        <is>
          <t>April</t>
        </is>
      </c>
      <c r="C101" t="n">
        <v>4</v>
      </c>
      <c r="D101" t="inlineStr">
        <is>
          <t>T1</t>
        </is>
      </c>
      <c r="E101" t="inlineStr">
        <is>
          <t>Bokført</t>
        </is>
      </c>
      <c r="F101" t="inlineStr">
        <is>
          <t>Kommunal Boenhet</t>
        </is>
      </c>
      <c r="G101" t="n">
        <v>254</v>
      </c>
      <c r="H101" t="inlineStr">
        <is>
          <t>Helse og mestring</t>
        </is>
      </c>
      <c r="I101" t="inlineStr">
        <is>
          <t>1 Lønn</t>
        </is>
      </c>
      <c r="J101" t="inlineStr">
        <is>
          <t>10 Lønn</t>
        </is>
      </c>
      <c r="K101" t="n">
        <v>1020</v>
      </c>
      <c r="L101" t="n">
        <v>102010</v>
      </c>
      <c r="M101" t="inlineStr">
        <is>
          <t>Vikar - lønnet perm inkl tillitsverv og velf.perm.</t>
        </is>
      </c>
      <c r="N101" s="98" t="n">
        <v>4738</v>
      </c>
      <c r="O101" s="98" t="n">
        <v>5110.73</v>
      </c>
      <c r="P101" s="98" t="n">
        <v>-372.73</v>
      </c>
      <c r="Q101" s="98" t="n">
        <v>372.73</v>
      </c>
    </row>
    <row r="102">
      <c r="A102" t="inlineStr">
        <is>
          <t>2024-05</t>
        </is>
      </c>
      <c r="B102" t="inlineStr">
        <is>
          <t>Mai</t>
        </is>
      </c>
      <c r="C102" t="n">
        <v>5</v>
      </c>
      <c r="D102" t="inlineStr">
        <is>
          <t>T2</t>
        </is>
      </c>
      <c r="E102" t="inlineStr">
        <is>
          <t>Bokført</t>
        </is>
      </c>
      <c r="F102" t="inlineStr">
        <is>
          <t>Kommunal Boenhet</t>
        </is>
      </c>
      <c r="G102" t="n">
        <v>254</v>
      </c>
      <c r="H102" t="inlineStr">
        <is>
          <t>Helse og mestring</t>
        </is>
      </c>
      <c r="I102" t="inlineStr">
        <is>
          <t>1 Lønn</t>
        </is>
      </c>
      <c r="J102" t="inlineStr">
        <is>
          <t>10 Lønn</t>
        </is>
      </c>
      <c r="K102" t="n">
        <v>1020</v>
      </c>
      <c r="L102" t="n">
        <v>102010</v>
      </c>
      <c r="M102" t="inlineStr">
        <is>
          <t>Vikar - lønnet perm inkl tillitsverv og velf.perm.</t>
        </is>
      </c>
      <c r="N102" s="98" t="n">
        <v>4738</v>
      </c>
      <c r="O102" s="98" t="n">
        <v>3351.87</v>
      </c>
      <c r="P102" s="98" t="n">
        <v>1386.13</v>
      </c>
      <c r="Q102" s="98" t="n">
        <v>-1386.13</v>
      </c>
    </row>
    <row r="103">
      <c r="A103" t="inlineStr">
        <is>
          <t>2024-06</t>
        </is>
      </c>
      <c r="B103" t="inlineStr">
        <is>
          <t>Juni</t>
        </is>
      </c>
      <c r="C103" t="n">
        <v>6</v>
      </c>
      <c r="D103" t="inlineStr">
        <is>
          <t>T2</t>
        </is>
      </c>
      <c r="E103" t="inlineStr">
        <is>
          <t>Bokført</t>
        </is>
      </c>
      <c r="F103" t="inlineStr">
        <is>
          <t>Kommunal Boenhet</t>
        </is>
      </c>
      <c r="G103" t="n">
        <v>254</v>
      </c>
      <c r="H103" t="inlineStr">
        <is>
          <t>Helse og mestring</t>
        </is>
      </c>
      <c r="I103" t="inlineStr">
        <is>
          <t>1 Lønn</t>
        </is>
      </c>
      <c r="J103" t="inlineStr">
        <is>
          <t>10 Lønn</t>
        </is>
      </c>
      <c r="K103" t="n">
        <v>1020</v>
      </c>
      <c r="L103" t="n">
        <v>102010</v>
      </c>
      <c r="M103" t="inlineStr">
        <is>
          <t>Vikar - lønnet perm inkl tillitsverv og velf.perm.</t>
        </is>
      </c>
      <c r="N103" s="98" t="n">
        <v>4738</v>
      </c>
      <c r="O103" s="98" t="n">
        <v>2130.8</v>
      </c>
      <c r="P103" s="98" t="n">
        <v>2607.2</v>
      </c>
      <c r="Q103" s="98" t="n">
        <v>-2607.2</v>
      </c>
    </row>
    <row r="104">
      <c r="A104" t="inlineStr">
        <is>
          <t>2024-07</t>
        </is>
      </c>
      <c r="B104" t="inlineStr">
        <is>
          <t>Juli</t>
        </is>
      </c>
      <c r="C104" t="n">
        <v>7</v>
      </c>
      <c r="D104" t="inlineStr">
        <is>
          <t>T2</t>
        </is>
      </c>
      <c r="E104" t="inlineStr">
        <is>
          <t>Bokført</t>
        </is>
      </c>
      <c r="F104" t="inlineStr">
        <is>
          <t>Kommunal Boenhet</t>
        </is>
      </c>
      <c r="G104" t="n">
        <v>254</v>
      </c>
      <c r="H104" t="inlineStr">
        <is>
          <t>Helse og mestring</t>
        </is>
      </c>
      <c r="I104" t="inlineStr">
        <is>
          <t>1 Lønn</t>
        </is>
      </c>
      <c r="J104" t="inlineStr">
        <is>
          <t>10 Lønn</t>
        </is>
      </c>
      <c r="K104" t="n">
        <v>1020</v>
      </c>
      <c r="L104" t="n">
        <v>102010</v>
      </c>
      <c r="M104" t="inlineStr">
        <is>
          <t>Vikar - lønnet perm inkl tillitsverv og velf.perm.</t>
        </is>
      </c>
      <c r="N104" s="98" t="n">
        <v>4738</v>
      </c>
      <c r="O104" s="98" t="n">
        <v>964.38</v>
      </c>
      <c r="P104" s="98" t="n">
        <v>3773.62</v>
      </c>
      <c r="Q104" s="98" t="n">
        <v>-3773.62</v>
      </c>
    </row>
    <row r="105">
      <c r="A105" t="inlineStr">
        <is>
          <t>2024-08</t>
        </is>
      </c>
      <c r="B105" t="inlineStr">
        <is>
          <t>August</t>
        </is>
      </c>
      <c r="C105" t="n">
        <v>8</v>
      </c>
      <c r="D105" t="inlineStr">
        <is>
          <t>T2</t>
        </is>
      </c>
      <c r="E105" t="inlineStr">
        <is>
          <t>Bokført</t>
        </is>
      </c>
      <c r="F105" t="inlineStr">
        <is>
          <t>Kommunal Boenhet</t>
        </is>
      </c>
      <c r="G105" t="n">
        <v>254</v>
      </c>
      <c r="H105" t="inlineStr">
        <is>
          <t>Helse og mestring</t>
        </is>
      </c>
      <c r="I105" t="inlineStr">
        <is>
          <t>1 Lønn</t>
        </is>
      </c>
      <c r="J105" t="inlineStr">
        <is>
          <t>10 Lønn</t>
        </is>
      </c>
      <c r="K105" t="n">
        <v>1020</v>
      </c>
      <c r="L105" t="n">
        <v>102010</v>
      </c>
      <c r="M105" t="inlineStr">
        <is>
          <t>Vikar - lønnet perm inkl tillitsverv og velf.perm.</t>
        </is>
      </c>
      <c r="N105" s="98" t="n">
        <v>4738</v>
      </c>
      <c r="O105" s="98" t="n">
        <v>3854.21</v>
      </c>
      <c r="P105" s="98" t="n">
        <v>883.79</v>
      </c>
      <c r="Q105" s="98" t="n">
        <v>-883.79</v>
      </c>
    </row>
    <row r="106">
      <c r="A106" t="inlineStr">
        <is>
          <t>2024-09</t>
        </is>
      </c>
      <c r="B106" t="inlineStr">
        <is>
          <t>September</t>
        </is>
      </c>
      <c r="C106" t="n">
        <v>9</v>
      </c>
      <c r="D106" t="inlineStr">
        <is>
          <t>T3</t>
        </is>
      </c>
      <c r="E106" t="inlineStr">
        <is>
          <t>Gjenstående budsjett</t>
        </is>
      </c>
      <c r="F106" t="inlineStr">
        <is>
          <t>Kommunal Boenhet</t>
        </is>
      </c>
      <c r="G106" t="n">
        <v>254</v>
      </c>
      <c r="H106" t="inlineStr">
        <is>
          <t>Helse og mestring</t>
        </is>
      </c>
      <c r="I106" t="inlineStr">
        <is>
          <t>1 Lønn</t>
        </is>
      </c>
      <c r="J106" t="inlineStr">
        <is>
          <t>10 Lønn</t>
        </is>
      </c>
      <c r="K106" t="n">
        <v>1020</v>
      </c>
      <c r="L106" t="n">
        <v>102010</v>
      </c>
      <c r="M106" t="inlineStr">
        <is>
          <t>Vikar - lønnet perm inkl tillitsverv og velf.perm.</t>
        </is>
      </c>
      <c r="N106" s="98" t="n">
        <v>4738</v>
      </c>
      <c r="O106" s="98" t="n">
        <v>0</v>
      </c>
      <c r="P106" s="98" t="n">
        <v>0</v>
      </c>
      <c r="Q106" s="98" t="n">
        <v>-4738</v>
      </c>
    </row>
    <row r="107">
      <c r="A107" t="inlineStr">
        <is>
          <t>2024-10</t>
        </is>
      </c>
      <c r="B107" t="inlineStr">
        <is>
          <t>Oktober</t>
        </is>
      </c>
      <c r="C107" t="n">
        <v>10</v>
      </c>
      <c r="D107" t="inlineStr">
        <is>
          <t>T3</t>
        </is>
      </c>
      <c r="E107" t="inlineStr">
        <is>
          <t>Gjenstående budsjett</t>
        </is>
      </c>
      <c r="F107" t="inlineStr">
        <is>
          <t>Kommunal Boenhet</t>
        </is>
      </c>
      <c r="G107" t="n">
        <v>254</v>
      </c>
      <c r="H107" t="inlineStr">
        <is>
          <t>Helse og mestring</t>
        </is>
      </c>
      <c r="I107" t="inlineStr">
        <is>
          <t>1 Lønn</t>
        </is>
      </c>
      <c r="J107" t="inlineStr">
        <is>
          <t>10 Lønn</t>
        </is>
      </c>
      <c r="K107" t="n">
        <v>1020</v>
      </c>
      <c r="L107" t="n">
        <v>102010</v>
      </c>
      <c r="M107" t="inlineStr">
        <is>
          <t>Vikar - lønnet perm inkl tillitsverv og velf.perm.</t>
        </is>
      </c>
      <c r="N107" s="98" t="n">
        <v>4738</v>
      </c>
      <c r="O107" s="98" t="n">
        <v>0</v>
      </c>
      <c r="P107" s="98" t="n">
        <v>0</v>
      </c>
      <c r="Q107" s="98" t="n">
        <v>-4738</v>
      </c>
    </row>
    <row r="108">
      <c r="A108" t="inlineStr">
        <is>
          <t>2024-11</t>
        </is>
      </c>
      <c r="B108" t="inlineStr">
        <is>
          <t>November</t>
        </is>
      </c>
      <c r="C108" t="n">
        <v>11</v>
      </c>
      <c r="D108" t="inlineStr">
        <is>
          <t>T3</t>
        </is>
      </c>
      <c r="E108" t="inlineStr">
        <is>
          <t>Gjenstående budsjett</t>
        </is>
      </c>
      <c r="F108" t="inlineStr">
        <is>
          <t>Kommunal Boenhet</t>
        </is>
      </c>
      <c r="G108" t="n">
        <v>254</v>
      </c>
      <c r="H108" t="inlineStr">
        <is>
          <t>Helse og mestring</t>
        </is>
      </c>
      <c r="I108" t="inlineStr">
        <is>
          <t>1 Lønn</t>
        </is>
      </c>
      <c r="J108" t="inlineStr">
        <is>
          <t>10 Lønn</t>
        </is>
      </c>
      <c r="K108" t="n">
        <v>1020</v>
      </c>
      <c r="L108" t="n">
        <v>102010</v>
      </c>
      <c r="M108" t="inlineStr">
        <is>
          <t>Vikar - lønnet perm inkl tillitsverv og velf.perm.</t>
        </is>
      </c>
      <c r="N108" s="98" t="n">
        <v>4738</v>
      </c>
      <c r="O108" s="98" t="n">
        <v>0</v>
      </c>
      <c r="P108" s="98" t="n">
        <v>0</v>
      </c>
      <c r="Q108" s="98" t="n">
        <v>-4738</v>
      </c>
    </row>
    <row r="109">
      <c r="A109" t="inlineStr">
        <is>
          <t>2024-12</t>
        </is>
      </c>
      <c r="B109" t="inlineStr">
        <is>
          <t>Desember</t>
        </is>
      </c>
      <c r="C109" t="n">
        <v>12</v>
      </c>
      <c r="D109" t="inlineStr">
        <is>
          <t>T3</t>
        </is>
      </c>
      <c r="E109" t="inlineStr">
        <is>
          <t>Gjenstående budsjett</t>
        </is>
      </c>
      <c r="F109" t="inlineStr">
        <is>
          <t>Kommunal Boenhet</t>
        </is>
      </c>
      <c r="G109" t="n">
        <v>254</v>
      </c>
      <c r="H109" t="inlineStr">
        <is>
          <t>Helse og mestring</t>
        </is>
      </c>
      <c r="I109" t="inlineStr">
        <is>
          <t>1 Lønn</t>
        </is>
      </c>
      <c r="J109" t="inlineStr">
        <is>
          <t>10 Lønn</t>
        </is>
      </c>
      <c r="K109" t="n">
        <v>1020</v>
      </c>
      <c r="L109" t="n">
        <v>102010</v>
      </c>
      <c r="M109" t="inlineStr">
        <is>
          <t>Vikar - lønnet perm inkl tillitsverv og velf.perm.</t>
        </is>
      </c>
      <c r="N109" s="98" t="n">
        <v>4882</v>
      </c>
      <c r="O109" s="98" t="n">
        <v>0</v>
      </c>
      <c r="P109" s="98" t="n">
        <v>0</v>
      </c>
      <c r="Q109" s="98" t="n">
        <v>-4882</v>
      </c>
    </row>
    <row r="110">
      <c r="A110" t="inlineStr">
        <is>
          <t>2024-01</t>
        </is>
      </c>
      <c r="B110" t="inlineStr">
        <is>
          <t>Januar</t>
        </is>
      </c>
      <c r="C110" t="n">
        <v>1</v>
      </c>
      <c r="D110" t="inlineStr">
        <is>
          <t>T1</t>
        </is>
      </c>
      <c r="E110" t="inlineStr">
        <is>
          <t>Bokført</t>
        </is>
      </c>
      <c r="F110" t="inlineStr">
        <is>
          <t>Kommunal Boenhet</t>
        </is>
      </c>
      <c r="G110" t="n">
        <v>254</v>
      </c>
      <c r="H110" t="inlineStr">
        <is>
          <t>Helse og mestring</t>
        </is>
      </c>
      <c r="I110" t="inlineStr">
        <is>
          <t>1 Lønn</t>
        </is>
      </c>
      <c r="J110" t="inlineStr">
        <is>
          <t>10 Lønn</t>
        </is>
      </c>
      <c r="K110" t="n">
        <v>1020</v>
      </c>
      <c r="L110" t="n">
        <v>102011</v>
      </c>
      <c r="M110" t="inlineStr">
        <is>
          <t>Vikar - feriefravær</t>
        </is>
      </c>
      <c r="N110" s="98" t="n">
        <v>31172</v>
      </c>
      <c r="O110" s="98" t="n">
        <v>0</v>
      </c>
      <c r="P110" s="98" t="n">
        <v>31172</v>
      </c>
      <c r="Q110" s="98" t="n">
        <v>-31172</v>
      </c>
    </row>
    <row r="111">
      <c r="A111" t="inlineStr">
        <is>
          <t>2024-02</t>
        </is>
      </c>
      <c r="B111" t="inlineStr">
        <is>
          <t>Februar</t>
        </is>
      </c>
      <c r="C111" t="n">
        <v>2</v>
      </c>
      <c r="D111" t="inlineStr">
        <is>
          <t>T1</t>
        </is>
      </c>
      <c r="E111" t="inlineStr">
        <is>
          <t>Bokført</t>
        </is>
      </c>
      <c r="F111" t="inlineStr">
        <is>
          <t>Kommunal Boenhet</t>
        </is>
      </c>
      <c r="G111" t="n">
        <v>254</v>
      </c>
      <c r="H111" t="inlineStr">
        <is>
          <t>Helse og mestring</t>
        </is>
      </c>
      <c r="I111" t="inlineStr">
        <is>
          <t>1 Lønn</t>
        </is>
      </c>
      <c r="J111" t="inlineStr">
        <is>
          <t>10 Lønn</t>
        </is>
      </c>
      <c r="K111" t="n">
        <v>1020</v>
      </c>
      <c r="L111" t="n">
        <v>102011</v>
      </c>
      <c r="M111" t="inlineStr">
        <is>
          <t>Vikar - feriefravær</t>
        </is>
      </c>
      <c r="N111" s="98" t="n">
        <v>10992</v>
      </c>
      <c r="O111" s="98" t="n">
        <v>95936.89</v>
      </c>
      <c r="P111" s="98" t="n">
        <v>-84944.89</v>
      </c>
      <c r="Q111" s="98" t="n">
        <v>84944.89</v>
      </c>
    </row>
    <row r="112">
      <c r="A112" t="inlineStr">
        <is>
          <t>2024-03</t>
        </is>
      </c>
      <c r="B112" t="inlineStr">
        <is>
          <t>Mars</t>
        </is>
      </c>
      <c r="C112" t="n">
        <v>3</v>
      </c>
      <c r="D112" t="inlineStr">
        <is>
          <t>T1</t>
        </is>
      </c>
      <c r="E112" t="inlineStr">
        <is>
          <t>Bokført</t>
        </is>
      </c>
      <c r="F112" t="inlineStr">
        <is>
          <t>Kommunal Boenhet</t>
        </is>
      </c>
      <c r="G112" t="n">
        <v>254</v>
      </c>
      <c r="H112" t="inlineStr">
        <is>
          <t>Helse og mestring</t>
        </is>
      </c>
      <c r="I112" t="inlineStr">
        <is>
          <t>1 Lønn</t>
        </is>
      </c>
      <c r="J112" t="inlineStr">
        <is>
          <t>10 Lønn</t>
        </is>
      </c>
      <c r="K112" t="n">
        <v>1020</v>
      </c>
      <c r="L112" t="n">
        <v>102011</v>
      </c>
      <c r="M112" t="inlineStr">
        <is>
          <t>Vikar - feriefravær</t>
        </is>
      </c>
      <c r="N112" s="98" t="n">
        <v>11621</v>
      </c>
      <c r="O112" s="98" t="n">
        <v>17258.03</v>
      </c>
      <c r="P112" s="98" t="n">
        <v>-5637.03</v>
      </c>
      <c r="Q112" s="98" t="n">
        <v>5637.03</v>
      </c>
    </row>
    <row r="113">
      <c r="A113" t="inlineStr">
        <is>
          <t>2024-04</t>
        </is>
      </c>
      <c r="B113" t="inlineStr">
        <is>
          <t>April</t>
        </is>
      </c>
      <c r="C113" t="n">
        <v>4</v>
      </c>
      <c r="D113" t="inlineStr">
        <is>
          <t>T1</t>
        </is>
      </c>
      <c r="E113" t="inlineStr">
        <is>
          <t>Bokført</t>
        </is>
      </c>
      <c r="F113" t="inlineStr">
        <is>
          <t>Kommunal Boenhet</t>
        </is>
      </c>
      <c r="G113" t="n">
        <v>254</v>
      </c>
      <c r="H113" t="inlineStr">
        <is>
          <t>Helse og mestring</t>
        </is>
      </c>
      <c r="I113" t="inlineStr">
        <is>
          <t>1 Lønn</t>
        </is>
      </c>
      <c r="J113" t="inlineStr">
        <is>
          <t>10 Lønn</t>
        </is>
      </c>
      <c r="K113" t="n">
        <v>1020</v>
      </c>
      <c r="L113" t="n">
        <v>102011</v>
      </c>
      <c r="M113" t="inlineStr">
        <is>
          <t>Vikar - feriefravær</t>
        </is>
      </c>
      <c r="N113" s="98" t="n">
        <v>17299</v>
      </c>
      <c r="O113" s="98" t="n">
        <v>8563.299999999999</v>
      </c>
      <c r="P113" s="98" t="n">
        <v>8735.700000000001</v>
      </c>
      <c r="Q113" s="98" t="n">
        <v>-8735.700000000001</v>
      </c>
    </row>
    <row r="114">
      <c r="A114" t="inlineStr">
        <is>
          <t>2024-05</t>
        </is>
      </c>
      <c r="B114" t="inlineStr">
        <is>
          <t>Mai</t>
        </is>
      </c>
      <c r="C114" t="n">
        <v>5</v>
      </c>
      <c r="D114" t="inlineStr">
        <is>
          <t>T2</t>
        </is>
      </c>
      <c r="E114" t="inlineStr">
        <is>
          <t>Bokført</t>
        </is>
      </c>
      <c r="F114" t="inlineStr">
        <is>
          <t>Kommunal Boenhet</t>
        </is>
      </c>
      <c r="G114" t="n">
        <v>254</v>
      </c>
      <c r="H114" t="inlineStr">
        <is>
          <t>Helse og mestring</t>
        </is>
      </c>
      <c r="I114" t="inlineStr">
        <is>
          <t>1 Lønn</t>
        </is>
      </c>
      <c r="J114" t="inlineStr">
        <is>
          <t>10 Lønn</t>
        </is>
      </c>
      <c r="K114" t="n">
        <v>1020</v>
      </c>
      <c r="L114" t="n">
        <v>102011</v>
      </c>
      <c r="M114" t="inlineStr">
        <is>
          <t>Vikar - feriefravær</t>
        </is>
      </c>
      <c r="N114" s="98" t="n">
        <v>14760</v>
      </c>
      <c r="O114" s="98" t="n">
        <v>5394.12</v>
      </c>
      <c r="P114" s="98" t="n">
        <v>9365.879999999999</v>
      </c>
      <c r="Q114" s="98" t="n">
        <v>-9365.879999999999</v>
      </c>
    </row>
    <row r="115">
      <c r="A115" t="inlineStr">
        <is>
          <t>2024-06</t>
        </is>
      </c>
      <c r="B115" t="inlineStr">
        <is>
          <t>Juni</t>
        </is>
      </c>
      <c r="C115" t="n">
        <v>6</v>
      </c>
      <c r="D115" t="inlineStr">
        <is>
          <t>T2</t>
        </is>
      </c>
      <c r="E115" t="inlineStr">
        <is>
          <t>Bokført</t>
        </is>
      </c>
      <c r="F115" t="inlineStr">
        <is>
          <t>Kommunal Boenhet</t>
        </is>
      </c>
      <c r="G115" t="n">
        <v>254</v>
      </c>
      <c r="H115" t="inlineStr">
        <is>
          <t>Helse og mestring</t>
        </is>
      </c>
      <c r="I115" t="inlineStr">
        <is>
          <t>1 Lønn</t>
        </is>
      </c>
      <c r="J115" t="inlineStr">
        <is>
          <t>10 Lønn</t>
        </is>
      </c>
      <c r="K115" t="n">
        <v>1020</v>
      </c>
      <c r="L115" t="n">
        <v>102011</v>
      </c>
      <c r="M115" t="inlineStr">
        <is>
          <t>Vikar - feriefravær</t>
        </is>
      </c>
      <c r="N115" s="98" t="n">
        <v>21311</v>
      </c>
      <c r="O115" s="98" t="n">
        <v>2111.58</v>
      </c>
      <c r="P115" s="98" t="n">
        <v>19199.42</v>
      </c>
      <c r="Q115" s="98" t="n">
        <v>-19199.42</v>
      </c>
    </row>
    <row r="116">
      <c r="A116" t="inlineStr">
        <is>
          <t>2024-07</t>
        </is>
      </c>
      <c r="B116" t="inlineStr">
        <is>
          <t>Juli</t>
        </is>
      </c>
      <c r="C116" t="n">
        <v>7</v>
      </c>
      <c r="D116" t="inlineStr">
        <is>
          <t>T2</t>
        </is>
      </c>
      <c r="E116" t="inlineStr">
        <is>
          <t>Bokført</t>
        </is>
      </c>
      <c r="F116" t="inlineStr">
        <is>
          <t>Kommunal Boenhet</t>
        </is>
      </c>
      <c r="G116" t="n">
        <v>254</v>
      </c>
      <c r="H116" t="inlineStr">
        <is>
          <t>Helse og mestring</t>
        </is>
      </c>
      <c r="I116" t="inlineStr">
        <is>
          <t>1 Lønn</t>
        </is>
      </c>
      <c r="J116" t="inlineStr">
        <is>
          <t>10 Lønn</t>
        </is>
      </c>
      <c r="K116" t="n">
        <v>1020</v>
      </c>
      <c r="L116" t="n">
        <v>102011</v>
      </c>
      <c r="M116" t="inlineStr">
        <is>
          <t>Vikar - feriefravær</t>
        </is>
      </c>
      <c r="N116" s="98" t="n">
        <v>66668</v>
      </c>
      <c r="O116" s="98" t="n">
        <v>43393.77</v>
      </c>
      <c r="P116" s="98" t="n">
        <v>23274.23</v>
      </c>
      <c r="Q116" s="98" t="n">
        <v>-23274.23</v>
      </c>
    </row>
    <row r="117">
      <c r="A117" t="inlineStr">
        <is>
          <t>2024-08</t>
        </is>
      </c>
      <c r="B117" t="inlineStr">
        <is>
          <t>August</t>
        </is>
      </c>
      <c r="C117" t="n">
        <v>8</v>
      </c>
      <c r="D117" t="inlineStr">
        <is>
          <t>T2</t>
        </is>
      </c>
      <c r="E117" t="inlineStr">
        <is>
          <t>Bokført</t>
        </is>
      </c>
      <c r="F117" t="inlineStr">
        <is>
          <t>Kommunal Boenhet</t>
        </is>
      </c>
      <c r="G117" t="n">
        <v>254</v>
      </c>
      <c r="H117" t="inlineStr">
        <is>
          <t>Helse og mestring</t>
        </is>
      </c>
      <c r="I117" t="inlineStr">
        <is>
          <t>1 Lønn</t>
        </is>
      </c>
      <c r="J117" t="inlineStr">
        <is>
          <t>10 Lønn</t>
        </is>
      </c>
      <c r="K117" t="n">
        <v>1020</v>
      </c>
      <c r="L117" t="n">
        <v>102011</v>
      </c>
      <c r="M117" t="inlineStr">
        <is>
          <t>Vikar - feriefravær</t>
        </is>
      </c>
      <c r="N117" s="98" t="n">
        <v>147227</v>
      </c>
      <c r="O117" s="98" t="n">
        <v>131265.74</v>
      </c>
      <c r="P117" s="98" t="n">
        <v>15961.26</v>
      </c>
      <c r="Q117" s="98" t="n">
        <v>-15961.26</v>
      </c>
    </row>
    <row r="118">
      <c r="A118" t="inlineStr">
        <is>
          <t>2024-09</t>
        </is>
      </c>
      <c r="B118" t="inlineStr">
        <is>
          <t>September</t>
        </is>
      </c>
      <c r="C118" t="n">
        <v>9</v>
      </c>
      <c r="D118" t="inlineStr">
        <is>
          <t>T3</t>
        </is>
      </c>
      <c r="E118" t="inlineStr">
        <is>
          <t>Gjenstående budsjett</t>
        </is>
      </c>
      <c r="F118" t="inlineStr">
        <is>
          <t>Kommunal Boenhet</t>
        </is>
      </c>
      <c r="G118" t="n">
        <v>254</v>
      </c>
      <c r="H118" t="inlineStr">
        <is>
          <t>Helse og mestring</t>
        </is>
      </c>
      <c r="I118" t="inlineStr">
        <is>
          <t>1 Lønn</t>
        </is>
      </c>
      <c r="J118" t="inlineStr">
        <is>
          <t>10 Lønn</t>
        </is>
      </c>
      <c r="K118" t="n">
        <v>1020</v>
      </c>
      <c r="L118" t="n">
        <v>102011</v>
      </c>
      <c r="M118" t="inlineStr">
        <is>
          <t>Vikar - feriefravær</t>
        </is>
      </c>
      <c r="N118" s="98" t="n">
        <v>126463</v>
      </c>
      <c r="O118" s="98" t="n">
        <v>0</v>
      </c>
      <c r="P118" s="98" t="n">
        <v>0</v>
      </c>
      <c r="Q118" s="98" t="n">
        <v>-126463</v>
      </c>
    </row>
    <row r="119">
      <c r="A119" t="inlineStr">
        <is>
          <t>2024-10</t>
        </is>
      </c>
      <c r="B119" t="inlineStr">
        <is>
          <t>Oktober</t>
        </is>
      </c>
      <c r="C119" t="n">
        <v>10</v>
      </c>
      <c r="D119" t="inlineStr">
        <is>
          <t>T3</t>
        </is>
      </c>
      <c r="E119" t="inlineStr">
        <is>
          <t>Gjenstående budsjett</t>
        </is>
      </c>
      <c r="F119" t="inlineStr">
        <is>
          <t>Kommunal Boenhet</t>
        </is>
      </c>
      <c r="G119" t="n">
        <v>254</v>
      </c>
      <c r="H119" t="inlineStr">
        <is>
          <t>Helse og mestring</t>
        </is>
      </c>
      <c r="I119" t="inlineStr">
        <is>
          <t>1 Lønn</t>
        </is>
      </c>
      <c r="J119" t="inlineStr">
        <is>
          <t>10 Lønn</t>
        </is>
      </c>
      <c r="K119" t="n">
        <v>1020</v>
      </c>
      <c r="L119" t="n">
        <v>102011</v>
      </c>
      <c r="M119" t="inlineStr">
        <is>
          <t>Vikar - feriefravær</t>
        </is>
      </c>
      <c r="N119" s="98" t="n">
        <v>40837</v>
      </c>
      <c r="O119" s="98" t="n">
        <v>0</v>
      </c>
      <c r="P119" s="98" t="n">
        <v>0</v>
      </c>
      <c r="Q119" s="98" t="n">
        <v>-40837</v>
      </c>
    </row>
    <row r="120">
      <c r="A120" t="inlineStr">
        <is>
          <t>2024-11</t>
        </is>
      </c>
      <c r="B120" t="inlineStr">
        <is>
          <t>November</t>
        </is>
      </c>
      <c r="C120" t="n">
        <v>11</v>
      </c>
      <c r="D120" t="inlineStr">
        <is>
          <t>T3</t>
        </is>
      </c>
      <c r="E120" t="inlineStr">
        <is>
          <t>Gjenstående budsjett</t>
        </is>
      </c>
      <c r="F120" t="inlineStr">
        <is>
          <t>Kommunal Boenhet</t>
        </is>
      </c>
      <c r="G120" t="n">
        <v>254</v>
      </c>
      <c r="H120" t="inlineStr">
        <is>
          <t>Helse og mestring</t>
        </is>
      </c>
      <c r="I120" t="inlineStr">
        <is>
          <t>1 Lønn</t>
        </is>
      </c>
      <c r="J120" t="inlineStr">
        <is>
          <t>10 Lønn</t>
        </is>
      </c>
      <c r="K120" t="n">
        <v>1020</v>
      </c>
      <c r="L120" t="n">
        <v>102011</v>
      </c>
      <c r="M120" t="inlineStr">
        <is>
          <t>Vikar - feriefravær</t>
        </is>
      </c>
      <c r="N120" s="98" t="n">
        <v>40611</v>
      </c>
      <c r="O120" s="98" t="n">
        <v>0</v>
      </c>
      <c r="P120" s="98" t="n">
        <v>0</v>
      </c>
      <c r="Q120" s="98" t="n">
        <v>-40611</v>
      </c>
    </row>
    <row r="121">
      <c r="A121" t="inlineStr">
        <is>
          <t>2024-12</t>
        </is>
      </c>
      <c r="B121" t="inlineStr">
        <is>
          <t>Desember</t>
        </is>
      </c>
      <c r="C121" t="n">
        <v>12</v>
      </c>
      <c r="D121" t="inlineStr">
        <is>
          <t>T3</t>
        </is>
      </c>
      <c r="E121" t="inlineStr">
        <is>
          <t>Gjenstående budsjett</t>
        </is>
      </c>
      <c r="F121" t="inlineStr">
        <is>
          <t>Kommunal Boenhet</t>
        </is>
      </c>
      <c r="G121" t="n">
        <v>254</v>
      </c>
      <c r="H121" t="inlineStr">
        <is>
          <t>Helse og mestring</t>
        </is>
      </c>
      <c r="I121" t="inlineStr">
        <is>
          <t>1 Lønn</t>
        </is>
      </c>
      <c r="J121" t="inlineStr">
        <is>
          <t>10 Lønn</t>
        </is>
      </c>
      <c r="K121" t="n">
        <v>1020</v>
      </c>
      <c r="L121" t="n">
        <v>102011</v>
      </c>
      <c r="M121" t="inlineStr">
        <is>
          <t>Vikar - feriefravær</t>
        </is>
      </c>
      <c r="N121" s="98" t="n">
        <v>40040</v>
      </c>
      <c r="O121" s="98" t="n">
        <v>0</v>
      </c>
      <c r="P121" s="98" t="n">
        <v>0</v>
      </c>
      <c r="Q121" s="98" t="n">
        <v>-40040</v>
      </c>
    </row>
    <row r="122">
      <c r="A122" t="inlineStr">
        <is>
          <t>2024-01</t>
        </is>
      </c>
      <c r="B122" t="inlineStr">
        <is>
          <t>Januar</t>
        </is>
      </c>
      <c r="C122" t="n">
        <v>1</v>
      </c>
      <c r="D122" t="inlineStr">
        <is>
          <t>T1</t>
        </is>
      </c>
      <c r="E122" t="inlineStr">
        <is>
          <t>Bokført</t>
        </is>
      </c>
      <c r="F122" t="inlineStr">
        <is>
          <t>Kommunal Boenhet</t>
        </is>
      </c>
      <c r="G122" t="n">
        <v>254</v>
      </c>
      <c r="H122" t="inlineStr">
        <is>
          <t>Helse og mestring</t>
        </is>
      </c>
      <c r="I122" t="inlineStr">
        <is>
          <t>1 Lønn</t>
        </is>
      </c>
      <c r="J122" t="inlineStr">
        <is>
          <t>10 Lønn</t>
        </is>
      </c>
      <c r="K122" t="n">
        <v>1020</v>
      </c>
      <c r="L122" t="n">
        <v>102013</v>
      </c>
      <c r="M122" t="inlineStr">
        <is>
          <t>Vikar - korttidsfravær</t>
        </is>
      </c>
      <c r="N122" s="98" t="n">
        <v>0</v>
      </c>
      <c r="O122" s="98" t="n">
        <v>0</v>
      </c>
      <c r="P122" s="98" t="n">
        <v>0</v>
      </c>
      <c r="Q122" s="98" t="n">
        <v>0</v>
      </c>
    </row>
    <row r="123">
      <c r="A123" t="inlineStr">
        <is>
          <t>2024-02</t>
        </is>
      </c>
      <c r="B123" t="inlineStr">
        <is>
          <t>Februar</t>
        </is>
      </c>
      <c r="C123" t="n">
        <v>2</v>
      </c>
      <c r="D123" t="inlineStr">
        <is>
          <t>T1</t>
        </is>
      </c>
      <c r="E123" t="inlineStr">
        <is>
          <t>Bokført</t>
        </is>
      </c>
      <c r="F123" t="inlineStr">
        <is>
          <t>Kommunal Boenhet</t>
        </is>
      </c>
      <c r="G123" t="n">
        <v>254</v>
      </c>
      <c r="H123" t="inlineStr">
        <is>
          <t>Helse og mestring</t>
        </is>
      </c>
      <c r="I123" t="inlineStr">
        <is>
          <t>1 Lønn</t>
        </is>
      </c>
      <c r="J123" t="inlineStr">
        <is>
          <t>10 Lønn</t>
        </is>
      </c>
      <c r="K123" t="n">
        <v>1020</v>
      </c>
      <c r="L123" t="n">
        <v>102013</v>
      </c>
      <c r="M123" t="inlineStr">
        <is>
          <t>Vikar - korttidsfravær</t>
        </is>
      </c>
      <c r="N123" s="98" t="n">
        <v>0</v>
      </c>
      <c r="O123" s="98" t="n">
        <v>18404.54</v>
      </c>
      <c r="P123" s="98" t="n">
        <v>-18404.54</v>
      </c>
      <c r="Q123" s="98" t="n">
        <v>18404.54</v>
      </c>
    </row>
    <row r="124">
      <c r="A124" t="inlineStr">
        <is>
          <t>2024-03</t>
        </is>
      </c>
      <c r="B124" t="inlineStr">
        <is>
          <t>Mars</t>
        </is>
      </c>
      <c r="C124" t="n">
        <v>3</v>
      </c>
      <c r="D124" t="inlineStr">
        <is>
          <t>T1</t>
        </is>
      </c>
      <c r="E124" t="inlineStr">
        <is>
          <t>Bokført</t>
        </is>
      </c>
      <c r="F124" t="inlineStr">
        <is>
          <t>Kommunal Boenhet</t>
        </is>
      </c>
      <c r="G124" t="n">
        <v>254</v>
      </c>
      <c r="H124" t="inlineStr">
        <is>
          <t>Helse og mestring</t>
        </is>
      </c>
      <c r="I124" t="inlineStr">
        <is>
          <t>1 Lønn</t>
        </is>
      </c>
      <c r="J124" t="inlineStr">
        <is>
          <t>10 Lønn</t>
        </is>
      </c>
      <c r="K124" t="n">
        <v>1020</v>
      </c>
      <c r="L124" t="n">
        <v>102013</v>
      </c>
      <c r="M124" t="inlineStr">
        <is>
          <t>Vikar - korttidsfravær</t>
        </is>
      </c>
      <c r="N124" s="98" t="n">
        <v>0</v>
      </c>
      <c r="O124" s="98" t="n">
        <v>9241.299999999999</v>
      </c>
      <c r="P124" s="98" t="n">
        <v>-9241.299999999999</v>
      </c>
      <c r="Q124" s="98" t="n">
        <v>9241.299999999999</v>
      </c>
    </row>
    <row r="125">
      <c r="A125" t="inlineStr">
        <is>
          <t>2024-04</t>
        </is>
      </c>
      <c r="B125" t="inlineStr">
        <is>
          <t>April</t>
        </is>
      </c>
      <c r="C125" t="n">
        <v>4</v>
      </c>
      <c r="D125" t="inlineStr">
        <is>
          <t>T1</t>
        </is>
      </c>
      <c r="E125" t="inlineStr">
        <is>
          <t>Bokført</t>
        </is>
      </c>
      <c r="F125" t="inlineStr">
        <is>
          <t>Kommunal Boenhet</t>
        </is>
      </c>
      <c r="G125" t="n">
        <v>254</v>
      </c>
      <c r="H125" t="inlineStr">
        <is>
          <t>Helse og mestring</t>
        </is>
      </c>
      <c r="I125" t="inlineStr">
        <is>
          <t>1 Lønn</t>
        </is>
      </c>
      <c r="J125" t="inlineStr">
        <is>
          <t>10 Lønn</t>
        </is>
      </c>
      <c r="K125" t="n">
        <v>1020</v>
      </c>
      <c r="L125" t="n">
        <v>102013</v>
      </c>
      <c r="M125" t="inlineStr">
        <is>
          <t>Vikar - korttidsfravær</t>
        </is>
      </c>
      <c r="N125" s="98" t="n">
        <v>0</v>
      </c>
      <c r="O125" s="98" t="n">
        <v>6405.76</v>
      </c>
      <c r="P125" s="98" t="n">
        <v>-6405.76</v>
      </c>
      <c r="Q125" s="98" t="n">
        <v>6405.76</v>
      </c>
    </row>
    <row r="126">
      <c r="A126" t="inlineStr">
        <is>
          <t>2024-05</t>
        </is>
      </c>
      <c r="B126" t="inlineStr">
        <is>
          <t>Mai</t>
        </is>
      </c>
      <c r="C126" t="n">
        <v>5</v>
      </c>
      <c r="D126" t="inlineStr">
        <is>
          <t>T2</t>
        </is>
      </c>
      <c r="E126" t="inlineStr">
        <is>
          <t>Bokført</t>
        </is>
      </c>
      <c r="F126" t="inlineStr">
        <is>
          <t>Kommunal Boenhet</t>
        </is>
      </c>
      <c r="G126" t="n">
        <v>254</v>
      </c>
      <c r="H126" t="inlineStr">
        <is>
          <t>Helse og mestring</t>
        </is>
      </c>
      <c r="I126" t="inlineStr">
        <is>
          <t>1 Lønn</t>
        </is>
      </c>
      <c r="J126" t="inlineStr">
        <is>
          <t>10 Lønn</t>
        </is>
      </c>
      <c r="K126" t="n">
        <v>1020</v>
      </c>
      <c r="L126" t="n">
        <v>102013</v>
      </c>
      <c r="M126" t="inlineStr">
        <is>
          <t>Vikar - korttidsfravær</t>
        </is>
      </c>
      <c r="N126" s="98" t="n">
        <v>0</v>
      </c>
      <c r="O126" s="98" t="n">
        <v>3444.98</v>
      </c>
      <c r="P126" s="98" t="n">
        <v>-3444.98</v>
      </c>
      <c r="Q126" s="98" t="n">
        <v>3444.98</v>
      </c>
    </row>
    <row r="127">
      <c r="A127" t="inlineStr">
        <is>
          <t>2024-06</t>
        </is>
      </c>
      <c r="B127" t="inlineStr">
        <is>
          <t>Juni</t>
        </is>
      </c>
      <c r="C127" t="n">
        <v>6</v>
      </c>
      <c r="D127" t="inlineStr">
        <is>
          <t>T2</t>
        </is>
      </c>
      <c r="E127" t="inlineStr">
        <is>
          <t>Bokført</t>
        </is>
      </c>
      <c r="F127" t="inlineStr">
        <is>
          <t>Kommunal Boenhet</t>
        </is>
      </c>
      <c r="G127" t="n">
        <v>254</v>
      </c>
      <c r="H127" t="inlineStr">
        <is>
          <t>Helse og mestring</t>
        </is>
      </c>
      <c r="I127" t="inlineStr">
        <is>
          <t>1 Lønn</t>
        </is>
      </c>
      <c r="J127" t="inlineStr">
        <is>
          <t>10 Lønn</t>
        </is>
      </c>
      <c r="K127" t="n">
        <v>1020</v>
      </c>
      <c r="L127" t="n">
        <v>102013</v>
      </c>
      <c r="M127" t="inlineStr">
        <is>
          <t>Vikar - korttidsfravær</t>
        </is>
      </c>
      <c r="N127" s="98" t="n">
        <v>0</v>
      </c>
      <c r="O127" s="98" t="n">
        <v>14052.56</v>
      </c>
      <c r="P127" s="98" t="n">
        <v>-14052.56</v>
      </c>
      <c r="Q127" s="98" t="n">
        <v>14052.56</v>
      </c>
    </row>
    <row r="128">
      <c r="A128" t="inlineStr">
        <is>
          <t>2024-07</t>
        </is>
      </c>
      <c r="B128" t="inlineStr">
        <is>
          <t>Juli</t>
        </is>
      </c>
      <c r="C128" t="n">
        <v>7</v>
      </c>
      <c r="D128" t="inlineStr">
        <is>
          <t>T2</t>
        </is>
      </c>
      <c r="E128" t="inlineStr">
        <is>
          <t>Bokført</t>
        </is>
      </c>
      <c r="F128" t="inlineStr">
        <is>
          <t>Kommunal Boenhet</t>
        </is>
      </c>
      <c r="G128" t="n">
        <v>254</v>
      </c>
      <c r="H128" t="inlineStr">
        <is>
          <t>Helse og mestring</t>
        </is>
      </c>
      <c r="I128" t="inlineStr">
        <is>
          <t>1 Lønn</t>
        </is>
      </c>
      <c r="J128" t="inlineStr">
        <is>
          <t>10 Lønn</t>
        </is>
      </c>
      <c r="K128" t="n">
        <v>1020</v>
      </c>
      <c r="L128" t="n">
        <v>102013</v>
      </c>
      <c r="M128" t="inlineStr">
        <is>
          <t>Vikar - korttidsfravær</t>
        </is>
      </c>
      <c r="N128" s="98" t="n">
        <v>0</v>
      </c>
      <c r="O128" s="98" t="n">
        <v>8319.139999999999</v>
      </c>
      <c r="P128" s="98" t="n">
        <v>-8319.139999999999</v>
      </c>
      <c r="Q128" s="98" t="n">
        <v>8319.139999999999</v>
      </c>
    </row>
    <row r="129">
      <c r="A129" t="inlineStr">
        <is>
          <t>2024-08</t>
        </is>
      </c>
      <c r="B129" t="inlineStr">
        <is>
          <t>August</t>
        </is>
      </c>
      <c r="C129" t="n">
        <v>8</v>
      </c>
      <c r="D129" t="inlineStr">
        <is>
          <t>T2</t>
        </is>
      </c>
      <c r="E129" t="inlineStr">
        <is>
          <t>Bokført</t>
        </is>
      </c>
      <c r="F129" t="inlineStr">
        <is>
          <t>Kommunal Boenhet</t>
        </is>
      </c>
      <c r="G129" t="n">
        <v>254</v>
      </c>
      <c r="H129" t="inlineStr">
        <is>
          <t>Helse og mestring</t>
        </is>
      </c>
      <c r="I129" t="inlineStr">
        <is>
          <t>1 Lønn</t>
        </is>
      </c>
      <c r="J129" t="inlineStr">
        <is>
          <t>10 Lønn</t>
        </is>
      </c>
      <c r="K129" t="n">
        <v>1020</v>
      </c>
      <c r="L129" t="n">
        <v>102013</v>
      </c>
      <c r="M129" t="inlineStr">
        <is>
          <t>Vikar - korttidsfravær</t>
        </is>
      </c>
      <c r="N129" s="98" t="n">
        <v>0</v>
      </c>
      <c r="O129" s="98" t="n">
        <v>1585.75</v>
      </c>
      <c r="P129" s="98" t="n">
        <v>-1585.75</v>
      </c>
      <c r="Q129" s="98" t="n">
        <v>1585.75</v>
      </c>
    </row>
    <row r="130">
      <c r="A130" t="inlineStr">
        <is>
          <t>2024-09</t>
        </is>
      </c>
      <c r="B130" t="inlineStr">
        <is>
          <t>September</t>
        </is>
      </c>
      <c r="C130" t="n">
        <v>9</v>
      </c>
      <c r="D130" t="inlineStr">
        <is>
          <t>T3</t>
        </is>
      </c>
      <c r="E130" t="inlineStr">
        <is>
          <t>Gjenstående budsjett</t>
        </is>
      </c>
      <c r="F130" t="inlineStr">
        <is>
          <t>Kommunal Boenhet</t>
        </is>
      </c>
      <c r="G130" t="n">
        <v>254</v>
      </c>
      <c r="H130" t="inlineStr">
        <is>
          <t>Helse og mestring</t>
        </is>
      </c>
      <c r="I130" t="inlineStr">
        <is>
          <t>1 Lønn</t>
        </is>
      </c>
      <c r="J130" t="inlineStr">
        <is>
          <t>10 Lønn</t>
        </is>
      </c>
      <c r="K130" t="n">
        <v>1020</v>
      </c>
      <c r="L130" t="n">
        <v>102013</v>
      </c>
      <c r="M130" t="inlineStr">
        <is>
          <t>Vikar - korttidsfravær</t>
        </is>
      </c>
      <c r="N130" s="98" t="n">
        <v>0</v>
      </c>
      <c r="O130" s="98" t="n">
        <v>0</v>
      </c>
      <c r="P130" s="98" t="n">
        <v>0</v>
      </c>
      <c r="Q130" s="98" t="n">
        <v>0</v>
      </c>
    </row>
    <row r="131">
      <c r="A131" t="inlineStr">
        <is>
          <t>2024-10</t>
        </is>
      </c>
      <c r="B131" t="inlineStr">
        <is>
          <t>Oktober</t>
        </is>
      </c>
      <c r="C131" t="n">
        <v>10</v>
      </c>
      <c r="D131" t="inlineStr">
        <is>
          <t>T3</t>
        </is>
      </c>
      <c r="E131" t="inlineStr">
        <is>
          <t>Gjenstående budsjett</t>
        </is>
      </c>
      <c r="F131" t="inlineStr">
        <is>
          <t>Kommunal Boenhet</t>
        </is>
      </c>
      <c r="G131" t="n">
        <v>254</v>
      </c>
      <c r="H131" t="inlineStr">
        <is>
          <t>Helse og mestring</t>
        </is>
      </c>
      <c r="I131" t="inlineStr">
        <is>
          <t>1 Lønn</t>
        </is>
      </c>
      <c r="J131" t="inlineStr">
        <is>
          <t>10 Lønn</t>
        </is>
      </c>
      <c r="K131" t="n">
        <v>1020</v>
      </c>
      <c r="L131" t="n">
        <v>102013</v>
      </c>
      <c r="M131" t="inlineStr">
        <is>
          <t>Vikar - korttidsfravær</t>
        </is>
      </c>
      <c r="N131" s="98" t="n">
        <v>0</v>
      </c>
      <c r="O131" s="98" t="n">
        <v>0</v>
      </c>
      <c r="P131" s="98" t="n">
        <v>0</v>
      </c>
      <c r="Q131" s="98" t="n">
        <v>0</v>
      </c>
    </row>
    <row r="132">
      <c r="A132" t="inlineStr">
        <is>
          <t>2024-11</t>
        </is>
      </c>
      <c r="B132" t="inlineStr">
        <is>
          <t>November</t>
        </is>
      </c>
      <c r="C132" t="n">
        <v>11</v>
      </c>
      <c r="D132" t="inlineStr">
        <is>
          <t>T3</t>
        </is>
      </c>
      <c r="E132" t="inlineStr">
        <is>
          <t>Gjenstående budsjett</t>
        </is>
      </c>
      <c r="F132" t="inlineStr">
        <is>
          <t>Kommunal Boenhet</t>
        </is>
      </c>
      <c r="G132" t="n">
        <v>254</v>
      </c>
      <c r="H132" t="inlineStr">
        <is>
          <t>Helse og mestring</t>
        </is>
      </c>
      <c r="I132" t="inlineStr">
        <is>
          <t>1 Lønn</t>
        </is>
      </c>
      <c r="J132" t="inlineStr">
        <is>
          <t>10 Lønn</t>
        </is>
      </c>
      <c r="K132" t="n">
        <v>1020</v>
      </c>
      <c r="L132" t="n">
        <v>102013</v>
      </c>
      <c r="M132" t="inlineStr">
        <is>
          <t>Vikar - korttidsfravær</t>
        </is>
      </c>
      <c r="N132" s="98" t="n">
        <v>0</v>
      </c>
      <c r="O132" s="98" t="n">
        <v>0</v>
      </c>
      <c r="P132" s="98" t="n">
        <v>0</v>
      </c>
      <c r="Q132" s="98" t="n">
        <v>0</v>
      </c>
    </row>
    <row r="133">
      <c r="A133" t="inlineStr">
        <is>
          <t>2024-12</t>
        </is>
      </c>
      <c r="B133" t="inlineStr">
        <is>
          <t>Desember</t>
        </is>
      </c>
      <c r="C133" t="n">
        <v>12</v>
      </c>
      <c r="D133" t="inlineStr">
        <is>
          <t>T3</t>
        </is>
      </c>
      <c r="E133" t="inlineStr">
        <is>
          <t>Gjenstående budsjett</t>
        </is>
      </c>
      <c r="F133" t="inlineStr">
        <is>
          <t>Kommunal Boenhet</t>
        </is>
      </c>
      <c r="G133" t="n">
        <v>254</v>
      </c>
      <c r="H133" t="inlineStr">
        <is>
          <t>Helse og mestring</t>
        </is>
      </c>
      <c r="I133" t="inlineStr">
        <is>
          <t>1 Lønn</t>
        </is>
      </c>
      <c r="J133" t="inlineStr">
        <is>
          <t>10 Lønn</t>
        </is>
      </c>
      <c r="K133" t="n">
        <v>1020</v>
      </c>
      <c r="L133" t="n">
        <v>102013</v>
      </c>
      <c r="M133" t="inlineStr">
        <is>
          <t>Vikar - korttidsfravær</t>
        </is>
      </c>
      <c r="N133" s="98" t="n">
        <v>0</v>
      </c>
      <c r="O133" s="98" t="n">
        <v>0</v>
      </c>
      <c r="P133" s="98" t="n">
        <v>0</v>
      </c>
      <c r="Q133" s="98" t="n">
        <v>0</v>
      </c>
    </row>
    <row r="134">
      <c r="A134" t="inlineStr">
        <is>
          <t>2024-01</t>
        </is>
      </c>
      <c r="B134" t="inlineStr">
        <is>
          <t>Januar</t>
        </is>
      </c>
      <c r="C134" t="n">
        <v>1</v>
      </c>
      <c r="D134" t="inlineStr">
        <is>
          <t>T1</t>
        </is>
      </c>
      <c r="E134" t="inlineStr">
        <is>
          <t>Bokført</t>
        </is>
      </c>
      <c r="F134" t="inlineStr">
        <is>
          <t>Kommunal Boenhet</t>
        </is>
      </c>
      <c r="G134" t="n">
        <v>254</v>
      </c>
      <c r="H134" t="inlineStr">
        <is>
          <t>Helse og mestring</t>
        </is>
      </c>
      <c r="I134" t="inlineStr">
        <is>
          <t>1 Lønn</t>
        </is>
      </c>
      <c r="J134" t="inlineStr">
        <is>
          <t>10 Lønn</t>
        </is>
      </c>
      <c r="K134" t="n">
        <v>1020</v>
      </c>
      <c r="L134" t="n">
        <v>102030</v>
      </c>
      <c r="M134" t="inlineStr">
        <is>
          <t>Vikar - lørdags- og søndagstillegg</t>
        </is>
      </c>
      <c r="N134" s="98" t="n">
        <v>0</v>
      </c>
      <c r="O134" s="98" t="n">
        <v>0</v>
      </c>
      <c r="P134" s="98" t="n">
        <v>0</v>
      </c>
      <c r="Q134" s="98" t="n">
        <v>0</v>
      </c>
    </row>
    <row r="135">
      <c r="A135" t="inlineStr">
        <is>
          <t>2024-02</t>
        </is>
      </c>
      <c r="B135" t="inlineStr">
        <is>
          <t>Februar</t>
        </is>
      </c>
      <c r="C135" t="n">
        <v>2</v>
      </c>
      <c r="D135" t="inlineStr">
        <is>
          <t>T1</t>
        </is>
      </c>
      <c r="E135" t="inlineStr">
        <is>
          <t>Bokført</t>
        </is>
      </c>
      <c r="F135" t="inlineStr">
        <is>
          <t>Kommunal Boenhet</t>
        </is>
      </c>
      <c r="G135" t="n">
        <v>254</v>
      </c>
      <c r="H135" t="inlineStr">
        <is>
          <t>Helse og mestring</t>
        </is>
      </c>
      <c r="I135" t="inlineStr">
        <is>
          <t>1 Lønn</t>
        </is>
      </c>
      <c r="J135" t="inlineStr">
        <is>
          <t>10 Lønn</t>
        </is>
      </c>
      <c r="K135" t="n">
        <v>1020</v>
      </c>
      <c r="L135" t="n">
        <v>102030</v>
      </c>
      <c r="M135" t="inlineStr">
        <is>
          <t>Vikar - lørdags- og søndagstillegg</t>
        </is>
      </c>
      <c r="N135" s="98" t="n">
        <v>0</v>
      </c>
      <c r="O135" s="98" t="n">
        <v>14543.2</v>
      </c>
      <c r="P135" s="98" t="n">
        <v>-14543.2</v>
      </c>
      <c r="Q135" s="98" t="n">
        <v>14543.2</v>
      </c>
    </row>
    <row r="136">
      <c r="A136" t="inlineStr">
        <is>
          <t>2024-03</t>
        </is>
      </c>
      <c r="B136" t="inlineStr">
        <is>
          <t>Mars</t>
        </is>
      </c>
      <c r="C136" t="n">
        <v>3</v>
      </c>
      <c r="D136" t="inlineStr">
        <is>
          <t>T1</t>
        </is>
      </c>
      <c r="E136" t="inlineStr">
        <is>
          <t>Bokført</t>
        </is>
      </c>
      <c r="F136" t="inlineStr">
        <is>
          <t>Kommunal Boenhet</t>
        </is>
      </c>
      <c r="G136" t="n">
        <v>254</v>
      </c>
      <c r="H136" t="inlineStr">
        <is>
          <t>Helse og mestring</t>
        </is>
      </c>
      <c r="I136" t="inlineStr">
        <is>
          <t>1 Lønn</t>
        </is>
      </c>
      <c r="J136" t="inlineStr">
        <is>
          <t>10 Lønn</t>
        </is>
      </c>
      <c r="K136" t="n">
        <v>1020</v>
      </c>
      <c r="L136" t="n">
        <v>102030</v>
      </c>
      <c r="M136" t="inlineStr">
        <is>
          <t>Vikar - lørdags- og søndagstillegg</t>
        </is>
      </c>
      <c r="N136" s="98" t="n">
        <v>0</v>
      </c>
      <c r="O136" s="98" t="n">
        <v>17012.8</v>
      </c>
      <c r="P136" s="98" t="n">
        <v>-17012.8</v>
      </c>
      <c r="Q136" s="98" t="n">
        <v>17012.8</v>
      </c>
    </row>
    <row r="137">
      <c r="A137" t="inlineStr">
        <is>
          <t>2024-04</t>
        </is>
      </c>
      <c r="B137" t="inlineStr">
        <is>
          <t>April</t>
        </is>
      </c>
      <c r="C137" t="n">
        <v>4</v>
      </c>
      <c r="D137" t="inlineStr">
        <is>
          <t>T1</t>
        </is>
      </c>
      <c r="E137" t="inlineStr">
        <is>
          <t>Bokført</t>
        </is>
      </c>
      <c r="F137" t="inlineStr">
        <is>
          <t>Kommunal Boenhet</t>
        </is>
      </c>
      <c r="G137" t="n">
        <v>254</v>
      </c>
      <c r="H137" t="inlineStr">
        <is>
          <t>Helse og mestring</t>
        </is>
      </c>
      <c r="I137" t="inlineStr">
        <is>
          <t>1 Lønn</t>
        </is>
      </c>
      <c r="J137" t="inlineStr">
        <is>
          <t>10 Lønn</t>
        </is>
      </c>
      <c r="K137" t="n">
        <v>1020</v>
      </c>
      <c r="L137" t="n">
        <v>102030</v>
      </c>
      <c r="M137" t="inlineStr">
        <is>
          <t>Vikar - lørdags- og søndagstillegg</t>
        </is>
      </c>
      <c r="N137" s="98" t="n">
        <v>0</v>
      </c>
      <c r="O137" s="98" t="n">
        <v>13955.2</v>
      </c>
      <c r="P137" s="98" t="n">
        <v>-13955.2</v>
      </c>
      <c r="Q137" s="98" t="n">
        <v>13955.2</v>
      </c>
    </row>
    <row r="138">
      <c r="A138" t="inlineStr">
        <is>
          <t>2024-05</t>
        </is>
      </c>
      <c r="B138" t="inlineStr">
        <is>
          <t>Mai</t>
        </is>
      </c>
      <c r="C138" t="n">
        <v>5</v>
      </c>
      <c r="D138" t="inlineStr">
        <is>
          <t>T2</t>
        </is>
      </c>
      <c r="E138" t="inlineStr">
        <is>
          <t>Bokført</t>
        </is>
      </c>
      <c r="F138" t="inlineStr">
        <is>
          <t>Kommunal Boenhet</t>
        </is>
      </c>
      <c r="G138" t="n">
        <v>254</v>
      </c>
      <c r="H138" t="inlineStr">
        <is>
          <t>Helse og mestring</t>
        </is>
      </c>
      <c r="I138" t="inlineStr">
        <is>
          <t>1 Lønn</t>
        </is>
      </c>
      <c r="J138" t="inlineStr">
        <is>
          <t>10 Lønn</t>
        </is>
      </c>
      <c r="K138" t="n">
        <v>1020</v>
      </c>
      <c r="L138" t="n">
        <v>102030</v>
      </c>
      <c r="M138" t="inlineStr">
        <is>
          <t>Vikar - lørdags- og søndagstillegg</t>
        </is>
      </c>
      <c r="N138" s="98" t="n">
        <v>0</v>
      </c>
      <c r="O138" s="98" t="n">
        <v>18874.8</v>
      </c>
      <c r="P138" s="98" t="n">
        <v>-18874.8</v>
      </c>
      <c r="Q138" s="98" t="n">
        <v>18874.8</v>
      </c>
    </row>
    <row r="139">
      <c r="A139" t="inlineStr">
        <is>
          <t>2024-06</t>
        </is>
      </c>
      <c r="B139" t="inlineStr">
        <is>
          <t>Juni</t>
        </is>
      </c>
      <c r="C139" t="n">
        <v>6</v>
      </c>
      <c r="D139" t="inlineStr">
        <is>
          <t>T2</t>
        </is>
      </c>
      <c r="E139" t="inlineStr">
        <is>
          <t>Bokført</t>
        </is>
      </c>
      <c r="F139" t="inlineStr">
        <is>
          <t>Kommunal Boenhet</t>
        </is>
      </c>
      <c r="G139" t="n">
        <v>254</v>
      </c>
      <c r="H139" t="inlineStr">
        <is>
          <t>Helse og mestring</t>
        </is>
      </c>
      <c r="I139" t="inlineStr">
        <is>
          <t>1 Lønn</t>
        </is>
      </c>
      <c r="J139" t="inlineStr">
        <is>
          <t>10 Lønn</t>
        </is>
      </c>
      <c r="K139" t="n">
        <v>1020</v>
      </c>
      <c r="L139" t="n">
        <v>102030</v>
      </c>
      <c r="M139" t="inlineStr">
        <is>
          <t>Vikar - lørdags- og søndagstillegg</t>
        </is>
      </c>
      <c r="N139" s="98" t="n">
        <v>0</v>
      </c>
      <c r="O139" s="98" t="n">
        <v>18188.52</v>
      </c>
      <c r="P139" s="98" t="n">
        <v>-18188.52</v>
      </c>
      <c r="Q139" s="98" t="n">
        <v>18188.52</v>
      </c>
    </row>
    <row r="140">
      <c r="A140" t="inlineStr">
        <is>
          <t>2024-07</t>
        </is>
      </c>
      <c r="B140" t="inlineStr">
        <is>
          <t>Juli</t>
        </is>
      </c>
      <c r="C140" t="n">
        <v>7</v>
      </c>
      <c r="D140" t="inlineStr">
        <is>
          <t>T2</t>
        </is>
      </c>
      <c r="E140" t="inlineStr">
        <is>
          <t>Bokført</t>
        </is>
      </c>
      <c r="F140" t="inlineStr">
        <is>
          <t>Kommunal Boenhet</t>
        </is>
      </c>
      <c r="G140" t="n">
        <v>254</v>
      </c>
      <c r="H140" t="inlineStr">
        <is>
          <t>Helse og mestring</t>
        </is>
      </c>
      <c r="I140" t="inlineStr">
        <is>
          <t>1 Lønn</t>
        </is>
      </c>
      <c r="J140" t="inlineStr">
        <is>
          <t>10 Lønn</t>
        </is>
      </c>
      <c r="K140" t="n">
        <v>1020</v>
      </c>
      <c r="L140" t="n">
        <v>102030</v>
      </c>
      <c r="M140" t="inlineStr">
        <is>
          <t>Vikar - lørdags- og søndagstillegg</t>
        </is>
      </c>
      <c r="N140" s="98" t="n">
        <v>0</v>
      </c>
      <c r="O140" s="98" t="n">
        <v>29733.2</v>
      </c>
      <c r="P140" s="98" t="n">
        <v>-29733.2</v>
      </c>
      <c r="Q140" s="98" t="n">
        <v>29733.2</v>
      </c>
    </row>
    <row r="141">
      <c r="A141" t="inlineStr">
        <is>
          <t>2024-08</t>
        </is>
      </c>
      <c r="B141" t="inlineStr">
        <is>
          <t>August</t>
        </is>
      </c>
      <c r="C141" t="n">
        <v>8</v>
      </c>
      <c r="D141" t="inlineStr">
        <is>
          <t>T2</t>
        </is>
      </c>
      <c r="E141" t="inlineStr">
        <is>
          <t>Bokført</t>
        </is>
      </c>
      <c r="F141" t="inlineStr">
        <is>
          <t>Kommunal Boenhet</t>
        </is>
      </c>
      <c r="G141" t="n">
        <v>254</v>
      </c>
      <c r="H141" t="inlineStr">
        <is>
          <t>Helse og mestring</t>
        </is>
      </c>
      <c r="I141" t="inlineStr">
        <is>
          <t>1 Lønn</t>
        </is>
      </c>
      <c r="J141" t="inlineStr">
        <is>
          <t>10 Lønn</t>
        </is>
      </c>
      <c r="K141" t="n">
        <v>1020</v>
      </c>
      <c r="L141" t="n">
        <v>102030</v>
      </c>
      <c r="M141" t="inlineStr">
        <is>
          <t>Vikar - lørdags- og søndagstillegg</t>
        </is>
      </c>
      <c r="N141" s="98" t="n">
        <v>0</v>
      </c>
      <c r="O141" s="98" t="n">
        <v>28439.6</v>
      </c>
      <c r="P141" s="98" t="n">
        <v>-28439.6</v>
      </c>
      <c r="Q141" s="98" t="n">
        <v>28439.6</v>
      </c>
    </row>
    <row r="142">
      <c r="A142" t="inlineStr">
        <is>
          <t>2024-09</t>
        </is>
      </c>
      <c r="B142" t="inlineStr">
        <is>
          <t>September</t>
        </is>
      </c>
      <c r="C142" t="n">
        <v>9</v>
      </c>
      <c r="D142" t="inlineStr">
        <is>
          <t>T3</t>
        </is>
      </c>
      <c r="E142" t="inlineStr">
        <is>
          <t>Gjenstående budsjett</t>
        </is>
      </c>
      <c r="F142" t="inlineStr">
        <is>
          <t>Kommunal Boenhet</t>
        </is>
      </c>
      <c r="G142" t="n">
        <v>254</v>
      </c>
      <c r="H142" t="inlineStr">
        <is>
          <t>Helse og mestring</t>
        </is>
      </c>
      <c r="I142" t="inlineStr">
        <is>
          <t>1 Lønn</t>
        </is>
      </c>
      <c r="J142" t="inlineStr">
        <is>
          <t>10 Lønn</t>
        </is>
      </c>
      <c r="K142" t="n">
        <v>1020</v>
      </c>
      <c r="L142" t="n">
        <v>102030</v>
      </c>
      <c r="M142" t="inlineStr">
        <is>
          <t>Vikar - lørdags- og søndagstillegg</t>
        </is>
      </c>
      <c r="N142" s="98" t="n">
        <v>0</v>
      </c>
      <c r="O142" s="98" t="n">
        <v>0</v>
      </c>
      <c r="P142" s="98" t="n">
        <v>0</v>
      </c>
      <c r="Q142" s="98" t="n">
        <v>0</v>
      </c>
    </row>
    <row r="143">
      <c r="A143" t="inlineStr">
        <is>
          <t>2024-10</t>
        </is>
      </c>
      <c r="B143" t="inlineStr">
        <is>
          <t>Oktober</t>
        </is>
      </c>
      <c r="C143" t="n">
        <v>10</v>
      </c>
      <c r="D143" t="inlineStr">
        <is>
          <t>T3</t>
        </is>
      </c>
      <c r="E143" t="inlineStr">
        <is>
          <t>Gjenstående budsjett</t>
        </is>
      </c>
      <c r="F143" t="inlineStr">
        <is>
          <t>Kommunal Boenhet</t>
        </is>
      </c>
      <c r="G143" t="n">
        <v>254</v>
      </c>
      <c r="H143" t="inlineStr">
        <is>
          <t>Helse og mestring</t>
        </is>
      </c>
      <c r="I143" t="inlineStr">
        <is>
          <t>1 Lønn</t>
        </is>
      </c>
      <c r="J143" t="inlineStr">
        <is>
          <t>10 Lønn</t>
        </is>
      </c>
      <c r="K143" t="n">
        <v>1020</v>
      </c>
      <c r="L143" t="n">
        <v>102030</v>
      </c>
      <c r="M143" t="inlineStr">
        <is>
          <t>Vikar - lørdags- og søndagstillegg</t>
        </is>
      </c>
      <c r="N143" s="98" t="n">
        <v>0</v>
      </c>
      <c r="O143" s="98" t="n">
        <v>0</v>
      </c>
      <c r="P143" s="98" t="n">
        <v>0</v>
      </c>
      <c r="Q143" s="98" t="n">
        <v>0</v>
      </c>
    </row>
    <row r="144">
      <c r="A144" t="inlineStr">
        <is>
          <t>2024-11</t>
        </is>
      </c>
      <c r="B144" t="inlineStr">
        <is>
          <t>November</t>
        </is>
      </c>
      <c r="C144" t="n">
        <v>11</v>
      </c>
      <c r="D144" t="inlineStr">
        <is>
          <t>T3</t>
        </is>
      </c>
      <c r="E144" t="inlineStr">
        <is>
          <t>Gjenstående budsjett</t>
        </is>
      </c>
      <c r="F144" t="inlineStr">
        <is>
          <t>Kommunal Boenhet</t>
        </is>
      </c>
      <c r="G144" t="n">
        <v>254</v>
      </c>
      <c r="H144" t="inlineStr">
        <is>
          <t>Helse og mestring</t>
        </is>
      </c>
      <c r="I144" t="inlineStr">
        <is>
          <t>1 Lønn</t>
        </is>
      </c>
      <c r="J144" t="inlineStr">
        <is>
          <t>10 Lønn</t>
        </is>
      </c>
      <c r="K144" t="n">
        <v>1020</v>
      </c>
      <c r="L144" t="n">
        <v>102030</v>
      </c>
      <c r="M144" t="inlineStr">
        <is>
          <t>Vikar - lørdags- og søndagstillegg</t>
        </is>
      </c>
      <c r="N144" s="98" t="n">
        <v>0</v>
      </c>
      <c r="O144" s="98" t="n">
        <v>0</v>
      </c>
      <c r="P144" s="98" t="n">
        <v>0</v>
      </c>
      <c r="Q144" s="98" t="n">
        <v>0</v>
      </c>
    </row>
    <row r="145">
      <c r="A145" t="inlineStr">
        <is>
          <t>2024-12</t>
        </is>
      </c>
      <c r="B145" t="inlineStr">
        <is>
          <t>Desember</t>
        </is>
      </c>
      <c r="C145" t="n">
        <v>12</v>
      </c>
      <c r="D145" t="inlineStr">
        <is>
          <t>T3</t>
        </is>
      </c>
      <c r="E145" t="inlineStr">
        <is>
          <t>Gjenstående budsjett</t>
        </is>
      </c>
      <c r="F145" t="inlineStr">
        <is>
          <t>Kommunal Boenhet</t>
        </is>
      </c>
      <c r="G145" t="n">
        <v>254</v>
      </c>
      <c r="H145" t="inlineStr">
        <is>
          <t>Helse og mestring</t>
        </is>
      </c>
      <c r="I145" t="inlineStr">
        <is>
          <t>1 Lønn</t>
        </is>
      </c>
      <c r="J145" t="inlineStr">
        <is>
          <t>10 Lønn</t>
        </is>
      </c>
      <c r="K145" t="n">
        <v>1020</v>
      </c>
      <c r="L145" t="n">
        <v>102030</v>
      </c>
      <c r="M145" t="inlineStr">
        <is>
          <t>Vikar - lørdags- og søndagstillegg</t>
        </is>
      </c>
      <c r="N145" s="98" t="n">
        <v>0</v>
      </c>
      <c r="O145" s="98" t="n">
        <v>0</v>
      </c>
      <c r="P145" s="98" t="n">
        <v>0</v>
      </c>
      <c r="Q145" s="98" t="n">
        <v>0</v>
      </c>
    </row>
    <row r="146">
      <c r="A146" t="inlineStr">
        <is>
          <t>2024-01</t>
        </is>
      </c>
      <c r="B146" t="inlineStr">
        <is>
          <t>Januar</t>
        </is>
      </c>
      <c r="C146" t="n">
        <v>1</v>
      </c>
      <c r="D146" t="inlineStr">
        <is>
          <t>T1</t>
        </is>
      </c>
      <c r="E146" t="inlineStr">
        <is>
          <t>Bokført</t>
        </is>
      </c>
      <c r="F146" t="inlineStr">
        <is>
          <t>Kommunal Boenhet</t>
        </is>
      </c>
      <c r="G146" t="n">
        <v>254</v>
      </c>
      <c r="H146" t="inlineStr">
        <is>
          <t>Helse og mestring</t>
        </is>
      </c>
      <c r="I146" t="inlineStr">
        <is>
          <t>1 Lønn</t>
        </is>
      </c>
      <c r="J146" t="inlineStr">
        <is>
          <t>10 Lønn</t>
        </is>
      </c>
      <c r="K146" t="n">
        <v>1020</v>
      </c>
      <c r="L146" t="n">
        <v>102031</v>
      </c>
      <c r="M146" t="inlineStr">
        <is>
          <t>Vikar - kvelds- og nattillegg</t>
        </is>
      </c>
      <c r="N146" s="98" t="n">
        <v>0</v>
      </c>
      <c r="O146" s="98" t="n">
        <v>0</v>
      </c>
      <c r="P146" s="98" t="n">
        <v>0</v>
      </c>
      <c r="Q146" s="98" t="n">
        <v>0</v>
      </c>
    </row>
    <row r="147">
      <c r="A147" t="inlineStr">
        <is>
          <t>2024-02</t>
        </is>
      </c>
      <c r="B147" t="inlineStr">
        <is>
          <t>Februar</t>
        </is>
      </c>
      <c r="C147" t="n">
        <v>2</v>
      </c>
      <c r="D147" t="inlineStr">
        <is>
          <t>T1</t>
        </is>
      </c>
      <c r="E147" t="inlineStr">
        <is>
          <t>Bokført</t>
        </is>
      </c>
      <c r="F147" t="inlineStr">
        <is>
          <t>Kommunal Boenhet</t>
        </is>
      </c>
      <c r="G147" t="n">
        <v>254</v>
      </c>
      <c r="H147" t="inlineStr">
        <is>
          <t>Helse og mestring</t>
        </is>
      </c>
      <c r="I147" t="inlineStr">
        <is>
          <t>1 Lønn</t>
        </is>
      </c>
      <c r="J147" t="inlineStr">
        <is>
          <t>10 Lønn</t>
        </is>
      </c>
      <c r="K147" t="n">
        <v>1020</v>
      </c>
      <c r="L147" t="n">
        <v>102031</v>
      </c>
      <c r="M147" t="inlineStr">
        <is>
          <t>Vikar - kvelds- og nattillegg</t>
        </is>
      </c>
      <c r="N147" s="98" t="n">
        <v>0</v>
      </c>
      <c r="O147" s="98" t="n">
        <v>59390.49</v>
      </c>
      <c r="P147" s="98" t="n">
        <v>-59390.49</v>
      </c>
      <c r="Q147" s="98" t="n">
        <v>59390.49</v>
      </c>
    </row>
    <row r="148">
      <c r="A148" t="inlineStr">
        <is>
          <t>2024-03</t>
        </is>
      </c>
      <c r="B148" t="inlineStr">
        <is>
          <t>Mars</t>
        </is>
      </c>
      <c r="C148" t="n">
        <v>3</v>
      </c>
      <c r="D148" t="inlineStr">
        <is>
          <t>T1</t>
        </is>
      </c>
      <c r="E148" t="inlineStr">
        <is>
          <t>Bokført</t>
        </is>
      </c>
      <c r="F148" t="inlineStr">
        <is>
          <t>Kommunal Boenhet</t>
        </is>
      </c>
      <c r="G148" t="n">
        <v>254</v>
      </c>
      <c r="H148" t="inlineStr">
        <is>
          <t>Helse og mestring</t>
        </is>
      </c>
      <c r="I148" t="inlineStr">
        <is>
          <t>1 Lønn</t>
        </is>
      </c>
      <c r="J148" t="inlineStr">
        <is>
          <t>10 Lønn</t>
        </is>
      </c>
      <c r="K148" t="n">
        <v>1020</v>
      </c>
      <c r="L148" t="n">
        <v>102031</v>
      </c>
      <c r="M148" t="inlineStr">
        <is>
          <t>Vikar - kvelds- og nattillegg</t>
        </is>
      </c>
      <c r="N148" s="98" t="n">
        <v>0</v>
      </c>
      <c r="O148" s="98" t="n">
        <v>25189.15</v>
      </c>
      <c r="P148" s="98" t="n">
        <v>-25189.15</v>
      </c>
      <c r="Q148" s="98" t="n">
        <v>25189.15</v>
      </c>
    </row>
    <row r="149">
      <c r="A149" t="inlineStr">
        <is>
          <t>2024-04</t>
        </is>
      </c>
      <c r="B149" t="inlineStr">
        <is>
          <t>April</t>
        </is>
      </c>
      <c r="C149" t="n">
        <v>4</v>
      </c>
      <c r="D149" t="inlineStr">
        <is>
          <t>T1</t>
        </is>
      </c>
      <c r="E149" t="inlineStr">
        <is>
          <t>Bokført</t>
        </is>
      </c>
      <c r="F149" t="inlineStr">
        <is>
          <t>Kommunal Boenhet</t>
        </is>
      </c>
      <c r="G149" t="n">
        <v>254</v>
      </c>
      <c r="H149" t="inlineStr">
        <is>
          <t>Helse og mestring</t>
        </is>
      </c>
      <c r="I149" t="inlineStr">
        <is>
          <t>1 Lønn</t>
        </is>
      </c>
      <c r="J149" t="inlineStr">
        <is>
          <t>10 Lønn</t>
        </is>
      </c>
      <c r="K149" t="n">
        <v>1020</v>
      </c>
      <c r="L149" t="n">
        <v>102031</v>
      </c>
      <c r="M149" t="inlineStr">
        <is>
          <t>Vikar - kvelds- og nattillegg</t>
        </is>
      </c>
      <c r="N149" s="98" t="n">
        <v>0</v>
      </c>
      <c r="O149" s="98" t="n">
        <v>28784.59</v>
      </c>
      <c r="P149" s="98" t="n">
        <v>-28784.59</v>
      </c>
      <c r="Q149" s="98" t="n">
        <v>28784.59</v>
      </c>
    </row>
    <row r="150">
      <c r="A150" t="inlineStr">
        <is>
          <t>2024-05</t>
        </is>
      </c>
      <c r="B150" t="inlineStr">
        <is>
          <t>Mai</t>
        </is>
      </c>
      <c r="C150" t="n">
        <v>5</v>
      </c>
      <c r="D150" t="inlineStr">
        <is>
          <t>T2</t>
        </is>
      </c>
      <c r="E150" t="inlineStr">
        <is>
          <t>Bokført</t>
        </is>
      </c>
      <c r="F150" t="inlineStr">
        <is>
          <t>Kommunal Boenhet</t>
        </is>
      </c>
      <c r="G150" t="n">
        <v>254</v>
      </c>
      <c r="H150" t="inlineStr">
        <is>
          <t>Helse og mestring</t>
        </is>
      </c>
      <c r="I150" t="inlineStr">
        <is>
          <t>1 Lønn</t>
        </is>
      </c>
      <c r="J150" t="inlineStr">
        <is>
          <t>10 Lønn</t>
        </is>
      </c>
      <c r="K150" t="n">
        <v>1020</v>
      </c>
      <c r="L150" t="n">
        <v>102031</v>
      </c>
      <c r="M150" t="inlineStr">
        <is>
          <t>Vikar - kvelds- og nattillegg</t>
        </is>
      </c>
      <c r="N150" s="98" t="n">
        <v>0</v>
      </c>
      <c r="O150" s="98" t="n">
        <v>28468.81</v>
      </c>
      <c r="P150" s="98" t="n">
        <v>-28468.81</v>
      </c>
      <c r="Q150" s="98" t="n">
        <v>28468.81</v>
      </c>
    </row>
    <row r="151">
      <c r="A151" t="inlineStr">
        <is>
          <t>2024-06</t>
        </is>
      </c>
      <c r="B151" t="inlineStr">
        <is>
          <t>Juni</t>
        </is>
      </c>
      <c r="C151" t="n">
        <v>6</v>
      </c>
      <c r="D151" t="inlineStr">
        <is>
          <t>T2</t>
        </is>
      </c>
      <c r="E151" t="inlineStr">
        <is>
          <t>Bokført</t>
        </is>
      </c>
      <c r="F151" t="inlineStr">
        <is>
          <t>Kommunal Boenhet</t>
        </is>
      </c>
      <c r="G151" t="n">
        <v>254</v>
      </c>
      <c r="H151" t="inlineStr">
        <is>
          <t>Helse og mestring</t>
        </is>
      </c>
      <c r="I151" t="inlineStr">
        <is>
          <t>1 Lønn</t>
        </is>
      </c>
      <c r="J151" t="inlineStr">
        <is>
          <t>10 Lønn</t>
        </is>
      </c>
      <c r="K151" t="n">
        <v>1020</v>
      </c>
      <c r="L151" t="n">
        <v>102031</v>
      </c>
      <c r="M151" t="inlineStr">
        <is>
          <t>Vikar - kvelds- og nattillegg</t>
        </is>
      </c>
      <c r="N151" s="98" t="n">
        <v>0</v>
      </c>
      <c r="O151" s="98" t="n">
        <v>32469.26</v>
      </c>
      <c r="P151" s="98" t="n">
        <v>-32469.26</v>
      </c>
      <c r="Q151" s="98" t="n">
        <v>32469.26</v>
      </c>
    </row>
    <row r="152">
      <c r="A152" t="inlineStr">
        <is>
          <t>2024-07</t>
        </is>
      </c>
      <c r="B152" t="inlineStr">
        <is>
          <t>Juli</t>
        </is>
      </c>
      <c r="C152" t="n">
        <v>7</v>
      </c>
      <c r="D152" t="inlineStr">
        <is>
          <t>T2</t>
        </is>
      </c>
      <c r="E152" t="inlineStr">
        <is>
          <t>Bokført</t>
        </is>
      </c>
      <c r="F152" t="inlineStr">
        <is>
          <t>Kommunal Boenhet</t>
        </is>
      </c>
      <c r="G152" t="n">
        <v>254</v>
      </c>
      <c r="H152" t="inlineStr">
        <is>
          <t>Helse og mestring</t>
        </is>
      </c>
      <c r="I152" t="inlineStr">
        <is>
          <t>1 Lønn</t>
        </is>
      </c>
      <c r="J152" t="inlineStr">
        <is>
          <t>10 Lønn</t>
        </is>
      </c>
      <c r="K152" t="n">
        <v>1020</v>
      </c>
      <c r="L152" t="n">
        <v>102031</v>
      </c>
      <c r="M152" t="inlineStr">
        <is>
          <t>Vikar - kvelds- og nattillegg</t>
        </is>
      </c>
      <c r="N152" s="98" t="n">
        <v>0</v>
      </c>
      <c r="O152" s="98" t="n">
        <v>39092.31</v>
      </c>
      <c r="P152" s="98" t="n">
        <v>-39092.31</v>
      </c>
      <c r="Q152" s="98" t="n">
        <v>39092.31</v>
      </c>
    </row>
    <row r="153">
      <c r="A153" t="inlineStr">
        <is>
          <t>2024-08</t>
        </is>
      </c>
      <c r="B153" t="inlineStr">
        <is>
          <t>August</t>
        </is>
      </c>
      <c r="C153" t="n">
        <v>8</v>
      </c>
      <c r="D153" t="inlineStr">
        <is>
          <t>T2</t>
        </is>
      </c>
      <c r="E153" t="inlineStr">
        <is>
          <t>Bokført</t>
        </is>
      </c>
      <c r="F153" t="inlineStr">
        <is>
          <t>Kommunal Boenhet</t>
        </is>
      </c>
      <c r="G153" t="n">
        <v>254</v>
      </c>
      <c r="H153" t="inlineStr">
        <is>
          <t>Helse og mestring</t>
        </is>
      </c>
      <c r="I153" t="inlineStr">
        <is>
          <t>1 Lønn</t>
        </is>
      </c>
      <c r="J153" t="inlineStr">
        <is>
          <t>10 Lønn</t>
        </is>
      </c>
      <c r="K153" t="n">
        <v>1020</v>
      </c>
      <c r="L153" t="n">
        <v>102031</v>
      </c>
      <c r="M153" t="inlineStr">
        <is>
          <t>Vikar - kvelds- og nattillegg</t>
        </is>
      </c>
      <c r="N153" s="98" t="n">
        <v>0</v>
      </c>
      <c r="O153" s="98" t="n">
        <v>45909.48</v>
      </c>
      <c r="P153" s="98" t="n">
        <v>-45909.48</v>
      </c>
      <c r="Q153" s="98" t="n">
        <v>45909.48</v>
      </c>
    </row>
    <row r="154">
      <c r="A154" t="inlineStr">
        <is>
          <t>2024-09</t>
        </is>
      </c>
      <c r="B154" t="inlineStr">
        <is>
          <t>September</t>
        </is>
      </c>
      <c r="C154" t="n">
        <v>9</v>
      </c>
      <c r="D154" t="inlineStr">
        <is>
          <t>T3</t>
        </is>
      </c>
      <c r="E154" t="inlineStr">
        <is>
          <t>Gjenstående budsjett</t>
        </is>
      </c>
      <c r="F154" t="inlineStr">
        <is>
          <t>Kommunal Boenhet</t>
        </is>
      </c>
      <c r="G154" t="n">
        <v>254</v>
      </c>
      <c r="H154" t="inlineStr">
        <is>
          <t>Helse og mestring</t>
        </is>
      </c>
      <c r="I154" t="inlineStr">
        <is>
          <t>1 Lønn</t>
        </is>
      </c>
      <c r="J154" t="inlineStr">
        <is>
          <t>10 Lønn</t>
        </is>
      </c>
      <c r="K154" t="n">
        <v>1020</v>
      </c>
      <c r="L154" t="n">
        <v>102031</v>
      </c>
      <c r="M154" t="inlineStr">
        <is>
          <t>Vikar - kvelds- og nattillegg</t>
        </is>
      </c>
      <c r="N154" s="98" t="n">
        <v>0</v>
      </c>
      <c r="O154" s="98" t="n">
        <v>0</v>
      </c>
      <c r="P154" s="98" t="n">
        <v>0</v>
      </c>
      <c r="Q154" s="98" t="n">
        <v>0</v>
      </c>
    </row>
    <row r="155">
      <c r="A155" t="inlineStr">
        <is>
          <t>2024-10</t>
        </is>
      </c>
      <c r="B155" t="inlineStr">
        <is>
          <t>Oktober</t>
        </is>
      </c>
      <c r="C155" t="n">
        <v>10</v>
      </c>
      <c r="D155" t="inlineStr">
        <is>
          <t>T3</t>
        </is>
      </c>
      <c r="E155" t="inlineStr">
        <is>
          <t>Gjenstående budsjett</t>
        </is>
      </c>
      <c r="F155" t="inlineStr">
        <is>
          <t>Kommunal Boenhet</t>
        </is>
      </c>
      <c r="G155" t="n">
        <v>254</v>
      </c>
      <c r="H155" t="inlineStr">
        <is>
          <t>Helse og mestring</t>
        </is>
      </c>
      <c r="I155" t="inlineStr">
        <is>
          <t>1 Lønn</t>
        </is>
      </c>
      <c r="J155" t="inlineStr">
        <is>
          <t>10 Lønn</t>
        </is>
      </c>
      <c r="K155" t="n">
        <v>1020</v>
      </c>
      <c r="L155" t="n">
        <v>102031</v>
      </c>
      <c r="M155" t="inlineStr">
        <is>
          <t>Vikar - kvelds- og nattillegg</t>
        </is>
      </c>
      <c r="N155" s="98" t="n">
        <v>0</v>
      </c>
      <c r="O155" s="98" t="n">
        <v>0</v>
      </c>
      <c r="P155" s="98" t="n">
        <v>0</v>
      </c>
      <c r="Q155" s="98" t="n">
        <v>0</v>
      </c>
    </row>
    <row r="156">
      <c r="A156" t="inlineStr">
        <is>
          <t>2024-11</t>
        </is>
      </c>
      <c r="B156" t="inlineStr">
        <is>
          <t>November</t>
        </is>
      </c>
      <c r="C156" t="n">
        <v>11</v>
      </c>
      <c r="D156" t="inlineStr">
        <is>
          <t>T3</t>
        </is>
      </c>
      <c r="E156" t="inlineStr">
        <is>
          <t>Gjenstående budsjett</t>
        </is>
      </c>
      <c r="F156" t="inlineStr">
        <is>
          <t>Kommunal Boenhet</t>
        </is>
      </c>
      <c r="G156" t="n">
        <v>254</v>
      </c>
      <c r="H156" t="inlineStr">
        <is>
          <t>Helse og mestring</t>
        </is>
      </c>
      <c r="I156" t="inlineStr">
        <is>
          <t>1 Lønn</t>
        </is>
      </c>
      <c r="J156" t="inlineStr">
        <is>
          <t>10 Lønn</t>
        </is>
      </c>
      <c r="K156" t="n">
        <v>1020</v>
      </c>
      <c r="L156" t="n">
        <v>102031</v>
      </c>
      <c r="M156" t="inlineStr">
        <is>
          <t>Vikar - kvelds- og nattillegg</t>
        </is>
      </c>
      <c r="N156" s="98" t="n">
        <v>0</v>
      </c>
      <c r="O156" s="98" t="n">
        <v>0</v>
      </c>
      <c r="P156" s="98" t="n">
        <v>0</v>
      </c>
      <c r="Q156" s="98" t="n">
        <v>0</v>
      </c>
    </row>
    <row r="157">
      <c r="A157" t="inlineStr">
        <is>
          <t>2024-12</t>
        </is>
      </c>
      <c r="B157" t="inlineStr">
        <is>
          <t>Desember</t>
        </is>
      </c>
      <c r="C157" t="n">
        <v>12</v>
      </c>
      <c r="D157" t="inlineStr">
        <is>
          <t>T3</t>
        </is>
      </c>
      <c r="E157" t="inlineStr">
        <is>
          <t>Gjenstående budsjett</t>
        </is>
      </c>
      <c r="F157" t="inlineStr">
        <is>
          <t>Kommunal Boenhet</t>
        </is>
      </c>
      <c r="G157" t="n">
        <v>254</v>
      </c>
      <c r="H157" t="inlineStr">
        <is>
          <t>Helse og mestring</t>
        </is>
      </c>
      <c r="I157" t="inlineStr">
        <is>
          <t>1 Lønn</t>
        </is>
      </c>
      <c r="J157" t="inlineStr">
        <is>
          <t>10 Lønn</t>
        </is>
      </c>
      <c r="K157" t="n">
        <v>1020</v>
      </c>
      <c r="L157" t="n">
        <v>102031</v>
      </c>
      <c r="M157" t="inlineStr">
        <is>
          <t>Vikar - kvelds- og nattillegg</t>
        </is>
      </c>
      <c r="N157" s="98" t="n">
        <v>0</v>
      </c>
      <c r="O157" s="98" t="n">
        <v>0</v>
      </c>
      <c r="P157" s="98" t="n">
        <v>0</v>
      </c>
      <c r="Q157" s="98" t="n">
        <v>0</v>
      </c>
    </row>
    <row r="158">
      <c r="A158" t="inlineStr">
        <is>
          <t>2024-01</t>
        </is>
      </c>
      <c r="B158" t="inlineStr">
        <is>
          <t>Januar</t>
        </is>
      </c>
      <c r="C158" t="n">
        <v>1</v>
      </c>
      <c r="D158" t="inlineStr">
        <is>
          <t>T1</t>
        </is>
      </c>
      <c r="E158" t="inlineStr">
        <is>
          <t>Bokført</t>
        </is>
      </c>
      <c r="F158" t="inlineStr">
        <is>
          <t>Kommunal Boenhet</t>
        </is>
      </c>
      <c r="G158" t="n">
        <v>254</v>
      </c>
      <c r="H158" t="inlineStr">
        <is>
          <t>Helse og mestring</t>
        </is>
      </c>
      <c r="I158" t="inlineStr">
        <is>
          <t>1 Lønn</t>
        </is>
      </c>
      <c r="J158" t="inlineStr">
        <is>
          <t>10 Lønn</t>
        </is>
      </c>
      <c r="K158" t="n">
        <v>1020</v>
      </c>
      <c r="L158" t="n">
        <v>102032</v>
      </c>
      <c r="M158" t="inlineStr">
        <is>
          <t>Vikar - helligdagstillegg</t>
        </is>
      </c>
      <c r="N158" s="98" t="n">
        <v>0</v>
      </c>
      <c r="O158" s="98" t="n">
        <v>0</v>
      </c>
      <c r="P158" s="98" t="n">
        <v>0</v>
      </c>
      <c r="Q158" s="98" t="n">
        <v>0</v>
      </c>
    </row>
    <row r="159">
      <c r="A159" t="inlineStr">
        <is>
          <t>2024-02</t>
        </is>
      </c>
      <c r="B159" t="inlineStr">
        <is>
          <t>Februar</t>
        </is>
      </c>
      <c r="C159" t="n">
        <v>2</v>
      </c>
      <c r="D159" t="inlineStr">
        <is>
          <t>T1</t>
        </is>
      </c>
      <c r="E159" t="inlineStr">
        <is>
          <t>Bokført</t>
        </is>
      </c>
      <c r="F159" t="inlineStr">
        <is>
          <t>Kommunal Boenhet</t>
        </is>
      </c>
      <c r="G159" t="n">
        <v>254</v>
      </c>
      <c r="H159" t="inlineStr">
        <is>
          <t>Helse og mestring</t>
        </is>
      </c>
      <c r="I159" t="inlineStr">
        <is>
          <t>1 Lønn</t>
        </is>
      </c>
      <c r="J159" t="inlineStr">
        <is>
          <t>10 Lønn</t>
        </is>
      </c>
      <c r="K159" t="n">
        <v>1020</v>
      </c>
      <c r="L159" t="n">
        <v>102032</v>
      </c>
      <c r="M159" t="inlineStr">
        <is>
          <t>Vikar - helligdagstillegg</t>
        </is>
      </c>
      <c r="N159" s="98" t="n">
        <v>0</v>
      </c>
      <c r="O159" s="98" t="n">
        <v>20065.97</v>
      </c>
      <c r="P159" s="98" t="n">
        <v>-20065.97</v>
      </c>
      <c r="Q159" s="98" t="n">
        <v>20065.97</v>
      </c>
    </row>
    <row r="160">
      <c r="A160" t="inlineStr">
        <is>
          <t>2024-03</t>
        </is>
      </c>
      <c r="B160" t="inlineStr">
        <is>
          <t>Mars</t>
        </is>
      </c>
      <c r="C160" t="n">
        <v>3</v>
      </c>
      <c r="D160" t="inlineStr">
        <is>
          <t>T1</t>
        </is>
      </c>
      <c r="E160" t="inlineStr">
        <is>
          <t>Bokført</t>
        </is>
      </c>
      <c r="F160" t="inlineStr">
        <is>
          <t>Kommunal Boenhet</t>
        </is>
      </c>
      <c r="G160" t="n">
        <v>254</v>
      </c>
      <c r="H160" t="inlineStr">
        <is>
          <t>Helse og mestring</t>
        </is>
      </c>
      <c r="I160" t="inlineStr">
        <is>
          <t>1 Lønn</t>
        </is>
      </c>
      <c r="J160" t="inlineStr">
        <is>
          <t>10 Lønn</t>
        </is>
      </c>
      <c r="K160" t="n">
        <v>1020</v>
      </c>
      <c r="L160" t="n">
        <v>102032</v>
      </c>
      <c r="M160" t="inlineStr">
        <is>
          <t>Vikar - helligdagstillegg</t>
        </is>
      </c>
      <c r="N160" s="98" t="n">
        <v>0</v>
      </c>
      <c r="O160" s="98" t="n">
        <v>0</v>
      </c>
      <c r="P160" s="98" t="n">
        <v>0</v>
      </c>
      <c r="Q160" s="98" t="n">
        <v>0</v>
      </c>
    </row>
    <row r="161">
      <c r="A161" t="inlineStr">
        <is>
          <t>2024-04</t>
        </is>
      </c>
      <c r="B161" t="inlineStr">
        <is>
          <t>April</t>
        </is>
      </c>
      <c r="C161" t="n">
        <v>4</v>
      </c>
      <c r="D161" t="inlineStr">
        <is>
          <t>T1</t>
        </is>
      </c>
      <c r="E161" t="inlineStr">
        <is>
          <t>Bokført</t>
        </is>
      </c>
      <c r="F161" t="inlineStr">
        <is>
          <t>Kommunal Boenhet</t>
        </is>
      </c>
      <c r="G161" t="n">
        <v>254</v>
      </c>
      <c r="H161" t="inlineStr">
        <is>
          <t>Helse og mestring</t>
        </is>
      </c>
      <c r="I161" t="inlineStr">
        <is>
          <t>1 Lønn</t>
        </is>
      </c>
      <c r="J161" t="inlineStr">
        <is>
          <t>10 Lønn</t>
        </is>
      </c>
      <c r="K161" t="n">
        <v>1020</v>
      </c>
      <c r="L161" t="n">
        <v>102032</v>
      </c>
      <c r="M161" t="inlineStr">
        <is>
          <t>Vikar - helligdagstillegg</t>
        </is>
      </c>
      <c r="N161" s="98" t="n">
        <v>0</v>
      </c>
      <c r="O161" s="98" t="n">
        <v>164.59</v>
      </c>
      <c r="P161" s="98" t="n">
        <v>-164.59</v>
      </c>
      <c r="Q161" s="98" t="n">
        <v>164.59</v>
      </c>
    </row>
    <row r="162">
      <c r="A162" t="inlineStr">
        <is>
          <t>2024-05</t>
        </is>
      </c>
      <c r="B162" t="inlineStr">
        <is>
          <t>Mai</t>
        </is>
      </c>
      <c r="C162" t="n">
        <v>5</v>
      </c>
      <c r="D162" t="inlineStr">
        <is>
          <t>T2</t>
        </is>
      </c>
      <c r="E162" t="inlineStr">
        <is>
          <t>Bokført</t>
        </is>
      </c>
      <c r="F162" t="inlineStr">
        <is>
          <t>Kommunal Boenhet</t>
        </is>
      </c>
      <c r="G162" t="n">
        <v>254</v>
      </c>
      <c r="H162" t="inlineStr">
        <is>
          <t>Helse og mestring</t>
        </is>
      </c>
      <c r="I162" t="inlineStr">
        <is>
          <t>1 Lønn</t>
        </is>
      </c>
      <c r="J162" t="inlineStr">
        <is>
          <t>10 Lønn</t>
        </is>
      </c>
      <c r="K162" t="n">
        <v>1020</v>
      </c>
      <c r="L162" t="n">
        <v>102032</v>
      </c>
      <c r="M162" t="inlineStr">
        <is>
          <t>Vikar - helligdagstillegg</t>
        </is>
      </c>
      <c r="N162" s="98" t="n">
        <v>0</v>
      </c>
      <c r="O162" s="98" t="n">
        <v>29714.92</v>
      </c>
      <c r="P162" s="98" t="n">
        <v>-29714.92</v>
      </c>
      <c r="Q162" s="98" t="n">
        <v>29714.92</v>
      </c>
    </row>
    <row r="163">
      <c r="A163" t="inlineStr">
        <is>
          <t>2024-06</t>
        </is>
      </c>
      <c r="B163" t="inlineStr">
        <is>
          <t>Juni</t>
        </is>
      </c>
      <c r="C163" t="n">
        <v>6</v>
      </c>
      <c r="D163" t="inlineStr">
        <is>
          <t>T2</t>
        </is>
      </c>
      <c r="E163" t="inlineStr">
        <is>
          <t>Bokført</t>
        </is>
      </c>
      <c r="F163" t="inlineStr">
        <is>
          <t>Kommunal Boenhet</t>
        </is>
      </c>
      <c r="G163" t="n">
        <v>254</v>
      </c>
      <c r="H163" t="inlineStr">
        <is>
          <t>Helse og mestring</t>
        </is>
      </c>
      <c r="I163" t="inlineStr">
        <is>
          <t>1 Lønn</t>
        </is>
      </c>
      <c r="J163" t="inlineStr">
        <is>
          <t>10 Lønn</t>
        </is>
      </c>
      <c r="K163" t="n">
        <v>1020</v>
      </c>
      <c r="L163" t="n">
        <v>102032</v>
      </c>
      <c r="M163" t="inlineStr">
        <is>
          <t>Vikar - helligdagstillegg</t>
        </is>
      </c>
      <c r="N163" s="98" t="n">
        <v>0</v>
      </c>
      <c r="O163" s="98" t="n">
        <v>14652.72</v>
      </c>
      <c r="P163" s="98" t="n">
        <v>-14652.72</v>
      </c>
      <c r="Q163" s="98" t="n">
        <v>14652.72</v>
      </c>
    </row>
    <row r="164">
      <c r="A164" t="inlineStr">
        <is>
          <t>2024-07</t>
        </is>
      </c>
      <c r="B164" t="inlineStr">
        <is>
          <t>Juli</t>
        </is>
      </c>
      <c r="C164" t="n">
        <v>7</v>
      </c>
      <c r="D164" t="inlineStr">
        <is>
          <t>T2</t>
        </is>
      </c>
      <c r="E164" t="inlineStr">
        <is>
          <t>Bokført</t>
        </is>
      </c>
      <c r="F164" t="inlineStr">
        <is>
          <t>Kommunal Boenhet</t>
        </is>
      </c>
      <c r="G164" t="n">
        <v>254</v>
      </c>
      <c r="H164" t="inlineStr">
        <is>
          <t>Helse og mestring</t>
        </is>
      </c>
      <c r="I164" t="inlineStr">
        <is>
          <t>1 Lønn</t>
        </is>
      </c>
      <c r="J164" t="inlineStr">
        <is>
          <t>10 Lønn</t>
        </is>
      </c>
      <c r="K164" t="n">
        <v>1020</v>
      </c>
      <c r="L164" t="n">
        <v>102032</v>
      </c>
      <c r="M164" t="inlineStr">
        <is>
          <t>Vikar - helligdagstillegg</t>
        </is>
      </c>
      <c r="N164" s="98" t="n">
        <v>0</v>
      </c>
      <c r="O164" s="98" t="n">
        <v>28871.57</v>
      </c>
      <c r="P164" s="98" t="n">
        <v>-28871.57</v>
      </c>
      <c r="Q164" s="98" t="n">
        <v>28871.57</v>
      </c>
    </row>
    <row r="165">
      <c r="A165" t="inlineStr">
        <is>
          <t>2024-08</t>
        </is>
      </c>
      <c r="B165" t="inlineStr">
        <is>
          <t>August</t>
        </is>
      </c>
      <c r="C165" t="n">
        <v>8</v>
      </c>
      <c r="D165" t="inlineStr">
        <is>
          <t>T2</t>
        </is>
      </c>
      <c r="E165" t="inlineStr">
        <is>
          <t>Bokført</t>
        </is>
      </c>
      <c r="F165" t="inlineStr">
        <is>
          <t>Kommunal Boenhet</t>
        </is>
      </c>
      <c r="G165" t="n">
        <v>254</v>
      </c>
      <c r="H165" t="inlineStr">
        <is>
          <t>Helse og mestring</t>
        </is>
      </c>
      <c r="I165" t="inlineStr">
        <is>
          <t>1 Lønn</t>
        </is>
      </c>
      <c r="J165" t="inlineStr">
        <is>
          <t>10 Lønn</t>
        </is>
      </c>
      <c r="K165" t="n">
        <v>1020</v>
      </c>
      <c r="L165" t="n">
        <v>102032</v>
      </c>
      <c r="M165" t="inlineStr">
        <is>
          <t>Vikar - helligdagstillegg</t>
        </is>
      </c>
      <c r="N165" s="98" t="n">
        <v>0</v>
      </c>
      <c r="O165" s="98" t="n">
        <v>0</v>
      </c>
      <c r="P165" s="98" t="n">
        <v>0</v>
      </c>
      <c r="Q165" s="98" t="n">
        <v>0</v>
      </c>
    </row>
    <row r="166">
      <c r="A166" t="inlineStr">
        <is>
          <t>2024-09</t>
        </is>
      </c>
      <c r="B166" t="inlineStr">
        <is>
          <t>September</t>
        </is>
      </c>
      <c r="C166" t="n">
        <v>9</v>
      </c>
      <c r="D166" t="inlineStr">
        <is>
          <t>T3</t>
        </is>
      </c>
      <c r="E166" t="inlineStr">
        <is>
          <t>Gjenstående budsjett</t>
        </is>
      </c>
      <c r="F166" t="inlineStr">
        <is>
          <t>Kommunal Boenhet</t>
        </is>
      </c>
      <c r="G166" t="n">
        <v>254</v>
      </c>
      <c r="H166" t="inlineStr">
        <is>
          <t>Helse og mestring</t>
        </is>
      </c>
      <c r="I166" t="inlineStr">
        <is>
          <t>1 Lønn</t>
        </is>
      </c>
      <c r="J166" t="inlineStr">
        <is>
          <t>10 Lønn</t>
        </is>
      </c>
      <c r="K166" t="n">
        <v>1020</v>
      </c>
      <c r="L166" t="n">
        <v>102032</v>
      </c>
      <c r="M166" t="inlineStr">
        <is>
          <t>Vikar - helligdagstillegg</t>
        </is>
      </c>
      <c r="N166" s="98" t="n">
        <v>0</v>
      </c>
      <c r="O166" s="98" t="n">
        <v>0</v>
      </c>
      <c r="P166" s="98" t="n">
        <v>0</v>
      </c>
      <c r="Q166" s="98" t="n">
        <v>0</v>
      </c>
    </row>
    <row r="167">
      <c r="A167" t="inlineStr">
        <is>
          <t>2024-10</t>
        </is>
      </c>
      <c r="B167" t="inlineStr">
        <is>
          <t>Oktober</t>
        </is>
      </c>
      <c r="C167" t="n">
        <v>10</v>
      </c>
      <c r="D167" t="inlineStr">
        <is>
          <t>T3</t>
        </is>
      </c>
      <c r="E167" t="inlineStr">
        <is>
          <t>Gjenstående budsjett</t>
        </is>
      </c>
      <c r="F167" t="inlineStr">
        <is>
          <t>Kommunal Boenhet</t>
        </is>
      </c>
      <c r="G167" t="n">
        <v>254</v>
      </c>
      <c r="H167" t="inlineStr">
        <is>
          <t>Helse og mestring</t>
        </is>
      </c>
      <c r="I167" t="inlineStr">
        <is>
          <t>1 Lønn</t>
        </is>
      </c>
      <c r="J167" t="inlineStr">
        <is>
          <t>10 Lønn</t>
        </is>
      </c>
      <c r="K167" t="n">
        <v>1020</v>
      </c>
      <c r="L167" t="n">
        <v>102032</v>
      </c>
      <c r="M167" t="inlineStr">
        <is>
          <t>Vikar - helligdagstillegg</t>
        </is>
      </c>
      <c r="N167" s="98" t="n">
        <v>0</v>
      </c>
      <c r="O167" s="98" t="n">
        <v>0</v>
      </c>
      <c r="P167" s="98" t="n">
        <v>0</v>
      </c>
      <c r="Q167" s="98" t="n">
        <v>0</v>
      </c>
    </row>
    <row r="168">
      <c r="A168" t="inlineStr">
        <is>
          <t>2024-11</t>
        </is>
      </c>
      <c r="B168" t="inlineStr">
        <is>
          <t>November</t>
        </is>
      </c>
      <c r="C168" t="n">
        <v>11</v>
      </c>
      <c r="D168" t="inlineStr">
        <is>
          <t>T3</t>
        </is>
      </c>
      <c r="E168" t="inlineStr">
        <is>
          <t>Gjenstående budsjett</t>
        </is>
      </c>
      <c r="F168" t="inlineStr">
        <is>
          <t>Kommunal Boenhet</t>
        </is>
      </c>
      <c r="G168" t="n">
        <v>254</v>
      </c>
      <c r="H168" t="inlineStr">
        <is>
          <t>Helse og mestring</t>
        </is>
      </c>
      <c r="I168" t="inlineStr">
        <is>
          <t>1 Lønn</t>
        </is>
      </c>
      <c r="J168" t="inlineStr">
        <is>
          <t>10 Lønn</t>
        </is>
      </c>
      <c r="K168" t="n">
        <v>1020</v>
      </c>
      <c r="L168" t="n">
        <v>102032</v>
      </c>
      <c r="M168" t="inlineStr">
        <is>
          <t>Vikar - helligdagstillegg</t>
        </is>
      </c>
      <c r="N168" s="98" t="n">
        <v>0</v>
      </c>
      <c r="O168" s="98" t="n">
        <v>0</v>
      </c>
      <c r="P168" s="98" t="n">
        <v>0</v>
      </c>
      <c r="Q168" s="98" t="n">
        <v>0</v>
      </c>
    </row>
    <row r="169">
      <c r="A169" t="inlineStr">
        <is>
          <t>2024-12</t>
        </is>
      </c>
      <c r="B169" t="inlineStr">
        <is>
          <t>Desember</t>
        </is>
      </c>
      <c r="C169" t="n">
        <v>12</v>
      </c>
      <c r="D169" t="inlineStr">
        <is>
          <t>T3</t>
        </is>
      </c>
      <c r="E169" t="inlineStr">
        <is>
          <t>Gjenstående budsjett</t>
        </is>
      </c>
      <c r="F169" t="inlineStr">
        <is>
          <t>Kommunal Boenhet</t>
        </is>
      </c>
      <c r="G169" t="n">
        <v>254</v>
      </c>
      <c r="H169" t="inlineStr">
        <is>
          <t>Helse og mestring</t>
        </is>
      </c>
      <c r="I169" t="inlineStr">
        <is>
          <t>1 Lønn</t>
        </is>
      </c>
      <c r="J169" t="inlineStr">
        <is>
          <t>10 Lønn</t>
        </is>
      </c>
      <c r="K169" t="n">
        <v>1020</v>
      </c>
      <c r="L169" t="n">
        <v>102032</v>
      </c>
      <c r="M169" t="inlineStr">
        <is>
          <t>Vikar - helligdagstillegg</t>
        </is>
      </c>
      <c r="N169" s="98" t="n">
        <v>0</v>
      </c>
      <c r="O169" s="98" t="n">
        <v>0</v>
      </c>
      <c r="P169" s="98" t="n">
        <v>0</v>
      </c>
      <c r="Q169" s="98" t="n">
        <v>0</v>
      </c>
    </row>
    <row r="170">
      <c r="A170" t="inlineStr">
        <is>
          <t>2024-01</t>
        </is>
      </c>
      <c r="B170" t="inlineStr">
        <is>
          <t>Januar</t>
        </is>
      </c>
      <c r="C170" t="n">
        <v>1</v>
      </c>
      <c r="D170" t="inlineStr">
        <is>
          <t>T1</t>
        </is>
      </c>
      <c r="E170" t="inlineStr">
        <is>
          <t>Bokført</t>
        </is>
      </c>
      <c r="F170" t="inlineStr">
        <is>
          <t>Kommunal Boenhet</t>
        </is>
      </c>
      <c r="G170" t="n">
        <v>254</v>
      </c>
      <c r="H170" t="inlineStr">
        <is>
          <t>Helse og mestring</t>
        </is>
      </c>
      <c r="I170" t="inlineStr">
        <is>
          <t>1 Lønn</t>
        </is>
      </c>
      <c r="J170" t="inlineStr">
        <is>
          <t>10 Lønn</t>
        </is>
      </c>
      <c r="K170" t="n">
        <v>1030</v>
      </c>
      <c r="L170" t="n">
        <v>103000</v>
      </c>
      <c r="M170" t="inlineStr">
        <is>
          <t>Ekstrahjelp</t>
        </is>
      </c>
      <c r="N170" s="98" t="n">
        <v>0</v>
      </c>
      <c r="O170" s="98" t="n">
        <v>0</v>
      </c>
      <c r="P170" s="98" t="n">
        <v>0</v>
      </c>
      <c r="Q170" s="98" t="n">
        <v>0</v>
      </c>
    </row>
    <row r="171">
      <c r="A171" t="inlineStr">
        <is>
          <t>2024-02</t>
        </is>
      </c>
      <c r="B171" t="inlineStr">
        <is>
          <t>Februar</t>
        </is>
      </c>
      <c r="C171" t="n">
        <v>2</v>
      </c>
      <c r="D171" t="inlineStr">
        <is>
          <t>T1</t>
        </is>
      </c>
      <c r="E171" t="inlineStr">
        <is>
          <t>Bokført</t>
        </is>
      </c>
      <c r="F171" t="inlineStr">
        <is>
          <t>Kommunal Boenhet</t>
        </is>
      </c>
      <c r="G171" t="n">
        <v>254</v>
      </c>
      <c r="H171" t="inlineStr">
        <is>
          <t>Helse og mestring</t>
        </is>
      </c>
      <c r="I171" t="inlineStr">
        <is>
          <t>1 Lønn</t>
        </is>
      </c>
      <c r="J171" t="inlineStr">
        <is>
          <t>10 Lønn</t>
        </is>
      </c>
      <c r="K171" t="n">
        <v>1030</v>
      </c>
      <c r="L171" t="n">
        <v>103000</v>
      </c>
      <c r="M171" t="inlineStr">
        <is>
          <t>Ekstrahjelp</t>
        </is>
      </c>
      <c r="N171" s="98" t="n">
        <v>0</v>
      </c>
      <c r="O171" s="98" t="n">
        <v>32502.05</v>
      </c>
      <c r="P171" s="98" t="n">
        <v>-32502.05</v>
      </c>
      <c r="Q171" s="98" t="n">
        <v>32502.05</v>
      </c>
    </row>
    <row r="172">
      <c r="A172" t="inlineStr">
        <is>
          <t>2024-03</t>
        </is>
      </c>
      <c r="B172" t="inlineStr">
        <is>
          <t>Mars</t>
        </is>
      </c>
      <c r="C172" t="n">
        <v>3</v>
      </c>
      <c r="D172" t="inlineStr">
        <is>
          <t>T1</t>
        </is>
      </c>
      <c r="E172" t="inlineStr">
        <is>
          <t>Bokført</t>
        </is>
      </c>
      <c r="F172" t="inlineStr">
        <is>
          <t>Kommunal Boenhet</t>
        </is>
      </c>
      <c r="G172" t="n">
        <v>254</v>
      </c>
      <c r="H172" t="inlineStr">
        <is>
          <t>Helse og mestring</t>
        </is>
      </c>
      <c r="I172" t="inlineStr">
        <is>
          <t>1 Lønn</t>
        </is>
      </c>
      <c r="J172" t="inlineStr">
        <is>
          <t>10 Lønn</t>
        </is>
      </c>
      <c r="K172" t="n">
        <v>1030</v>
      </c>
      <c r="L172" t="n">
        <v>103000</v>
      </c>
      <c r="M172" t="inlineStr">
        <is>
          <t>Ekstrahjelp</t>
        </is>
      </c>
      <c r="N172" s="98" t="n">
        <v>0</v>
      </c>
      <c r="O172" s="98" t="n">
        <v>26230.47</v>
      </c>
      <c r="P172" s="98" t="n">
        <v>-26230.47</v>
      </c>
      <c r="Q172" s="98" t="n">
        <v>26230.47</v>
      </c>
    </row>
    <row r="173">
      <c r="A173" t="inlineStr">
        <is>
          <t>2024-04</t>
        </is>
      </c>
      <c r="B173" t="inlineStr">
        <is>
          <t>April</t>
        </is>
      </c>
      <c r="C173" t="n">
        <v>4</v>
      </c>
      <c r="D173" t="inlineStr">
        <is>
          <t>T1</t>
        </is>
      </c>
      <c r="E173" t="inlineStr">
        <is>
          <t>Bokført</t>
        </is>
      </c>
      <c r="F173" t="inlineStr">
        <is>
          <t>Kommunal Boenhet</t>
        </is>
      </c>
      <c r="G173" t="n">
        <v>254</v>
      </c>
      <c r="H173" t="inlineStr">
        <is>
          <t>Helse og mestring</t>
        </is>
      </c>
      <c r="I173" t="inlineStr">
        <is>
          <t>1 Lønn</t>
        </is>
      </c>
      <c r="J173" t="inlineStr">
        <is>
          <t>10 Lønn</t>
        </is>
      </c>
      <c r="K173" t="n">
        <v>1030</v>
      </c>
      <c r="L173" t="n">
        <v>103000</v>
      </c>
      <c r="M173" t="inlineStr">
        <is>
          <t>Ekstrahjelp</t>
        </is>
      </c>
      <c r="N173" s="98" t="n">
        <v>0</v>
      </c>
      <c r="O173" s="98" t="n">
        <v>4661.68</v>
      </c>
      <c r="P173" s="98" t="n">
        <v>-4661.68</v>
      </c>
      <c r="Q173" s="98" t="n">
        <v>4661.68</v>
      </c>
    </row>
    <row r="174">
      <c r="A174" t="inlineStr">
        <is>
          <t>2024-05</t>
        </is>
      </c>
      <c r="B174" t="inlineStr">
        <is>
          <t>Mai</t>
        </is>
      </c>
      <c r="C174" t="n">
        <v>5</v>
      </c>
      <c r="D174" t="inlineStr">
        <is>
          <t>T2</t>
        </is>
      </c>
      <c r="E174" t="inlineStr">
        <is>
          <t>Bokført</t>
        </is>
      </c>
      <c r="F174" t="inlineStr">
        <is>
          <t>Kommunal Boenhet</t>
        </is>
      </c>
      <c r="G174" t="n">
        <v>254</v>
      </c>
      <c r="H174" t="inlineStr">
        <is>
          <t>Helse og mestring</t>
        </is>
      </c>
      <c r="I174" t="inlineStr">
        <is>
          <t>1 Lønn</t>
        </is>
      </c>
      <c r="J174" t="inlineStr">
        <is>
          <t>10 Lønn</t>
        </is>
      </c>
      <c r="K174" t="n">
        <v>1030</v>
      </c>
      <c r="L174" t="n">
        <v>103000</v>
      </c>
      <c r="M174" t="inlineStr">
        <is>
          <t>Ekstrahjelp</t>
        </is>
      </c>
      <c r="N174" s="98" t="n">
        <v>0</v>
      </c>
      <c r="O174" s="98" t="n">
        <v>12263.23</v>
      </c>
      <c r="P174" s="98" t="n">
        <v>-12263.23</v>
      </c>
      <c r="Q174" s="98" t="n">
        <v>12263.23</v>
      </c>
    </row>
    <row r="175">
      <c r="A175" t="inlineStr">
        <is>
          <t>2024-06</t>
        </is>
      </c>
      <c r="B175" t="inlineStr">
        <is>
          <t>Juni</t>
        </is>
      </c>
      <c r="C175" t="n">
        <v>6</v>
      </c>
      <c r="D175" t="inlineStr">
        <is>
          <t>T2</t>
        </is>
      </c>
      <c r="E175" t="inlineStr">
        <is>
          <t>Bokført</t>
        </is>
      </c>
      <c r="F175" t="inlineStr">
        <is>
          <t>Kommunal Boenhet</t>
        </is>
      </c>
      <c r="G175" t="n">
        <v>254</v>
      </c>
      <c r="H175" t="inlineStr">
        <is>
          <t>Helse og mestring</t>
        </is>
      </c>
      <c r="I175" t="inlineStr">
        <is>
          <t>1 Lønn</t>
        </is>
      </c>
      <c r="J175" t="inlineStr">
        <is>
          <t>10 Lønn</t>
        </is>
      </c>
      <c r="K175" t="n">
        <v>1030</v>
      </c>
      <c r="L175" t="n">
        <v>103000</v>
      </c>
      <c r="M175" t="inlineStr">
        <is>
          <t>Ekstrahjelp</t>
        </is>
      </c>
      <c r="N175" s="98" t="n">
        <v>0</v>
      </c>
      <c r="O175" s="98" t="n">
        <v>34776.14</v>
      </c>
      <c r="P175" s="98" t="n">
        <v>-34776.14</v>
      </c>
      <c r="Q175" s="98" t="n">
        <v>34776.14</v>
      </c>
    </row>
    <row r="176">
      <c r="A176" t="inlineStr">
        <is>
          <t>2024-07</t>
        </is>
      </c>
      <c r="B176" t="inlineStr">
        <is>
          <t>Juli</t>
        </is>
      </c>
      <c r="C176" t="n">
        <v>7</v>
      </c>
      <c r="D176" t="inlineStr">
        <is>
          <t>T2</t>
        </is>
      </c>
      <c r="E176" t="inlineStr">
        <is>
          <t>Bokført</t>
        </is>
      </c>
      <c r="F176" t="inlineStr">
        <is>
          <t>Kommunal Boenhet</t>
        </is>
      </c>
      <c r="G176" t="n">
        <v>254</v>
      </c>
      <c r="H176" t="inlineStr">
        <is>
          <t>Helse og mestring</t>
        </is>
      </c>
      <c r="I176" t="inlineStr">
        <is>
          <t>1 Lønn</t>
        </is>
      </c>
      <c r="J176" t="inlineStr">
        <is>
          <t>10 Lønn</t>
        </is>
      </c>
      <c r="K176" t="n">
        <v>1030</v>
      </c>
      <c r="L176" t="n">
        <v>103000</v>
      </c>
      <c r="M176" t="inlineStr">
        <is>
          <t>Ekstrahjelp</t>
        </is>
      </c>
      <c r="N176" s="98" t="n">
        <v>0</v>
      </c>
      <c r="O176" s="98" t="n">
        <v>20546.22</v>
      </c>
      <c r="P176" s="98" t="n">
        <v>-20546.22</v>
      </c>
      <c r="Q176" s="98" t="n">
        <v>20546.22</v>
      </c>
    </row>
    <row r="177">
      <c r="A177" t="inlineStr">
        <is>
          <t>2024-08</t>
        </is>
      </c>
      <c r="B177" t="inlineStr">
        <is>
          <t>August</t>
        </is>
      </c>
      <c r="C177" t="n">
        <v>8</v>
      </c>
      <c r="D177" t="inlineStr">
        <is>
          <t>T2</t>
        </is>
      </c>
      <c r="E177" t="inlineStr">
        <is>
          <t>Bokført</t>
        </is>
      </c>
      <c r="F177" t="inlineStr">
        <is>
          <t>Kommunal Boenhet</t>
        </is>
      </c>
      <c r="G177" t="n">
        <v>254</v>
      </c>
      <c r="H177" t="inlineStr">
        <is>
          <t>Helse og mestring</t>
        </is>
      </c>
      <c r="I177" t="inlineStr">
        <is>
          <t>1 Lønn</t>
        </is>
      </c>
      <c r="J177" t="inlineStr">
        <is>
          <t>10 Lønn</t>
        </is>
      </c>
      <c r="K177" t="n">
        <v>1030</v>
      </c>
      <c r="L177" t="n">
        <v>103000</v>
      </c>
      <c r="M177" t="inlineStr">
        <is>
          <t>Ekstrahjelp</t>
        </is>
      </c>
      <c r="N177" s="98" t="n">
        <v>0</v>
      </c>
      <c r="O177" s="98" t="n">
        <v>10668.91</v>
      </c>
      <c r="P177" s="98" t="n">
        <v>-10668.91</v>
      </c>
      <c r="Q177" s="98" t="n">
        <v>10668.91</v>
      </c>
    </row>
    <row r="178">
      <c r="A178" t="inlineStr">
        <is>
          <t>2024-09</t>
        </is>
      </c>
      <c r="B178" t="inlineStr">
        <is>
          <t>September</t>
        </is>
      </c>
      <c r="C178" t="n">
        <v>9</v>
      </c>
      <c r="D178" t="inlineStr">
        <is>
          <t>T3</t>
        </is>
      </c>
      <c r="E178" t="inlineStr">
        <is>
          <t>Gjenstående budsjett</t>
        </is>
      </c>
      <c r="F178" t="inlineStr">
        <is>
          <t>Kommunal Boenhet</t>
        </is>
      </c>
      <c r="G178" t="n">
        <v>254</v>
      </c>
      <c r="H178" t="inlineStr">
        <is>
          <t>Helse og mestring</t>
        </is>
      </c>
      <c r="I178" t="inlineStr">
        <is>
          <t>1 Lønn</t>
        </is>
      </c>
      <c r="J178" t="inlineStr">
        <is>
          <t>10 Lønn</t>
        </is>
      </c>
      <c r="K178" t="n">
        <v>1030</v>
      </c>
      <c r="L178" t="n">
        <v>103000</v>
      </c>
      <c r="M178" t="inlineStr">
        <is>
          <t>Ekstrahjelp</t>
        </is>
      </c>
      <c r="N178" s="98" t="n">
        <v>0</v>
      </c>
      <c r="O178" s="98" t="n">
        <v>0</v>
      </c>
      <c r="P178" s="98" t="n">
        <v>0</v>
      </c>
      <c r="Q178" s="98" t="n">
        <v>0</v>
      </c>
    </row>
    <row r="179">
      <c r="A179" t="inlineStr">
        <is>
          <t>2024-10</t>
        </is>
      </c>
      <c r="B179" t="inlineStr">
        <is>
          <t>Oktober</t>
        </is>
      </c>
      <c r="C179" t="n">
        <v>10</v>
      </c>
      <c r="D179" t="inlineStr">
        <is>
          <t>T3</t>
        </is>
      </c>
      <c r="E179" t="inlineStr">
        <is>
          <t>Gjenstående budsjett</t>
        </is>
      </c>
      <c r="F179" t="inlineStr">
        <is>
          <t>Kommunal Boenhet</t>
        </is>
      </c>
      <c r="G179" t="n">
        <v>254</v>
      </c>
      <c r="H179" t="inlineStr">
        <is>
          <t>Helse og mestring</t>
        </is>
      </c>
      <c r="I179" t="inlineStr">
        <is>
          <t>1 Lønn</t>
        </is>
      </c>
      <c r="J179" t="inlineStr">
        <is>
          <t>10 Lønn</t>
        </is>
      </c>
      <c r="K179" t="n">
        <v>1030</v>
      </c>
      <c r="L179" t="n">
        <v>103000</v>
      </c>
      <c r="M179" t="inlineStr">
        <is>
          <t>Ekstrahjelp</t>
        </is>
      </c>
      <c r="N179" s="98" t="n">
        <v>0</v>
      </c>
      <c r="O179" s="98" t="n">
        <v>0</v>
      </c>
      <c r="P179" s="98" t="n">
        <v>0</v>
      </c>
      <c r="Q179" s="98" t="n">
        <v>0</v>
      </c>
    </row>
    <row r="180">
      <c r="A180" t="inlineStr">
        <is>
          <t>2024-11</t>
        </is>
      </c>
      <c r="B180" t="inlineStr">
        <is>
          <t>November</t>
        </is>
      </c>
      <c r="C180" t="n">
        <v>11</v>
      </c>
      <c r="D180" t="inlineStr">
        <is>
          <t>T3</t>
        </is>
      </c>
      <c r="E180" t="inlineStr">
        <is>
          <t>Gjenstående budsjett</t>
        </is>
      </c>
      <c r="F180" t="inlineStr">
        <is>
          <t>Kommunal Boenhet</t>
        </is>
      </c>
      <c r="G180" t="n">
        <v>254</v>
      </c>
      <c r="H180" t="inlineStr">
        <is>
          <t>Helse og mestring</t>
        </is>
      </c>
      <c r="I180" t="inlineStr">
        <is>
          <t>1 Lønn</t>
        </is>
      </c>
      <c r="J180" t="inlineStr">
        <is>
          <t>10 Lønn</t>
        </is>
      </c>
      <c r="K180" t="n">
        <v>1030</v>
      </c>
      <c r="L180" t="n">
        <v>103000</v>
      </c>
      <c r="M180" t="inlineStr">
        <is>
          <t>Ekstrahjelp</t>
        </is>
      </c>
      <c r="N180" s="98" t="n">
        <v>0</v>
      </c>
      <c r="O180" s="98" t="n">
        <v>0</v>
      </c>
      <c r="P180" s="98" t="n">
        <v>0</v>
      </c>
      <c r="Q180" s="98" t="n">
        <v>0</v>
      </c>
    </row>
    <row r="181">
      <c r="A181" t="inlineStr">
        <is>
          <t>2024-12</t>
        </is>
      </c>
      <c r="B181" t="inlineStr">
        <is>
          <t>Desember</t>
        </is>
      </c>
      <c r="C181" t="n">
        <v>12</v>
      </c>
      <c r="D181" t="inlineStr">
        <is>
          <t>T3</t>
        </is>
      </c>
      <c r="E181" t="inlineStr">
        <is>
          <t>Gjenstående budsjett</t>
        </is>
      </c>
      <c r="F181" t="inlineStr">
        <is>
          <t>Kommunal Boenhet</t>
        </is>
      </c>
      <c r="G181" t="n">
        <v>254</v>
      </c>
      <c r="H181" t="inlineStr">
        <is>
          <t>Helse og mestring</t>
        </is>
      </c>
      <c r="I181" t="inlineStr">
        <is>
          <t>1 Lønn</t>
        </is>
      </c>
      <c r="J181" t="inlineStr">
        <is>
          <t>10 Lønn</t>
        </is>
      </c>
      <c r="K181" t="n">
        <v>1030</v>
      </c>
      <c r="L181" t="n">
        <v>103000</v>
      </c>
      <c r="M181" t="inlineStr">
        <is>
          <t>Ekstrahjelp</t>
        </is>
      </c>
      <c r="N181" s="98" t="n">
        <v>0</v>
      </c>
      <c r="O181" s="98" t="n">
        <v>0</v>
      </c>
      <c r="P181" s="98" t="n">
        <v>0</v>
      </c>
      <c r="Q181" s="98" t="n">
        <v>0</v>
      </c>
    </row>
    <row r="182">
      <c r="A182" t="inlineStr">
        <is>
          <t>2024-01</t>
        </is>
      </c>
      <c r="B182" t="inlineStr">
        <is>
          <t>Januar</t>
        </is>
      </c>
      <c r="C182" t="n">
        <v>1</v>
      </c>
      <c r="D182" t="inlineStr">
        <is>
          <t>T1</t>
        </is>
      </c>
      <c r="E182" t="inlineStr">
        <is>
          <t>Bokført</t>
        </is>
      </c>
      <c r="F182" t="inlineStr">
        <is>
          <t>Kommunal Boenhet</t>
        </is>
      </c>
      <c r="G182" t="n">
        <v>254</v>
      </c>
      <c r="H182" t="inlineStr">
        <is>
          <t>Helse og mestring</t>
        </is>
      </c>
      <c r="I182" t="inlineStr">
        <is>
          <t>1 Lønn</t>
        </is>
      </c>
      <c r="J182" t="inlineStr">
        <is>
          <t>10 Lønn</t>
        </is>
      </c>
      <c r="K182" t="n">
        <v>1030</v>
      </c>
      <c r="L182" t="n">
        <v>103030</v>
      </c>
      <c r="M182" t="inlineStr">
        <is>
          <t>Ekstrahjelp - lørdags- og søndagstillegg</t>
        </is>
      </c>
      <c r="N182" s="98" t="n">
        <v>0</v>
      </c>
      <c r="O182" s="98" t="n">
        <v>0</v>
      </c>
      <c r="P182" s="98" t="n">
        <v>0</v>
      </c>
      <c r="Q182" s="98" t="n">
        <v>0</v>
      </c>
    </row>
    <row r="183">
      <c r="A183" t="inlineStr">
        <is>
          <t>2024-02</t>
        </is>
      </c>
      <c r="B183" t="inlineStr">
        <is>
          <t>Februar</t>
        </is>
      </c>
      <c r="C183" t="n">
        <v>2</v>
      </c>
      <c r="D183" t="inlineStr">
        <is>
          <t>T1</t>
        </is>
      </c>
      <c r="E183" t="inlineStr">
        <is>
          <t>Bokført</t>
        </is>
      </c>
      <c r="F183" t="inlineStr">
        <is>
          <t>Kommunal Boenhet</t>
        </is>
      </c>
      <c r="G183" t="n">
        <v>254</v>
      </c>
      <c r="H183" t="inlineStr">
        <is>
          <t>Helse og mestring</t>
        </is>
      </c>
      <c r="I183" t="inlineStr">
        <is>
          <t>1 Lønn</t>
        </is>
      </c>
      <c r="J183" t="inlineStr">
        <is>
          <t>10 Lønn</t>
        </is>
      </c>
      <c r="K183" t="n">
        <v>1030</v>
      </c>
      <c r="L183" t="n">
        <v>103030</v>
      </c>
      <c r="M183" t="inlineStr">
        <is>
          <t>Ekstrahjelp - lørdags- og søndagstillegg</t>
        </is>
      </c>
      <c r="N183" s="98" t="n">
        <v>0</v>
      </c>
      <c r="O183" s="98" t="n">
        <v>0</v>
      </c>
      <c r="P183" s="98" t="n">
        <v>0</v>
      </c>
      <c r="Q183" s="98" t="n">
        <v>0</v>
      </c>
    </row>
    <row r="184">
      <c r="A184" t="inlineStr">
        <is>
          <t>2024-03</t>
        </is>
      </c>
      <c r="B184" t="inlineStr">
        <is>
          <t>Mars</t>
        </is>
      </c>
      <c r="C184" t="n">
        <v>3</v>
      </c>
      <c r="D184" t="inlineStr">
        <is>
          <t>T1</t>
        </is>
      </c>
      <c r="E184" t="inlineStr">
        <is>
          <t>Bokført</t>
        </is>
      </c>
      <c r="F184" t="inlineStr">
        <is>
          <t>Kommunal Boenhet</t>
        </is>
      </c>
      <c r="G184" t="n">
        <v>254</v>
      </c>
      <c r="H184" t="inlineStr">
        <is>
          <t>Helse og mestring</t>
        </is>
      </c>
      <c r="I184" t="inlineStr">
        <is>
          <t>1 Lønn</t>
        </is>
      </c>
      <c r="J184" t="inlineStr">
        <is>
          <t>10 Lønn</t>
        </is>
      </c>
      <c r="K184" t="n">
        <v>1030</v>
      </c>
      <c r="L184" t="n">
        <v>103030</v>
      </c>
      <c r="M184" t="inlineStr">
        <is>
          <t>Ekstrahjelp - lørdags- og søndagstillegg</t>
        </is>
      </c>
      <c r="N184" s="98" t="n">
        <v>0</v>
      </c>
      <c r="O184" s="98" t="n">
        <v>1881.6</v>
      </c>
      <c r="P184" s="98" t="n">
        <v>-1881.6</v>
      </c>
      <c r="Q184" s="98" t="n">
        <v>1881.6</v>
      </c>
    </row>
    <row r="185">
      <c r="A185" t="inlineStr">
        <is>
          <t>2024-04</t>
        </is>
      </c>
      <c r="B185" t="inlineStr">
        <is>
          <t>April</t>
        </is>
      </c>
      <c r="C185" t="n">
        <v>4</v>
      </c>
      <c r="D185" t="inlineStr">
        <is>
          <t>T1</t>
        </is>
      </c>
      <c r="E185" t="inlineStr">
        <is>
          <t>Bokført</t>
        </is>
      </c>
      <c r="F185" t="inlineStr">
        <is>
          <t>Kommunal Boenhet</t>
        </is>
      </c>
      <c r="G185" t="n">
        <v>254</v>
      </c>
      <c r="H185" t="inlineStr">
        <is>
          <t>Helse og mestring</t>
        </is>
      </c>
      <c r="I185" t="inlineStr">
        <is>
          <t>1 Lønn</t>
        </is>
      </c>
      <c r="J185" t="inlineStr">
        <is>
          <t>10 Lønn</t>
        </is>
      </c>
      <c r="K185" t="n">
        <v>1030</v>
      </c>
      <c r="L185" t="n">
        <v>103030</v>
      </c>
      <c r="M185" t="inlineStr">
        <is>
          <t>Ekstrahjelp - lørdags- og søndagstillegg</t>
        </is>
      </c>
      <c r="N185" s="98" t="n">
        <v>0</v>
      </c>
      <c r="O185" s="98" t="n">
        <v>0</v>
      </c>
      <c r="P185" s="98" t="n">
        <v>0</v>
      </c>
      <c r="Q185" s="98" t="n">
        <v>0</v>
      </c>
    </row>
    <row r="186">
      <c r="A186" t="inlineStr">
        <is>
          <t>2024-05</t>
        </is>
      </c>
      <c r="B186" t="inlineStr">
        <is>
          <t>Mai</t>
        </is>
      </c>
      <c r="C186" t="n">
        <v>5</v>
      </c>
      <c r="D186" t="inlineStr">
        <is>
          <t>T2</t>
        </is>
      </c>
      <c r="E186" t="inlineStr">
        <is>
          <t>Bokført</t>
        </is>
      </c>
      <c r="F186" t="inlineStr">
        <is>
          <t>Kommunal Boenhet</t>
        </is>
      </c>
      <c r="G186" t="n">
        <v>254</v>
      </c>
      <c r="H186" t="inlineStr">
        <is>
          <t>Helse og mestring</t>
        </is>
      </c>
      <c r="I186" t="inlineStr">
        <is>
          <t>1 Lønn</t>
        </is>
      </c>
      <c r="J186" t="inlineStr">
        <is>
          <t>10 Lønn</t>
        </is>
      </c>
      <c r="K186" t="n">
        <v>1030</v>
      </c>
      <c r="L186" t="n">
        <v>103030</v>
      </c>
      <c r="M186" t="inlineStr">
        <is>
          <t>Ekstrahjelp - lørdags- og søndagstillegg</t>
        </is>
      </c>
      <c r="N186" s="98" t="n">
        <v>0</v>
      </c>
      <c r="O186" s="98" t="n">
        <v>0</v>
      </c>
      <c r="P186" s="98" t="n">
        <v>0</v>
      </c>
      <c r="Q186" s="98" t="n">
        <v>0</v>
      </c>
    </row>
    <row r="187">
      <c r="A187" t="inlineStr">
        <is>
          <t>2024-06</t>
        </is>
      </c>
      <c r="B187" t="inlineStr">
        <is>
          <t>Juni</t>
        </is>
      </c>
      <c r="C187" t="n">
        <v>6</v>
      </c>
      <c r="D187" t="inlineStr">
        <is>
          <t>T2</t>
        </is>
      </c>
      <c r="E187" t="inlineStr">
        <is>
          <t>Bokført</t>
        </is>
      </c>
      <c r="F187" t="inlineStr">
        <is>
          <t>Kommunal Boenhet</t>
        </is>
      </c>
      <c r="G187" t="n">
        <v>254</v>
      </c>
      <c r="H187" t="inlineStr">
        <is>
          <t>Helse og mestring</t>
        </is>
      </c>
      <c r="I187" t="inlineStr">
        <is>
          <t>1 Lønn</t>
        </is>
      </c>
      <c r="J187" t="inlineStr">
        <is>
          <t>10 Lønn</t>
        </is>
      </c>
      <c r="K187" t="n">
        <v>1030</v>
      </c>
      <c r="L187" t="n">
        <v>103030</v>
      </c>
      <c r="M187" t="inlineStr">
        <is>
          <t>Ekstrahjelp - lørdags- og søndagstillegg</t>
        </is>
      </c>
      <c r="N187" s="98" t="n">
        <v>0</v>
      </c>
      <c r="O187" s="98" t="n">
        <v>558.46</v>
      </c>
      <c r="P187" s="98" t="n">
        <v>-558.46</v>
      </c>
      <c r="Q187" s="98" t="n">
        <v>558.46</v>
      </c>
    </row>
    <row r="188">
      <c r="A188" t="inlineStr">
        <is>
          <t>2024-07</t>
        </is>
      </c>
      <c r="B188" t="inlineStr">
        <is>
          <t>Juli</t>
        </is>
      </c>
      <c r="C188" t="n">
        <v>7</v>
      </c>
      <c r="D188" t="inlineStr">
        <is>
          <t>T2</t>
        </is>
      </c>
      <c r="E188" t="inlineStr">
        <is>
          <t>Bokført</t>
        </is>
      </c>
      <c r="F188" t="inlineStr">
        <is>
          <t>Kommunal Boenhet</t>
        </is>
      </c>
      <c r="G188" t="n">
        <v>254</v>
      </c>
      <c r="H188" t="inlineStr">
        <is>
          <t>Helse og mestring</t>
        </is>
      </c>
      <c r="I188" t="inlineStr">
        <is>
          <t>1 Lønn</t>
        </is>
      </c>
      <c r="J188" t="inlineStr">
        <is>
          <t>10 Lønn</t>
        </is>
      </c>
      <c r="K188" t="n">
        <v>1030</v>
      </c>
      <c r="L188" t="n">
        <v>103030</v>
      </c>
      <c r="M188" t="inlineStr">
        <is>
          <t>Ekstrahjelp - lørdags- og søndagstillegg</t>
        </is>
      </c>
      <c r="N188" s="98" t="n">
        <v>0</v>
      </c>
      <c r="O188" s="98" t="n">
        <v>1058.4</v>
      </c>
      <c r="P188" s="98" t="n">
        <v>-1058.4</v>
      </c>
      <c r="Q188" s="98" t="n">
        <v>1058.4</v>
      </c>
    </row>
    <row r="189">
      <c r="A189" t="inlineStr">
        <is>
          <t>2024-08</t>
        </is>
      </c>
      <c r="B189" t="inlineStr">
        <is>
          <t>August</t>
        </is>
      </c>
      <c r="C189" t="n">
        <v>8</v>
      </c>
      <c r="D189" t="inlineStr">
        <is>
          <t>T2</t>
        </is>
      </c>
      <c r="E189" t="inlineStr">
        <is>
          <t>Bokført</t>
        </is>
      </c>
      <c r="F189" t="inlineStr">
        <is>
          <t>Kommunal Boenhet</t>
        </is>
      </c>
      <c r="G189" t="n">
        <v>254</v>
      </c>
      <c r="H189" t="inlineStr">
        <is>
          <t>Helse og mestring</t>
        </is>
      </c>
      <c r="I189" t="inlineStr">
        <is>
          <t>1 Lønn</t>
        </is>
      </c>
      <c r="J189" t="inlineStr">
        <is>
          <t>10 Lønn</t>
        </is>
      </c>
      <c r="K189" t="n">
        <v>1030</v>
      </c>
      <c r="L189" t="n">
        <v>103030</v>
      </c>
      <c r="M189" t="inlineStr">
        <is>
          <t>Ekstrahjelp - lørdags- og søndagstillegg</t>
        </is>
      </c>
      <c r="N189" s="98" t="n">
        <v>0</v>
      </c>
      <c r="O189" s="98" t="n">
        <v>1881.6</v>
      </c>
      <c r="P189" s="98" t="n">
        <v>-1881.6</v>
      </c>
      <c r="Q189" s="98" t="n">
        <v>1881.6</v>
      </c>
    </row>
    <row r="190">
      <c r="A190" t="inlineStr">
        <is>
          <t>2024-09</t>
        </is>
      </c>
      <c r="B190" t="inlineStr">
        <is>
          <t>September</t>
        </is>
      </c>
      <c r="C190" t="n">
        <v>9</v>
      </c>
      <c r="D190" t="inlineStr">
        <is>
          <t>T3</t>
        </is>
      </c>
      <c r="E190" t="inlineStr">
        <is>
          <t>Gjenstående budsjett</t>
        </is>
      </c>
      <c r="F190" t="inlineStr">
        <is>
          <t>Kommunal Boenhet</t>
        </is>
      </c>
      <c r="G190" t="n">
        <v>254</v>
      </c>
      <c r="H190" t="inlineStr">
        <is>
          <t>Helse og mestring</t>
        </is>
      </c>
      <c r="I190" t="inlineStr">
        <is>
          <t>1 Lønn</t>
        </is>
      </c>
      <c r="J190" t="inlineStr">
        <is>
          <t>10 Lønn</t>
        </is>
      </c>
      <c r="K190" t="n">
        <v>1030</v>
      </c>
      <c r="L190" t="n">
        <v>103030</v>
      </c>
      <c r="M190" t="inlineStr">
        <is>
          <t>Ekstrahjelp - lørdags- og søndagstillegg</t>
        </is>
      </c>
      <c r="N190" s="98" t="n">
        <v>0</v>
      </c>
      <c r="O190" s="98" t="n">
        <v>0</v>
      </c>
      <c r="P190" s="98" t="n">
        <v>0</v>
      </c>
      <c r="Q190" s="98" t="n">
        <v>0</v>
      </c>
    </row>
    <row r="191">
      <c r="A191" t="inlineStr">
        <is>
          <t>2024-10</t>
        </is>
      </c>
      <c r="B191" t="inlineStr">
        <is>
          <t>Oktober</t>
        </is>
      </c>
      <c r="C191" t="n">
        <v>10</v>
      </c>
      <c r="D191" t="inlineStr">
        <is>
          <t>T3</t>
        </is>
      </c>
      <c r="E191" t="inlineStr">
        <is>
          <t>Gjenstående budsjett</t>
        </is>
      </c>
      <c r="F191" t="inlineStr">
        <is>
          <t>Kommunal Boenhet</t>
        </is>
      </c>
      <c r="G191" t="n">
        <v>254</v>
      </c>
      <c r="H191" t="inlineStr">
        <is>
          <t>Helse og mestring</t>
        </is>
      </c>
      <c r="I191" t="inlineStr">
        <is>
          <t>1 Lønn</t>
        </is>
      </c>
      <c r="J191" t="inlineStr">
        <is>
          <t>10 Lønn</t>
        </is>
      </c>
      <c r="K191" t="n">
        <v>1030</v>
      </c>
      <c r="L191" t="n">
        <v>103030</v>
      </c>
      <c r="M191" t="inlineStr">
        <is>
          <t>Ekstrahjelp - lørdags- og søndagstillegg</t>
        </is>
      </c>
      <c r="N191" s="98" t="n">
        <v>0</v>
      </c>
      <c r="O191" s="98" t="n">
        <v>0</v>
      </c>
      <c r="P191" s="98" t="n">
        <v>0</v>
      </c>
      <c r="Q191" s="98" t="n">
        <v>0</v>
      </c>
    </row>
    <row r="192">
      <c r="A192" t="inlineStr">
        <is>
          <t>2024-11</t>
        </is>
      </c>
      <c r="B192" t="inlineStr">
        <is>
          <t>November</t>
        </is>
      </c>
      <c r="C192" t="n">
        <v>11</v>
      </c>
      <c r="D192" t="inlineStr">
        <is>
          <t>T3</t>
        </is>
      </c>
      <c r="E192" t="inlineStr">
        <is>
          <t>Gjenstående budsjett</t>
        </is>
      </c>
      <c r="F192" t="inlineStr">
        <is>
          <t>Kommunal Boenhet</t>
        </is>
      </c>
      <c r="G192" t="n">
        <v>254</v>
      </c>
      <c r="H192" t="inlineStr">
        <is>
          <t>Helse og mestring</t>
        </is>
      </c>
      <c r="I192" t="inlineStr">
        <is>
          <t>1 Lønn</t>
        </is>
      </c>
      <c r="J192" t="inlineStr">
        <is>
          <t>10 Lønn</t>
        </is>
      </c>
      <c r="K192" t="n">
        <v>1030</v>
      </c>
      <c r="L192" t="n">
        <v>103030</v>
      </c>
      <c r="M192" t="inlineStr">
        <is>
          <t>Ekstrahjelp - lørdags- og søndagstillegg</t>
        </is>
      </c>
      <c r="N192" s="98" t="n">
        <v>0</v>
      </c>
      <c r="O192" s="98" t="n">
        <v>0</v>
      </c>
      <c r="P192" s="98" t="n">
        <v>0</v>
      </c>
      <c r="Q192" s="98" t="n">
        <v>0</v>
      </c>
    </row>
    <row r="193">
      <c r="A193" t="inlineStr">
        <is>
          <t>2024-12</t>
        </is>
      </c>
      <c r="B193" t="inlineStr">
        <is>
          <t>Desember</t>
        </is>
      </c>
      <c r="C193" t="n">
        <v>12</v>
      </c>
      <c r="D193" t="inlineStr">
        <is>
          <t>T3</t>
        </is>
      </c>
      <c r="E193" t="inlineStr">
        <is>
          <t>Gjenstående budsjett</t>
        </is>
      </c>
      <c r="F193" t="inlineStr">
        <is>
          <t>Kommunal Boenhet</t>
        </is>
      </c>
      <c r="G193" t="n">
        <v>254</v>
      </c>
      <c r="H193" t="inlineStr">
        <is>
          <t>Helse og mestring</t>
        </is>
      </c>
      <c r="I193" t="inlineStr">
        <is>
          <t>1 Lønn</t>
        </is>
      </c>
      <c r="J193" t="inlineStr">
        <is>
          <t>10 Lønn</t>
        </is>
      </c>
      <c r="K193" t="n">
        <v>1030</v>
      </c>
      <c r="L193" t="n">
        <v>103030</v>
      </c>
      <c r="M193" t="inlineStr">
        <is>
          <t>Ekstrahjelp - lørdags- og søndagstillegg</t>
        </is>
      </c>
      <c r="N193" s="98" t="n">
        <v>0</v>
      </c>
      <c r="O193" s="98" t="n">
        <v>0</v>
      </c>
      <c r="P193" s="98" t="n">
        <v>0</v>
      </c>
      <c r="Q193" s="98" t="n">
        <v>0</v>
      </c>
    </row>
    <row r="194">
      <c r="A194" t="inlineStr">
        <is>
          <t>2024-01</t>
        </is>
      </c>
      <c r="B194" t="inlineStr">
        <is>
          <t>Januar</t>
        </is>
      </c>
      <c r="C194" t="n">
        <v>1</v>
      </c>
      <c r="D194" t="inlineStr">
        <is>
          <t>T1</t>
        </is>
      </c>
      <c r="E194" t="inlineStr">
        <is>
          <t>Bokført</t>
        </is>
      </c>
      <c r="F194" t="inlineStr">
        <is>
          <t>Kommunal Boenhet</t>
        </is>
      </c>
      <c r="G194" t="n">
        <v>254</v>
      </c>
      <c r="H194" t="inlineStr">
        <is>
          <t>Helse og mestring</t>
        </is>
      </c>
      <c r="I194" t="inlineStr">
        <is>
          <t>1 Lønn</t>
        </is>
      </c>
      <c r="J194" t="inlineStr">
        <is>
          <t>10 Lønn</t>
        </is>
      </c>
      <c r="K194" t="n">
        <v>1030</v>
      </c>
      <c r="L194" t="n">
        <v>103031</v>
      </c>
      <c r="M194" t="inlineStr">
        <is>
          <t>Ekstrahjelp - kvelds- og nattillegg</t>
        </is>
      </c>
      <c r="N194" s="98" t="n">
        <v>0</v>
      </c>
      <c r="O194" s="98" t="n">
        <v>0</v>
      </c>
      <c r="P194" s="98" t="n">
        <v>0</v>
      </c>
      <c r="Q194" s="98" t="n">
        <v>0</v>
      </c>
    </row>
    <row r="195">
      <c r="A195" t="inlineStr">
        <is>
          <t>2024-02</t>
        </is>
      </c>
      <c r="B195" t="inlineStr">
        <is>
          <t>Februar</t>
        </is>
      </c>
      <c r="C195" t="n">
        <v>2</v>
      </c>
      <c r="D195" t="inlineStr">
        <is>
          <t>T1</t>
        </is>
      </c>
      <c r="E195" t="inlineStr">
        <is>
          <t>Bokført</t>
        </is>
      </c>
      <c r="F195" t="inlineStr">
        <is>
          <t>Kommunal Boenhet</t>
        </is>
      </c>
      <c r="G195" t="n">
        <v>254</v>
      </c>
      <c r="H195" t="inlineStr">
        <is>
          <t>Helse og mestring</t>
        </is>
      </c>
      <c r="I195" t="inlineStr">
        <is>
          <t>1 Lønn</t>
        </is>
      </c>
      <c r="J195" t="inlineStr">
        <is>
          <t>10 Lønn</t>
        </is>
      </c>
      <c r="K195" t="n">
        <v>1030</v>
      </c>
      <c r="L195" t="n">
        <v>103031</v>
      </c>
      <c r="M195" t="inlineStr">
        <is>
          <t>Ekstrahjelp - kvelds- og nattillegg</t>
        </is>
      </c>
      <c r="N195" s="98" t="n">
        <v>0</v>
      </c>
      <c r="O195" s="98" t="n">
        <v>1740.48</v>
      </c>
      <c r="P195" s="98" t="n">
        <v>-1740.48</v>
      </c>
      <c r="Q195" s="98" t="n">
        <v>1740.48</v>
      </c>
    </row>
    <row r="196">
      <c r="A196" t="inlineStr">
        <is>
          <t>2024-03</t>
        </is>
      </c>
      <c r="B196" t="inlineStr">
        <is>
          <t>Mars</t>
        </is>
      </c>
      <c r="C196" t="n">
        <v>3</v>
      </c>
      <c r="D196" t="inlineStr">
        <is>
          <t>T1</t>
        </is>
      </c>
      <c r="E196" t="inlineStr">
        <is>
          <t>Bokført</t>
        </is>
      </c>
      <c r="F196" t="inlineStr">
        <is>
          <t>Kommunal Boenhet</t>
        </is>
      </c>
      <c r="G196" t="n">
        <v>254</v>
      </c>
      <c r="H196" t="inlineStr">
        <is>
          <t>Helse og mestring</t>
        </is>
      </c>
      <c r="I196" t="inlineStr">
        <is>
          <t>1 Lønn</t>
        </is>
      </c>
      <c r="J196" t="inlineStr">
        <is>
          <t>10 Lønn</t>
        </is>
      </c>
      <c r="K196" t="n">
        <v>1030</v>
      </c>
      <c r="L196" t="n">
        <v>103031</v>
      </c>
      <c r="M196" t="inlineStr">
        <is>
          <t>Ekstrahjelp - kvelds- og nattillegg</t>
        </is>
      </c>
      <c r="N196" s="98" t="n">
        <v>0</v>
      </c>
      <c r="O196" s="98" t="n">
        <v>831.04</v>
      </c>
      <c r="P196" s="98" t="n">
        <v>-831.04</v>
      </c>
      <c r="Q196" s="98" t="n">
        <v>831.04</v>
      </c>
    </row>
    <row r="197">
      <c r="A197" t="inlineStr">
        <is>
          <t>2024-04</t>
        </is>
      </c>
      <c r="B197" t="inlineStr">
        <is>
          <t>April</t>
        </is>
      </c>
      <c r="C197" t="n">
        <v>4</v>
      </c>
      <c r="D197" t="inlineStr">
        <is>
          <t>T1</t>
        </is>
      </c>
      <c r="E197" t="inlineStr">
        <is>
          <t>Bokført</t>
        </is>
      </c>
      <c r="F197" t="inlineStr">
        <is>
          <t>Kommunal Boenhet</t>
        </is>
      </c>
      <c r="G197" t="n">
        <v>254</v>
      </c>
      <c r="H197" t="inlineStr">
        <is>
          <t>Helse og mestring</t>
        </is>
      </c>
      <c r="I197" t="inlineStr">
        <is>
          <t>1 Lønn</t>
        </is>
      </c>
      <c r="J197" t="inlineStr">
        <is>
          <t>10 Lønn</t>
        </is>
      </c>
      <c r="K197" t="n">
        <v>1030</v>
      </c>
      <c r="L197" t="n">
        <v>103031</v>
      </c>
      <c r="M197" t="inlineStr">
        <is>
          <t>Ekstrahjelp - kvelds- og nattillegg</t>
        </is>
      </c>
      <c r="N197" s="98" t="n">
        <v>0</v>
      </c>
      <c r="O197" s="98" t="n">
        <v>0</v>
      </c>
      <c r="P197" s="98" t="n">
        <v>0</v>
      </c>
      <c r="Q197" s="98" t="n">
        <v>0</v>
      </c>
    </row>
    <row r="198">
      <c r="A198" t="inlineStr">
        <is>
          <t>2024-05</t>
        </is>
      </c>
      <c r="B198" t="inlineStr">
        <is>
          <t>Mai</t>
        </is>
      </c>
      <c r="C198" t="n">
        <v>5</v>
      </c>
      <c r="D198" t="inlineStr">
        <is>
          <t>T2</t>
        </is>
      </c>
      <c r="E198" t="inlineStr">
        <is>
          <t>Bokført</t>
        </is>
      </c>
      <c r="F198" t="inlineStr">
        <is>
          <t>Kommunal Boenhet</t>
        </is>
      </c>
      <c r="G198" t="n">
        <v>254</v>
      </c>
      <c r="H198" t="inlineStr">
        <is>
          <t>Helse og mestring</t>
        </is>
      </c>
      <c r="I198" t="inlineStr">
        <is>
          <t>1 Lønn</t>
        </is>
      </c>
      <c r="J198" t="inlineStr">
        <is>
          <t>10 Lønn</t>
        </is>
      </c>
      <c r="K198" t="n">
        <v>1030</v>
      </c>
      <c r="L198" t="n">
        <v>103031</v>
      </c>
      <c r="M198" t="inlineStr">
        <is>
          <t>Ekstrahjelp - kvelds- og nattillegg</t>
        </is>
      </c>
      <c r="N198" s="98" t="n">
        <v>0</v>
      </c>
      <c r="O198" s="98" t="n">
        <v>0</v>
      </c>
      <c r="P198" s="98" t="n">
        <v>0</v>
      </c>
      <c r="Q198" s="98" t="n">
        <v>0</v>
      </c>
    </row>
    <row r="199">
      <c r="A199" t="inlineStr">
        <is>
          <t>2024-06</t>
        </is>
      </c>
      <c r="B199" t="inlineStr">
        <is>
          <t>Juni</t>
        </is>
      </c>
      <c r="C199" t="n">
        <v>6</v>
      </c>
      <c r="D199" t="inlineStr">
        <is>
          <t>T2</t>
        </is>
      </c>
      <c r="E199" t="inlineStr">
        <is>
          <t>Bokført</t>
        </is>
      </c>
      <c r="F199" t="inlineStr">
        <is>
          <t>Kommunal Boenhet</t>
        </is>
      </c>
      <c r="G199" t="n">
        <v>254</v>
      </c>
      <c r="H199" t="inlineStr">
        <is>
          <t>Helse og mestring</t>
        </is>
      </c>
      <c r="I199" t="inlineStr">
        <is>
          <t>1 Lønn</t>
        </is>
      </c>
      <c r="J199" t="inlineStr">
        <is>
          <t>10 Lønn</t>
        </is>
      </c>
      <c r="K199" t="n">
        <v>1030</v>
      </c>
      <c r="L199" t="n">
        <v>103031</v>
      </c>
      <c r="M199" t="inlineStr">
        <is>
          <t>Ekstrahjelp - kvelds- og nattillegg</t>
        </is>
      </c>
      <c r="N199" s="98" t="n">
        <v>0</v>
      </c>
      <c r="O199" s="98" t="n">
        <v>1641.4</v>
      </c>
      <c r="P199" s="98" t="n">
        <v>-1641.4</v>
      </c>
      <c r="Q199" s="98" t="n">
        <v>1641.4</v>
      </c>
    </row>
    <row r="200">
      <c r="A200" t="inlineStr">
        <is>
          <t>2024-07</t>
        </is>
      </c>
      <c r="B200" t="inlineStr">
        <is>
          <t>Juli</t>
        </is>
      </c>
      <c r="C200" t="n">
        <v>7</v>
      </c>
      <c r="D200" t="inlineStr">
        <is>
          <t>T2</t>
        </is>
      </c>
      <c r="E200" t="inlineStr">
        <is>
          <t>Bokført</t>
        </is>
      </c>
      <c r="F200" t="inlineStr">
        <is>
          <t>Kommunal Boenhet</t>
        </is>
      </c>
      <c r="G200" t="n">
        <v>254</v>
      </c>
      <c r="H200" t="inlineStr">
        <is>
          <t>Helse og mestring</t>
        </is>
      </c>
      <c r="I200" t="inlineStr">
        <is>
          <t>1 Lønn</t>
        </is>
      </c>
      <c r="J200" t="inlineStr">
        <is>
          <t>10 Lønn</t>
        </is>
      </c>
      <c r="K200" t="n">
        <v>1030</v>
      </c>
      <c r="L200" t="n">
        <v>103031</v>
      </c>
      <c r="M200" t="inlineStr">
        <is>
          <t>Ekstrahjelp - kvelds- og nattillegg</t>
        </is>
      </c>
      <c r="N200" s="98" t="n">
        <v>0</v>
      </c>
      <c r="O200" s="98" t="n">
        <v>1383.76</v>
      </c>
      <c r="P200" s="98" t="n">
        <v>-1383.76</v>
      </c>
      <c r="Q200" s="98" t="n">
        <v>1383.76</v>
      </c>
    </row>
    <row r="201">
      <c r="A201" t="inlineStr">
        <is>
          <t>2024-08</t>
        </is>
      </c>
      <c r="B201" t="inlineStr">
        <is>
          <t>August</t>
        </is>
      </c>
      <c r="C201" t="n">
        <v>8</v>
      </c>
      <c r="D201" t="inlineStr">
        <is>
          <t>T2</t>
        </is>
      </c>
      <c r="E201" t="inlineStr">
        <is>
          <t>Bokført</t>
        </is>
      </c>
      <c r="F201" t="inlineStr">
        <is>
          <t>Kommunal Boenhet</t>
        </is>
      </c>
      <c r="G201" t="n">
        <v>254</v>
      </c>
      <c r="H201" t="inlineStr">
        <is>
          <t>Helse og mestring</t>
        </is>
      </c>
      <c r="I201" t="inlineStr">
        <is>
          <t>1 Lønn</t>
        </is>
      </c>
      <c r="J201" t="inlineStr">
        <is>
          <t>10 Lønn</t>
        </is>
      </c>
      <c r="K201" t="n">
        <v>1030</v>
      </c>
      <c r="L201" t="n">
        <v>103031</v>
      </c>
      <c r="M201" t="inlineStr">
        <is>
          <t>Ekstrahjelp - kvelds- og nattillegg</t>
        </is>
      </c>
      <c r="N201" s="98" t="n">
        <v>0</v>
      </c>
      <c r="O201" s="98" t="n">
        <v>987.84</v>
      </c>
      <c r="P201" s="98" t="n">
        <v>-987.84</v>
      </c>
      <c r="Q201" s="98" t="n">
        <v>987.84</v>
      </c>
    </row>
    <row r="202">
      <c r="A202" t="inlineStr">
        <is>
          <t>2024-09</t>
        </is>
      </c>
      <c r="B202" t="inlineStr">
        <is>
          <t>September</t>
        </is>
      </c>
      <c r="C202" t="n">
        <v>9</v>
      </c>
      <c r="D202" t="inlineStr">
        <is>
          <t>T3</t>
        </is>
      </c>
      <c r="E202" t="inlineStr">
        <is>
          <t>Gjenstående budsjett</t>
        </is>
      </c>
      <c r="F202" t="inlineStr">
        <is>
          <t>Kommunal Boenhet</t>
        </is>
      </c>
      <c r="G202" t="n">
        <v>254</v>
      </c>
      <c r="H202" t="inlineStr">
        <is>
          <t>Helse og mestring</t>
        </is>
      </c>
      <c r="I202" t="inlineStr">
        <is>
          <t>1 Lønn</t>
        </is>
      </c>
      <c r="J202" t="inlineStr">
        <is>
          <t>10 Lønn</t>
        </is>
      </c>
      <c r="K202" t="n">
        <v>1030</v>
      </c>
      <c r="L202" t="n">
        <v>103031</v>
      </c>
      <c r="M202" t="inlineStr">
        <is>
          <t>Ekstrahjelp - kvelds- og nattillegg</t>
        </is>
      </c>
      <c r="N202" s="98" t="n">
        <v>0</v>
      </c>
      <c r="O202" s="98" t="n">
        <v>0</v>
      </c>
      <c r="P202" s="98" t="n">
        <v>0</v>
      </c>
      <c r="Q202" s="98" t="n">
        <v>0</v>
      </c>
    </row>
    <row r="203">
      <c r="A203" t="inlineStr">
        <is>
          <t>2024-10</t>
        </is>
      </c>
      <c r="B203" t="inlineStr">
        <is>
          <t>Oktober</t>
        </is>
      </c>
      <c r="C203" t="n">
        <v>10</v>
      </c>
      <c r="D203" t="inlineStr">
        <is>
          <t>T3</t>
        </is>
      </c>
      <c r="E203" t="inlineStr">
        <is>
          <t>Gjenstående budsjett</t>
        </is>
      </c>
      <c r="F203" t="inlineStr">
        <is>
          <t>Kommunal Boenhet</t>
        </is>
      </c>
      <c r="G203" t="n">
        <v>254</v>
      </c>
      <c r="H203" t="inlineStr">
        <is>
          <t>Helse og mestring</t>
        </is>
      </c>
      <c r="I203" t="inlineStr">
        <is>
          <t>1 Lønn</t>
        </is>
      </c>
      <c r="J203" t="inlineStr">
        <is>
          <t>10 Lønn</t>
        </is>
      </c>
      <c r="K203" t="n">
        <v>1030</v>
      </c>
      <c r="L203" t="n">
        <v>103031</v>
      </c>
      <c r="M203" t="inlineStr">
        <is>
          <t>Ekstrahjelp - kvelds- og nattillegg</t>
        </is>
      </c>
      <c r="N203" s="98" t="n">
        <v>0</v>
      </c>
      <c r="O203" s="98" t="n">
        <v>0</v>
      </c>
      <c r="P203" s="98" t="n">
        <v>0</v>
      </c>
      <c r="Q203" s="98" t="n">
        <v>0</v>
      </c>
    </row>
    <row r="204">
      <c r="A204" t="inlineStr">
        <is>
          <t>2024-11</t>
        </is>
      </c>
      <c r="B204" t="inlineStr">
        <is>
          <t>November</t>
        </is>
      </c>
      <c r="C204" t="n">
        <v>11</v>
      </c>
      <c r="D204" t="inlineStr">
        <is>
          <t>T3</t>
        </is>
      </c>
      <c r="E204" t="inlineStr">
        <is>
          <t>Gjenstående budsjett</t>
        </is>
      </c>
      <c r="F204" t="inlineStr">
        <is>
          <t>Kommunal Boenhet</t>
        </is>
      </c>
      <c r="G204" t="n">
        <v>254</v>
      </c>
      <c r="H204" t="inlineStr">
        <is>
          <t>Helse og mestring</t>
        </is>
      </c>
      <c r="I204" t="inlineStr">
        <is>
          <t>1 Lønn</t>
        </is>
      </c>
      <c r="J204" t="inlineStr">
        <is>
          <t>10 Lønn</t>
        </is>
      </c>
      <c r="K204" t="n">
        <v>1030</v>
      </c>
      <c r="L204" t="n">
        <v>103031</v>
      </c>
      <c r="M204" t="inlineStr">
        <is>
          <t>Ekstrahjelp - kvelds- og nattillegg</t>
        </is>
      </c>
      <c r="N204" s="98" t="n">
        <v>0</v>
      </c>
      <c r="O204" s="98" t="n">
        <v>0</v>
      </c>
      <c r="P204" s="98" t="n">
        <v>0</v>
      </c>
      <c r="Q204" s="98" t="n">
        <v>0</v>
      </c>
    </row>
    <row r="205">
      <c r="A205" t="inlineStr">
        <is>
          <t>2024-12</t>
        </is>
      </c>
      <c r="B205" t="inlineStr">
        <is>
          <t>Desember</t>
        </is>
      </c>
      <c r="C205" t="n">
        <v>12</v>
      </c>
      <c r="D205" t="inlineStr">
        <is>
          <t>T3</t>
        </is>
      </c>
      <c r="E205" t="inlineStr">
        <is>
          <t>Gjenstående budsjett</t>
        </is>
      </c>
      <c r="F205" t="inlineStr">
        <is>
          <t>Kommunal Boenhet</t>
        </is>
      </c>
      <c r="G205" t="n">
        <v>254</v>
      </c>
      <c r="H205" t="inlineStr">
        <is>
          <t>Helse og mestring</t>
        </is>
      </c>
      <c r="I205" t="inlineStr">
        <is>
          <t>1 Lønn</t>
        </is>
      </c>
      <c r="J205" t="inlineStr">
        <is>
          <t>10 Lønn</t>
        </is>
      </c>
      <c r="K205" t="n">
        <v>1030</v>
      </c>
      <c r="L205" t="n">
        <v>103031</v>
      </c>
      <c r="M205" t="inlineStr">
        <is>
          <t>Ekstrahjelp - kvelds- og nattillegg</t>
        </is>
      </c>
      <c r="N205" s="98" t="n">
        <v>0</v>
      </c>
      <c r="O205" s="98" t="n">
        <v>0</v>
      </c>
      <c r="P205" s="98" t="n">
        <v>0</v>
      </c>
      <c r="Q205" s="98" t="n">
        <v>0</v>
      </c>
    </row>
    <row r="206">
      <c r="A206" t="inlineStr">
        <is>
          <t>2024-01</t>
        </is>
      </c>
      <c r="B206" t="inlineStr">
        <is>
          <t>Januar</t>
        </is>
      </c>
      <c r="C206" t="n">
        <v>1</v>
      </c>
      <c r="D206" t="inlineStr">
        <is>
          <t>T1</t>
        </is>
      </c>
      <c r="E206" t="inlineStr">
        <is>
          <t>Bokført</t>
        </is>
      </c>
      <c r="F206" t="inlineStr">
        <is>
          <t>Kommunal Boenhet</t>
        </is>
      </c>
      <c r="G206" t="n">
        <v>254</v>
      </c>
      <c r="H206" t="inlineStr">
        <is>
          <t>Helse og mestring</t>
        </is>
      </c>
      <c r="I206" t="inlineStr">
        <is>
          <t>1 Lønn</t>
        </is>
      </c>
      <c r="J206" t="inlineStr">
        <is>
          <t>10 Lønn</t>
        </is>
      </c>
      <c r="K206" t="n">
        <v>1030</v>
      </c>
      <c r="L206" t="n">
        <v>103032</v>
      </c>
      <c r="M206" t="inlineStr">
        <is>
          <t>Ekstrahjelp - helligdagstillegg</t>
        </is>
      </c>
      <c r="N206" s="98" t="n">
        <v>0</v>
      </c>
      <c r="O206" s="98" t="n">
        <v>0</v>
      </c>
      <c r="P206" s="98" t="n">
        <v>0</v>
      </c>
      <c r="Q206" s="98" t="n">
        <v>0</v>
      </c>
    </row>
    <row r="207">
      <c r="A207" t="inlineStr">
        <is>
          <t>2024-02</t>
        </is>
      </c>
      <c r="B207" t="inlineStr">
        <is>
          <t>Februar</t>
        </is>
      </c>
      <c r="C207" t="n">
        <v>2</v>
      </c>
      <c r="D207" t="inlineStr">
        <is>
          <t>T1</t>
        </is>
      </c>
      <c r="E207" t="inlineStr">
        <is>
          <t>Bokført</t>
        </is>
      </c>
      <c r="F207" t="inlineStr">
        <is>
          <t>Kommunal Boenhet</t>
        </is>
      </c>
      <c r="G207" t="n">
        <v>254</v>
      </c>
      <c r="H207" t="inlineStr">
        <is>
          <t>Helse og mestring</t>
        </is>
      </c>
      <c r="I207" t="inlineStr">
        <is>
          <t>1 Lønn</t>
        </is>
      </c>
      <c r="J207" t="inlineStr">
        <is>
          <t>10 Lønn</t>
        </is>
      </c>
      <c r="K207" t="n">
        <v>1030</v>
      </c>
      <c r="L207" t="n">
        <v>103032</v>
      </c>
      <c r="M207" t="inlineStr">
        <is>
          <t>Ekstrahjelp - helligdagstillegg</t>
        </is>
      </c>
      <c r="N207" s="98" t="n">
        <v>0</v>
      </c>
      <c r="O207" s="98" t="n">
        <v>1708.4</v>
      </c>
      <c r="P207" s="98" t="n">
        <v>-1708.4</v>
      </c>
      <c r="Q207" s="98" t="n">
        <v>1708.4</v>
      </c>
    </row>
    <row r="208">
      <c r="A208" t="inlineStr">
        <is>
          <t>2024-03</t>
        </is>
      </c>
      <c r="B208" t="inlineStr">
        <is>
          <t>Mars</t>
        </is>
      </c>
      <c r="C208" t="n">
        <v>3</v>
      </c>
      <c r="D208" t="inlineStr">
        <is>
          <t>T1</t>
        </is>
      </c>
      <c r="E208" t="inlineStr">
        <is>
          <t>Bokført</t>
        </is>
      </c>
      <c r="F208" t="inlineStr">
        <is>
          <t>Kommunal Boenhet</t>
        </is>
      </c>
      <c r="G208" t="n">
        <v>254</v>
      </c>
      <c r="H208" t="inlineStr">
        <is>
          <t>Helse og mestring</t>
        </is>
      </c>
      <c r="I208" t="inlineStr">
        <is>
          <t>1 Lønn</t>
        </is>
      </c>
      <c r="J208" t="inlineStr">
        <is>
          <t>10 Lønn</t>
        </is>
      </c>
      <c r="K208" t="n">
        <v>1030</v>
      </c>
      <c r="L208" t="n">
        <v>103032</v>
      </c>
      <c r="M208" t="inlineStr">
        <is>
          <t>Ekstrahjelp - helligdagstillegg</t>
        </is>
      </c>
      <c r="N208" s="98" t="n">
        <v>0</v>
      </c>
      <c r="O208" s="98" t="n">
        <v>0</v>
      </c>
      <c r="P208" s="98" t="n">
        <v>0</v>
      </c>
      <c r="Q208" s="98" t="n">
        <v>0</v>
      </c>
    </row>
    <row r="209">
      <c r="A209" t="inlineStr">
        <is>
          <t>2024-04</t>
        </is>
      </c>
      <c r="B209" t="inlineStr">
        <is>
          <t>April</t>
        </is>
      </c>
      <c r="C209" t="n">
        <v>4</v>
      </c>
      <c r="D209" t="inlineStr">
        <is>
          <t>T1</t>
        </is>
      </c>
      <c r="E209" t="inlineStr">
        <is>
          <t>Bokført</t>
        </is>
      </c>
      <c r="F209" t="inlineStr">
        <is>
          <t>Kommunal Boenhet</t>
        </is>
      </c>
      <c r="G209" t="n">
        <v>254</v>
      </c>
      <c r="H209" t="inlineStr">
        <is>
          <t>Helse og mestring</t>
        </is>
      </c>
      <c r="I209" t="inlineStr">
        <is>
          <t>1 Lønn</t>
        </is>
      </c>
      <c r="J209" t="inlineStr">
        <is>
          <t>10 Lønn</t>
        </is>
      </c>
      <c r="K209" t="n">
        <v>1030</v>
      </c>
      <c r="L209" t="n">
        <v>103032</v>
      </c>
      <c r="M209" t="inlineStr">
        <is>
          <t>Ekstrahjelp - helligdagstillegg</t>
        </is>
      </c>
      <c r="N209" s="98" t="n">
        <v>0</v>
      </c>
      <c r="O209" s="98" t="n">
        <v>0</v>
      </c>
      <c r="P209" s="98" t="n">
        <v>0</v>
      </c>
      <c r="Q209" s="98" t="n">
        <v>0</v>
      </c>
    </row>
    <row r="210">
      <c r="A210" t="inlineStr">
        <is>
          <t>2024-05</t>
        </is>
      </c>
      <c r="B210" t="inlineStr">
        <is>
          <t>Mai</t>
        </is>
      </c>
      <c r="C210" t="n">
        <v>5</v>
      </c>
      <c r="D210" t="inlineStr">
        <is>
          <t>T2</t>
        </is>
      </c>
      <c r="E210" t="inlineStr">
        <is>
          <t>Bokført</t>
        </is>
      </c>
      <c r="F210" t="inlineStr">
        <is>
          <t>Kommunal Boenhet</t>
        </is>
      </c>
      <c r="G210" t="n">
        <v>254</v>
      </c>
      <c r="H210" t="inlineStr">
        <is>
          <t>Helse og mestring</t>
        </is>
      </c>
      <c r="I210" t="inlineStr">
        <is>
          <t>1 Lønn</t>
        </is>
      </c>
      <c r="J210" t="inlineStr">
        <is>
          <t>10 Lønn</t>
        </is>
      </c>
      <c r="K210" t="n">
        <v>1030</v>
      </c>
      <c r="L210" t="n">
        <v>103032</v>
      </c>
      <c r="M210" t="inlineStr">
        <is>
          <t>Ekstrahjelp - helligdagstillegg</t>
        </is>
      </c>
      <c r="N210" s="98" t="n">
        <v>0</v>
      </c>
      <c r="O210" s="98" t="n">
        <v>0</v>
      </c>
      <c r="P210" s="98" t="n">
        <v>0</v>
      </c>
      <c r="Q210" s="98" t="n">
        <v>0</v>
      </c>
    </row>
    <row r="211">
      <c r="A211" t="inlineStr">
        <is>
          <t>2024-06</t>
        </is>
      </c>
      <c r="B211" t="inlineStr">
        <is>
          <t>Juni</t>
        </is>
      </c>
      <c r="C211" t="n">
        <v>6</v>
      </c>
      <c r="D211" t="inlineStr">
        <is>
          <t>T2</t>
        </is>
      </c>
      <c r="E211" t="inlineStr">
        <is>
          <t>Bokført</t>
        </is>
      </c>
      <c r="F211" t="inlineStr">
        <is>
          <t>Kommunal Boenhet</t>
        </is>
      </c>
      <c r="G211" t="n">
        <v>254</v>
      </c>
      <c r="H211" t="inlineStr">
        <is>
          <t>Helse og mestring</t>
        </is>
      </c>
      <c r="I211" t="inlineStr">
        <is>
          <t>1 Lønn</t>
        </is>
      </c>
      <c r="J211" t="inlineStr">
        <is>
          <t>10 Lønn</t>
        </is>
      </c>
      <c r="K211" t="n">
        <v>1030</v>
      </c>
      <c r="L211" t="n">
        <v>103032</v>
      </c>
      <c r="M211" t="inlineStr">
        <is>
          <t>Ekstrahjelp - helligdagstillegg</t>
        </is>
      </c>
      <c r="N211" s="98" t="n">
        <v>0</v>
      </c>
      <c r="O211" s="98" t="n">
        <v>4900.9</v>
      </c>
      <c r="P211" s="98" t="n">
        <v>-4900.9</v>
      </c>
      <c r="Q211" s="98" t="n">
        <v>4900.9</v>
      </c>
    </row>
    <row r="212">
      <c r="A212" t="inlineStr">
        <is>
          <t>2024-07</t>
        </is>
      </c>
      <c r="B212" t="inlineStr">
        <is>
          <t>Juli</t>
        </is>
      </c>
      <c r="C212" t="n">
        <v>7</v>
      </c>
      <c r="D212" t="inlineStr">
        <is>
          <t>T2</t>
        </is>
      </c>
      <c r="E212" t="inlineStr">
        <is>
          <t>Bokført</t>
        </is>
      </c>
      <c r="F212" t="inlineStr">
        <is>
          <t>Kommunal Boenhet</t>
        </is>
      </c>
      <c r="G212" t="n">
        <v>254</v>
      </c>
      <c r="H212" t="inlineStr">
        <is>
          <t>Helse og mestring</t>
        </is>
      </c>
      <c r="I212" t="inlineStr">
        <is>
          <t>1 Lønn</t>
        </is>
      </c>
      <c r="J212" t="inlineStr">
        <is>
          <t>10 Lønn</t>
        </is>
      </c>
      <c r="K212" t="n">
        <v>1030</v>
      </c>
      <c r="L212" t="n">
        <v>103032</v>
      </c>
      <c r="M212" t="inlineStr">
        <is>
          <t>Ekstrahjelp - helligdagstillegg</t>
        </is>
      </c>
      <c r="N212" s="98" t="n">
        <v>0</v>
      </c>
      <c r="O212" s="98" t="n">
        <v>0</v>
      </c>
      <c r="P212" s="98" t="n">
        <v>0</v>
      </c>
      <c r="Q212" s="98" t="n">
        <v>0</v>
      </c>
    </row>
    <row r="213">
      <c r="A213" t="inlineStr">
        <is>
          <t>2024-08</t>
        </is>
      </c>
      <c r="B213" t="inlineStr">
        <is>
          <t>August</t>
        </is>
      </c>
      <c r="C213" t="n">
        <v>8</v>
      </c>
      <c r="D213" t="inlineStr">
        <is>
          <t>T2</t>
        </is>
      </c>
      <c r="E213" t="inlineStr">
        <is>
          <t>Bokført</t>
        </is>
      </c>
      <c r="F213" t="inlineStr">
        <is>
          <t>Kommunal Boenhet</t>
        </is>
      </c>
      <c r="G213" t="n">
        <v>254</v>
      </c>
      <c r="H213" t="inlineStr">
        <is>
          <t>Helse og mestring</t>
        </is>
      </c>
      <c r="I213" t="inlineStr">
        <is>
          <t>1 Lønn</t>
        </is>
      </c>
      <c r="J213" t="inlineStr">
        <is>
          <t>10 Lønn</t>
        </is>
      </c>
      <c r="K213" t="n">
        <v>1030</v>
      </c>
      <c r="L213" t="n">
        <v>103032</v>
      </c>
      <c r="M213" t="inlineStr">
        <is>
          <t>Ekstrahjelp - helligdagstillegg</t>
        </is>
      </c>
      <c r="N213" s="98" t="n">
        <v>0</v>
      </c>
      <c r="O213" s="98" t="n">
        <v>0</v>
      </c>
      <c r="P213" s="98" t="n">
        <v>0</v>
      </c>
      <c r="Q213" s="98" t="n">
        <v>0</v>
      </c>
    </row>
    <row r="214">
      <c r="A214" t="inlineStr">
        <is>
          <t>2024-09</t>
        </is>
      </c>
      <c r="B214" t="inlineStr">
        <is>
          <t>September</t>
        </is>
      </c>
      <c r="C214" t="n">
        <v>9</v>
      </c>
      <c r="D214" t="inlineStr">
        <is>
          <t>T3</t>
        </is>
      </c>
      <c r="E214" t="inlineStr">
        <is>
          <t>Gjenstående budsjett</t>
        </is>
      </c>
      <c r="F214" t="inlineStr">
        <is>
          <t>Kommunal Boenhet</t>
        </is>
      </c>
      <c r="G214" t="n">
        <v>254</v>
      </c>
      <c r="H214" t="inlineStr">
        <is>
          <t>Helse og mestring</t>
        </is>
      </c>
      <c r="I214" t="inlineStr">
        <is>
          <t>1 Lønn</t>
        </is>
      </c>
      <c r="J214" t="inlineStr">
        <is>
          <t>10 Lønn</t>
        </is>
      </c>
      <c r="K214" t="n">
        <v>1030</v>
      </c>
      <c r="L214" t="n">
        <v>103032</v>
      </c>
      <c r="M214" t="inlineStr">
        <is>
          <t>Ekstrahjelp - helligdagstillegg</t>
        </is>
      </c>
      <c r="N214" s="98" t="n">
        <v>0</v>
      </c>
      <c r="O214" s="98" t="n">
        <v>0</v>
      </c>
      <c r="P214" s="98" t="n">
        <v>0</v>
      </c>
      <c r="Q214" s="98" t="n">
        <v>0</v>
      </c>
    </row>
    <row r="215">
      <c r="A215" t="inlineStr">
        <is>
          <t>2024-10</t>
        </is>
      </c>
      <c r="B215" t="inlineStr">
        <is>
          <t>Oktober</t>
        </is>
      </c>
      <c r="C215" t="n">
        <v>10</v>
      </c>
      <c r="D215" t="inlineStr">
        <is>
          <t>T3</t>
        </is>
      </c>
      <c r="E215" t="inlineStr">
        <is>
          <t>Gjenstående budsjett</t>
        </is>
      </c>
      <c r="F215" t="inlineStr">
        <is>
          <t>Kommunal Boenhet</t>
        </is>
      </c>
      <c r="G215" t="n">
        <v>254</v>
      </c>
      <c r="H215" t="inlineStr">
        <is>
          <t>Helse og mestring</t>
        </is>
      </c>
      <c r="I215" t="inlineStr">
        <is>
          <t>1 Lønn</t>
        </is>
      </c>
      <c r="J215" t="inlineStr">
        <is>
          <t>10 Lønn</t>
        </is>
      </c>
      <c r="K215" t="n">
        <v>1030</v>
      </c>
      <c r="L215" t="n">
        <v>103032</v>
      </c>
      <c r="M215" t="inlineStr">
        <is>
          <t>Ekstrahjelp - helligdagstillegg</t>
        </is>
      </c>
      <c r="N215" s="98" t="n">
        <v>0</v>
      </c>
      <c r="O215" s="98" t="n">
        <v>0</v>
      </c>
      <c r="P215" s="98" t="n">
        <v>0</v>
      </c>
      <c r="Q215" s="98" t="n">
        <v>0</v>
      </c>
    </row>
    <row r="216">
      <c r="A216" t="inlineStr">
        <is>
          <t>2024-11</t>
        </is>
      </c>
      <c r="B216" t="inlineStr">
        <is>
          <t>November</t>
        </is>
      </c>
      <c r="C216" t="n">
        <v>11</v>
      </c>
      <c r="D216" t="inlineStr">
        <is>
          <t>T3</t>
        </is>
      </c>
      <c r="E216" t="inlineStr">
        <is>
          <t>Gjenstående budsjett</t>
        </is>
      </c>
      <c r="F216" t="inlineStr">
        <is>
          <t>Kommunal Boenhet</t>
        </is>
      </c>
      <c r="G216" t="n">
        <v>254</v>
      </c>
      <c r="H216" t="inlineStr">
        <is>
          <t>Helse og mestring</t>
        </is>
      </c>
      <c r="I216" t="inlineStr">
        <is>
          <t>1 Lønn</t>
        </is>
      </c>
      <c r="J216" t="inlineStr">
        <is>
          <t>10 Lønn</t>
        </is>
      </c>
      <c r="K216" t="n">
        <v>1030</v>
      </c>
      <c r="L216" t="n">
        <v>103032</v>
      </c>
      <c r="M216" t="inlineStr">
        <is>
          <t>Ekstrahjelp - helligdagstillegg</t>
        </is>
      </c>
      <c r="N216" s="98" t="n">
        <v>0</v>
      </c>
      <c r="O216" s="98" t="n">
        <v>0</v>
      </c>
      <c r="P216" s="98" t="n">
        <v>0</v>
      </c>
      <c r="Q216" s="98" t="n">
        <v>0</v>
      </c>
    </row>
    <row r="217">
      <c r="A217" t="inlineStr">
        <is>
          <t>2024-12</t>
        </is>
      </c>
      <c r="B217" t="inlineStr">
        <is>
          <t>Desember</t>
        </is>
      </c>
      <c r="C217" t="n">
        <v>12</v>
      </c>
      <c r="D217" t="inlineStr">
        <is>
          <t>T3</t>
        </is>
      </c>
      <c r="E217" t="inlineStr">
        <is>
          <t>Gjenstående budsjett</t>
        </is>
      </c>
      <c r="F217" t="inlineStr">
        <is>
          <t>Kommunal Boenhet</t>
        </is>
      </c>
      <c r="G217" t="n">
        <v>254</v>
      </c>
      <c r="H217" t="inlineStr">
        <is>
          <t>Helse og mestring</t>
        </is>
      </c>
      <c r="I217" t="inlineStr">
        <is>
          <t>1 Lønn</t>
        </is>
      </c>
      <c r="J217" t="inlineStr">
        <is>
          <t>10 Lønn</t>
        </is>
      </c>
      <c r="K217" t="n">
        <v>1030</v>
      </c>
      <c r="L217" t="n">
        <v>103032</v>
      </c>
      <c r="M217" t="inlineStr">
        <is>
          <t>Ekstrahjelp - helligdagstillegg</t>
        </is>
      </c>
      <c r="N217" s="98" t="n">
        <v>0</v>
      </c>
      <c r="O217" s="98" t="n">
        <v>0</v>
      </c>
      <c r="P217" s="98" t="n">
        <v>0</v>
      </c>
      <c r="Q217" s="98" t="n">
        <v>0</v>
      </c>
    </row>
    <row r="218">
      <c r="A218" t="inlineStr">
        <is>
          <t>2024-01</t>
        </is>
      </c>
      <c r="B218" t="inlineStr">
        <is>
          <t>Januar</t>
        </is>
      </c>
      <c r="C218" t="n">
        <v>1</v>
      </c>
      <c r="D218" t="inlineStr">
        <is>
          <t>T1</t>
        </is>
      </c>
      <c r="E218" t="inlineStr">
        <is>
          <t>Bokført</t>
        </is>
      </c>
      <c r="F218" t="inlineStr">
        <is>
          <t>Kommunal Boenhet</t>
        </is>
      </c>
      <c r="G218" t="n">
        <v>254</v>
      </c>
      <c r="H218" t="inlineStr">
        <is>
          <t>Helse og mestring</t>
        </is>
      </c>
      <c r="I218" t="inlineStr">
        <is>
          <t>1 Lønn</t>
        </is>
      </c>
      <c r="J218" t="inlineStr">
        <is>
          <t>10 Lønn</t>
        </is>
      </c>
      <c r="K218" t="n">
        <v>1030</v>
      </c>
      <c r="L218" t="n">
        <v>103040</v>
      </c>
      <c r="M218" t="inlineStr">
        <is>
          <t>Engasjementer / midlertidige stillinger</t>
        </is>
      </c>
      <c r="N218" s="98" t="n">
        <v>0</v>
      </c>
      <c r="O218" s="98" t="n">
        <v>0</v>
      </c>
      <c r="P218" s="98" t="n">
        <v>0</v>
      </c>
      <c r="Q218" s="98" t="n">
        <v>0</v>
      </c>
    </row>
    <row r="219">
      <c r="A219" t="inlineStr">
        <is>
          <t>2024-02</t>
        </is>
      </c>
      <c r="B219" t="inlineStr">
        <is>
          <t>Februar</t>
        </is>
      </c>
      <c r="C219" t="n">
        <v>2</v>
      </c>
      <c r="D219" t="inlineStr">
        <is>
          <t>T1</t>
        </is>
      </c>
      <c r="E219" t="inlineStr">
        <is>
          <t>Bokført</t>
        </is>
      </c>
      <c r="F219" t="inlineStr">
        <is>
          <t>Kommunal Boenhet</t>
        </is>
      </c>
      <c r="G219" t="n">
        <v>254</v>
      </c>
      <c r="H219" t="inlineStr">
        <is>
          <t>Helse og mestring</t>
        </is>
      </c>
      <c r="I219" t="inlineStr">
        <is>
          <t>1 Lønn</t>
        </is>
      </c>
      <c r="J219" t="inlineStr">
        <is>
          <t>10 Lønn</t>
        </is>
      </c>
      <c r="K219" t="n">
        <v>1030</v>
      </c>
      <c r="L219" t="n">
        <v>103040</v>
      </c>
      <c r="M219" t="inlineStr">
        <is>
          <t>Engasjementer / midlertidige stillinger</t>
        </is>
      </c>
      <c r="N219" s="98" t="n">
        <v>0</v>
      </c>
      <c r="O219" s="98" t="n">
        <v>0</v>
      </c>
      <c r="P219" s="98" t="n">
        <v>0</v>
      </c>
      <c r="Q219" s="98" t="n">
        <v>0</v>
      </c>
    </row>
    <row r="220">
      <c r="A220" t="inlineStr">
        <is>
          <t>2024-03</t>
        </is>
      </c>
      <c r="B220" t="inlineStr">
        <is>
          <t>Mars</t>
        </is>
      </c>
      <c r="C220" t="n">
        <v>3</v>
      </c>
      <c r="D220" t="inlineStr">
        <is>
          <t>T1</t>
        </is>
      </c>
      <c r="E220" t="inlineStr">
        <is>
          <t>Bokført</t>
        </is>
      </c>
      <c r="F220" t="inlineStr">
        <is>
          <t>Kommunal Boenhet</t>
        </is>
      </c>
      <c r="G220" t="n">
        <v>254</v>
      </c>
      <c r="H220" t="inlineStr">
        <is>
          <t>Helse og mestring</t>
        </is>
      </c>
      <c r="I220" t="inlineStr">
        <is>
          <t>1 Lønn</t>
        </is>
      </c>
      <c r="J220" t="inlineStr">
        <is>
          <t>10 Lønn</t>
        </is>
      </c>
      <c r="K220" t="n">
        <v>1030</v>
      </c>
      <c r="L220" t="n">
        <v>103040</v>
      </c>
      <c r="M220" t="inlineStr">
        <is>
          <t>Engasjementer / midlertidige stillinger</t>
        </is>
      </c>
      <c r="N220" s="98" t="n">
        <v>0</v>
      </c>
      <c r="O220" s="98" t="n">
        <v>19282.89</v>
      </c>
      <c r="P220" s="98" t="n">
        <v>-19282.89</v>
      </c>
      <c r="Q220" s="98" t="n">
        <v>19282.89</v>
      </c>
    </row>
    <row r="221">
      <c r="A221" t="inlineStr">
        <is>
          <t>2024-04</t>
        </is>
      </c>
      <c r="B221" t="inlineStr">
        <is>
          <t>April</t>
        </is>
      </c>
      <c r="C221" t="n">
        <v>4</v>
      </c>
      <c r="D221" t="inlineStr">
        <is>
          <t>T1</t>
        </is>
      </c>
      <c r="E221" t="inlineStr">
        <is>
          <t>Bokført</t>
        </is>
      </c>
      <c r="F221" t="inlineStr">
        <is>
          <t>Kommunal Boenhet</t>
        </is>
      </c>
      <c r="G221" t="n">
        <v>254</v>
      </c>
      <c r="H221" t="inlineStr">
        <is>
          <t>Helse og mestring</t>
        </is>
      </c>
      <c r="I221" t="inlineStr">
        <is>
          <t>1 Lønn</t>
        </is>
      </c>
      <c r="J221" t="inlineStr">
        <is>
          <t>10 Lønn</t>
        </is>
      </c>
      <c r="K221" t="n">
        <v>1030</v>
      </c>
      <c r="L221" t="n">
        <v>103040</v>
      </c>
      <c r="M221" t="inlineStr">
        <is>
          <t>Engasjementer / midlertidige stillinger</t>
        </is>
      </c>
      <c r="N221" s="98" t="n">
        <v>0</v>
      </c>
      <c r="O221" s="98" t="n">
        <v>0</v>
      </c>
      <c r="P221" s="98" t="n">
        <v>0</v>
      </c>
      <c r="Q221" s="98" t="n">
        <v>0</v>
      </c>
    </row>
    <row r="222">
      <c r="A222" t="inlineStr">
        <is>
          <t>2024-05</t>
        </is>
      </c>
      <c r="B222" t="inlineStr">
        <is>
          <t>Mai</t>
        </is>
      </c>
      <c r="C222" t="n">
        <v>5</v>
      </c>
      <c r="D222" t="inlineStr">
        <is>
          <t>T2</t>
        </is>
      </c>
      <c r="E222" t="inlineStr">
        <is>
          <t>Bokført</t>
        </is>
      </c>
      <c r="F222" t="inlineStr">
        <is>
          <t>Kommunal Boenhet</t>
        </is>
      </c>
      <c r="G222" t="n">
        <v>254</v>
      </c>
      <c r="H222" t="inlineStr">
        <is>
          <t>Helse og mestring</t>
        </is>
      </c>
      <c r="I222" t="inlineStr">
        <is>
          <t>1 Lønn</t>
        </is>
      </c>
      <c r="J222" t="inlineStr">
        <is>
          <t>10 Lønn</t>
        </is>
      </c>
      <c r="K222" t="n">
        <v>1030</v>
      </c>
      <c r="L222" t="n">
        <v>103040</v>
      </c>
      <c r="M222" t="inlineStr">
        <is>
          <t>Engasjementer / midlertidige stillinger</t>
        </is>
      </c>
      <c r="N222" s="98" t="n">
        <v>0</v>
      </c>
      <c r="O222" s="98" t="n">
        <v>0</v>
      </c>
      <c r="P222" s="98" t="n">
        <v>0</v>
      </c>
      <c r="Q222" s="98" t="n">
        <v>0</v>
      </c>
    </row>
    <row r="223">
      <c r="A223" t="inlineStr">
        <is>
          <t>2024-06</t>
        </is>
      </c>
      <c r="B223" t="inlineStr">
        <is>
          <t>Juni</t>
        </is>
      </c>
      <c r="C223" t="n">
        <v>6</v>
      </c>
      <c r="D223" t="inlineStr">
        <is>
          <t>T2</t>
        </is>
      </c>
      <c r="E223" t="inlineStr">
        <is>
          <t>Bokført</t>
        </is>
      </c>
      <c r="F223" t="inlineStr">
        <is>
          <t>Kommunal Boenhet</t>
        </is>
      </c>
      <c r="G223" t="n">
        <v>254</v>
      </c>
      <c r="H223" t="inlineStr">
        <is>
          <t>Helse og mestring</t>
        </is>
      </c>
      <c r="I223" t="inlineStr">
        <is>
          <t>1 Lønn</t>
        </is>
      </c>
      <c r="J223" t="inlineStr">
        <is>
          <t>10 Lønn</t>
        </is>
      </c>
      <c r="K223" t="n">
        <v>1030</v>
      </c>
      <c r="L223" t="n">
        <v>103040</v>
      </c>
      <c r="M223" t="inlineStr">
        <is>
          <t>Engasjementer / midlertidige stillinger</t>
        </is>
      </c>
      <c r="N223" s="98" t="n">
        <v>0</v>
      </c>
      <c r="O223" s="98" t="n">
        <v>0</v>
      </c>
      <c r="P223" s="98" t="n">
        <v>0</v>
      </c>
      <c r="Q223" s="98" t="n">
        <v>0</v>
      </c>
    </row>
    <row r="224">
      <c r="A224" t="inlineStr">
        <is>
          <t>2024-07</t>
        </is>
      </c>
      <c r="B224" t="inlineStr">
        <is>
          <t>Juli</t>
        </is>
      </c>
      <c r="C224" t="n">
        <v>7</v>
      </c>
      <c r="D224" t="inlineStr">
        <is>
          <t>T2</t>
        </is>
      </c>
      <c r="E224" t="inlineStr">
        <is>
          <t>Bokført</t>
        </is>
      </c>
      <c r="F224" t="inlineStr">
        <is>
          <t>Kommunal Boenhet</t>
        </is>
      </c>
      <c r="G224" t="n">
        <v>254</v>
      </c>
      <c r="H224" t="inlineStr">
        <is>
          <t>Helse og mestring</t>
        </is>
      </c>
      <c r="I224" t="inlineStr">
        <is>
          <t>1 Lønn</t>
        </is>
      </c>
      <c r="J224" t="inlineStr">
        <is>
          <t>10 Lønn</t>
        </is>
      </c>
      <c r="K224" t="n">
        <v>1030</v>
      </c>
      <c r="L224" t="n">
        <v>103040</v>
      </c>
      <c r="M224" t="inlineStr">
        <is>
          <t>Engasjementer / midlertidige stillinger</t>
        </is>
      </c>
      <c r="N224" s="98" t="n">
        <v>0</v>
      </c>
      <c r="O224" s="98" t="n">
        <v>0</v>
      </c>
      <c r="P224" s="98" t="n">
        <v>0</v>
      </c>
      <c r="Q224" s="98" t="n">
        <v>0</v>
      </c>
    </row>
    <row r="225">
      <c r="A225" t="inlineStr">
        <is>
          <t>2024-08</t>
        </is>
      </c>
      <c r="B225" t="inlineStr">
        <is>
          <t>August</t>
        </is>
      </c>
      <c r="C225" t="n">
        <v>8</v>
      </c>
      <c r="D225" t="inlineStr">
        <is>
          <t>T2</t>
        </is>
      </c>
      <c r="E225" t="inlineStr">
        <is>
          <t>Bokført</t>
        </is>
      </c>
      <c r="F225" t="inlineStr">
        <is>
          <t>Kommunal Boenhet</t>
        </is>
      </c>
      <c r="G225" t="n">
        <v>254</v>
      </c>
      <c r="H225" t="inlineStr">
        <is>
          <t>Helse og mestring</t>
        </is>
      </c>
      <c r="I225" t="inlineStr">
        <is>
          <t>1 Lønn</t>
        </is>
      </c>
      <c r="J225" t="inlineStr">
        <is>
          <t>10 Lønn</t>
        </is>
      </c>
      <c r="K225" t="n">
        <v>1030</v>
      </c>
      <c r="L225" t="n">
        <v>103040</v>
      </c>
      <c r="M225" t="inlineStr">
        <is>
          <t>Engasjementer / midlertidige stillinger</t>
        </is>
      </c>
      <c r="N225" s="98" t="n">
        <v>0</v>
      </c>
      <c r="O225" s="98" t="n">
        <v>0</v>
      </c>
      <c r="P225" s="98" t="n">
        <v>0</v>
      </c>
      <c r="Q225" s="98" t="n">
        <v>0</v>
      </c>
    </row>
    <row r="226">
      <c r="A226" t="inlineStr">
        <is>
          <t>2024-09</t>
        </is>
      </c>
      <c r="B226" t="inlineStr">
        <is>
          <t>September</t>
        </is>
      </c>
      <c r="C226" t="n">
        <v>9</v>
      </c>
      <c r="D226" t="inlineStr">
        <is>
          <t>T3</t>
        </is>
      </c>
      <c r="E226" t="inlineStr">
        <is>
          <t>Gjenstående budsjett</t>
        </is>
      </c>
      <c r="F226" t="inlineStr">
        <is>
          <t>Kommunal Boenhet</t>
        </is>
      </c>
      <c r="G226" t="n">
        <v>254</v>
      </c>
      <c r="H226" t="inlineStr">
        <is>
          <t>Helse og mestring</t>
        </is>
      </c>
      <c r="I226" t="inlineStr">
        <is>
          <t>1 Lønn</t>
        </is>
      </c>
      <c r="J226" t="inlineStr">
        <is>
          <t>10 Lønn</t>
        </is>
      </c>
      <c r="K226" t="n">
        <v>1030</v>
      </c>
      <c r="L226" t="n">
        <v>103040</v>
      </c>
      <c r="M226" t="inlineStr">
        <is>
          <t>Engasjementer / midlertidige stillinger</t>
        </is>
      </c>
      <c r="N226" s="98" t="n">
        <v>0</v>
      </c>
      <c r="O226" s="98" t="n">
        <v>0</v>
      </c>
      <c r="P226" s="98" t="n">
        <v>0</v>
      </c>
      <c r="Q226" s="98" t="n">
        <v>0</v>
      </c>
    </row>
    <row r="227">
      <c r="A227" t="inlineStr">
        <is>
          <t>2024-10</t>
        </is>
      </c>
      <c r="B227" t="inlineStr">
        <is>
          <t>Oktober</t>
        </is>
      </c>
      <c r="C227" t="n">
        <v>10</v>
      </c>
      <c r="D227" t="inlineStr">
        <is>
          <t>T3</t>
        </is>
      </c>
      <c r="E227" t="inlineStr">
        <is>
          <t>Gjenstående budsjett</t>
        </is>
      </c>
      <c r="F227" t="inlineStr">
        <is>
          <t>Kommunal Boenhet</t>
        </is>
      </c>
      <c r="G227" t="n">
        <v>254</v>
      </c>
      <c r="H227" t="inlineStr">
        <is>
          <t>Helse og mestring</t>
        </is>
      </c>
      <c r="I227" t="inlineStr">
        <is>
          <t>1 Lønn</t>
        </is>
      </c>
      <c r="J227" t="inlineStr">
        <is>
          <t>10 Lønn</t>
        </is>
      </c>
      <c r="K227" t="n">
        <v>1030</v>
      </c>
      <c r="L227" t="n">
        <v>103040</v>
      </c>
      <c r="M227" t="inlineStr">
        <is>
          <t>Engasjementer / midlertidige stillinger</t>
        </is>
      </c>
      <c r="N227" s="98" t="n">
        <v>0</v>
      </c>
      <c r="O227" s="98" t="n">
        <v>0</v>
      </c>
      <c r="P227" s="98" t="n">
        <v>0</v>
      </c>
      <c r="Q227" s="98" t="n">
        <v>0</v>
      </c>
    </row>
    <row r="228">
      <c r="A228" t="inlineStr">
        <is>
          <t>2024-11</t>
        </is>
      </c>
      <c r="B228" t="inlineStr">
        <is>
          <t>November</t>
        </is>
      </c>
      <c r="C228" t="n">
        <v>11</v>
      </c>
      <c r="D228" t="inlineStr">
        <is>
          <t>T3</t>
        </is>
      </c>
      <c r="E228" t="inlineStr">
        <is>
          <t>Gjenstående budsjett</t>
        </is>
      </c>
      <c r="F228" t="inlineStr">
        <is>
          <t>Kommunal Boenhet</t>
        </is>
      </c>
      <c r="G228" t="n">
        <v>254</v>
      </c>
      <c r="H228" t="inlineStr">
        <is>
          <t>Helse og mestring</t>
        </is>
      </c>
      <c r="I228" t="inlineStr">
        <is>
          <t>1 Lønn</t>
        </is>
      </c>
      <c r="J228" t="inlineStr">
        <is>
          <t>10 Lønn</t>
        </is>
      </c>
      <c r="K228" t="n">
        <v>1030</v>
      </c>
      <c r="L228" t="n">
        <v>103040</v>
      </c>
      <c r="M228" t="inlineStr">
        <is>
          <t>Engasjementer / midlertidige stillinger</t>
        </is>
      </c>
      <c r="N228" s="98" t="n">
        <v>0</v>
      </c>
      <c r="O228" s="98" t="n">
        <v>0</v>
      </c>
      <c r="P228" s="98" t="n">
        <v>0</v>
      </c>
      <c r="Q228" s="98" t="n">
        <v>0</v>
      </c>
    </row>
    <row r="229">
      <c r="A229" t="inlineStr">
        <is>
          <t>2024-12</t>
        </is>
      </c>
      <c r="B229" t="inlineStr">
        <is>
          <t>Desember</t>
        </is>
      </c>
      <c r="C229" t="n">
        <v>12</v>
      </c>
      <c r="D229" t="inlineStr">
        <is>
          <t>T3</t>
        </is>
      </c>
      <c r="E229" t="inlineStr">
        <is>
          <t>Gjenstående budsjett</t>
        </is>
      </c>
      <c r="F229" t="inlineStr">
        <is>
          <t>Kommunal Boenhet</t>
        </is>
      </c>
      <c r="G229" t="n">
        <v>254</v>
      </c>
      <c r="H229" t="inlineStr">
        <is>
          <t>Helse og mestring</t>
        </is>
      </c>
      <c r="I229" t="inlineStr">
        <is>
          <t>1 Lønn</t>
        </is>
      </c>
      <c r="J229" t="inlineStr">
        <is>
          <t>10 Lønn</t>
        </is>
      </c>
      <c r="K229" t="n">
        <v>1030</v>
      </c>
      <c r="L229" t="n">
        <v>103040</v>
      </c>
      <c r="M229" t="inlineStr">
        <is>
          <t>Engasjementer / midlertidige stillinger</t>
        </is>
      </c>
      <c r="N229" s="98" t="n">
        <v>0</v>
      </c>
      <c r="O229" s="98" t="n">
        <v>0</v>
      </c>
      <c r="P229" s="98" t="n">
        <v>0</v>
      </c>
      <c r="Q229" s="98" t="n">
        <v>0</v>
      </c>
    </row>
    <row r="230">
      <c r="A230" t="inlineStr">
        <is>
          <t>2024-01</t>
        </is>
      </c>
      <c r="B230" t="inlineStr">
        <is>
          <t>Januar</t>
        </is>
      </c>
      <c r="C230" t="n">
        <v>1</v>
      </c>
      <c r="D230" t="inlineStr">
        <is>
          <t>T1</t>
        </is>
      </c>
      <c r="E230" t="inlineStr">
        <is>
          <t>Bokført</t>
        </is>
      </c>
      <c r="F230" t="inlineStr">
        <is>
          <t>Kommunal Boenhet</t>
        </is>
      </c>
      <c r="G230" t="n">
        <v>254</v>
      </c>
      <c r="H230" t="inlineStr">
        <is>
          <t>Helse og mestring</t>
        </is>
      </c>
      <c r="I230" t="inlineStr">
        <is>
          <t>1 Lønn</t>
        </is>
      </c>
      <c r="J230" t="inlineStr">
        <is>
          <t>10 Lønn</t>
        </is>
      </c>
      <c r="K230" t="n">
        <v>1030</v>
      </c>
      <c r="L230" t="n">
        <v>103050</v>
      </c>
      <c r="M230" t="inlineStr">
        <is>
          <t>Sommer- og sesonghjelp</t>
        </is>
      </c>
      <c r="N230" s="98" t="n">
        <v>0</v>
      </c>
      <c r="O230" s="98" t="n">
        <v>0</v>
      </c>
      <c r="P230" s="98" t="n">
        <v>0</v>
      </c>
      <c r="Q230" s="98" t="n">
        <v>0</v>
      </c>
    </row>
    <row r="231">
      <c r="A231" t="inlineStr">
        <is>
          <t>2024-02</t>
        </is>
      </c>
      <c r="B231" t="inlineStr">
        <is>
          <t>Februar</t>
        </is>
      </c>
      <c r="C231" t="n">
        <v>2</v>
      </c>
      <c r="D231" t="inlineStr">
        <is>
          <t>T1</t>
        </is>
      </c>
      <c r="E231" t="inlineStr">
        <is>
          <t>Bokført</t>
        </is>
      </c>
      <c r="F231" t="inlineStr">
        <is>
          <t>Kommunal Boenhet</t>
        </is>
      </c>
      <c r="G231" t="n">
        <v>254</v>
      </c>
      <c r="H231" t="inlineStr">
        <is>
          <t>Helse og mestring</t>
        </is>
      </c>
      <c r="I231" t="inlineStr">
        <is>
          <t>1 Lønn</t>
        </is>
      </c>
      <c r="J231" t="inlineStr">
        <is>
          <t>10 Lønn</t>
        </is>
      </c>
      <c r="K231" t="n">
        <v>1030</v>
      </c>
      <c r="L231" t="n">
        <v>103050</v>
      </c>
      <c r="M231" t="inlineStr">
        <is>
          <t>Sommer- og sesonghjelp</t>
        </is>
      </c>
      <c r="N231" s="98" t="n">
        <v>0</v>
      </c>
      <c r="O231" s="98" t="n">
        <v>0</v>
      </c>
      <c r="P231" s="98" t="n">
        <v>0</v>
      </c>
      <c r="Q231" s="98" t="n">
        <v>0</v>
      </c>
    </row>
    <row r="232">
      <c r="A232" t="inlineStr">
        <is>
          <t>2024-03</t>
        </is>
      </c>
      <c r="B232" t="inlineStr">
        <is>
          <t>Mars</t>
        </is>
      </c>
      <c r="C232" t="n">
        <v>3</v>
      </c>
      <c r="D232" t="inlineStr">
        <is>
          <t>T1</t>
        </is>
      </c>
      <c r="E232" t="inlineStr">
        <is>
          <t>Bokført</t>
        </is>
      </c>
      <c r="F232" t="inlineStr">
        <is>
          <t>Kommunal Boenhet</t>
        </is>
      </c>
      <c r="G232" t="n">
        <v>254</v>
      </c>
      <c r="H232" t="inlineStr">
        <is>
          <t>Helse og mestring</t>
        </is>
      </c>
      <c r="I232" t="inlineStr">
        <is>
          <t>1 Lønn</t>
        </is>
      </c>
      <c r="J232" t="inlineStr">
        <is>
          <t>10 Lønn</t>
        </is>
      </c>
      <c r="K232" t="n">
        <v>1030</v>
      </c>
      <c r="L232" t="n">
        <v>103050</v>
      </c>
      <c r="M232" t="inlineStr">
        <is>
          <t>Sommer- og sesonghjelp</t>
        </is>
      </c>
      <c r="N232" s="98" t="n">
        <v>0</v>
      </c>
      <c r="O232" s="98" t="n">
        <v>0</v>
      </c>
      <c r="P232" s="98" t="n">
        <v>0</v>
      </c>
      <c r="Q232" s="98" t="n">
        <v>0</v>
      </c>
    </row>
    <row r="233">
      <c r="A233" t="inlineStr">
        <is>
          <t>2024-04</t>
        </is>
      </c>
      <c r="B233" t="inlineStr">
        <is>
          <t>April</t>
        </is>
      </c>
      <c r="C233" t="n">
        <v>4</v>
      </c>
      <c r="D233" t="inlineStr">
        <is>
          <t>T1</t>
        </is>
      </c>
      <c r="E233" t="inlineStr">
        <is>
          <t>Bokført</t>
        </is>
      </c>
      <c r="F233" t="inlineStr">
        <is>
          <t>Kommunal Boenhet</t>
        </is>
      </c>
      <c r="G233" t="n">
        <v>254</v>
      </c>
      <c r="H233" t="inlineStr">
        <is>
          <t>Helse og mestring</t>
        </is>
      </c>
      <c r="I233" t="inlineStr">
        <is>
          <t>1 Lønn</t>
        </is>
      </c>
      <c r="J233" t="inlineStr">
        <is>
          <t>10 Lønn</t>
        </is>
      </c>
      <c r="K233" t="n">
        <v>1030</v>
      </c>
      <c r="L233" t="n">
        <v>103050</v>
      </c>
      <c r="M233" t="inlineStr">
        <is>
          <t>Sommer- og sesonghjelp</t>
        </is>
      </c>
      <c r="N233" s="98" t="n">
        <v>0</v>
      </c>
      <c r="O233" s="98" t="n">
        <v>0</v>
      </c>
      <c r="P233" s="98" t="n">
        <v>0</v>
      </c>
      <c r="Q233" s="98" t="n">
        <v>0</v>
      </c>
    </row>
    <row r="234">
      <c r="A234" t="inlineStr">
        <is>
          <t>2024-05</t>
        </is>
      </c>
      <c r="B234" t="inlineStr">
        <is>
          <t>Mai</t>
        </is>
      </c>
      <c r="C234" t="n">
        <v>5</v>
      </c>
      <c r="D234" t="inlineStr">
        <is>
          <t>T2</t>
        </is>
      </c>
      <c r="E234" t="inlineStr">
        <is>
          <t>Bokført</t>
        </is>
      </c>
      <c r="F234" t="inlineStr">
        <is>
          <t>Kommunal Boenhet</t>
        </is>
      </c>
      <c r="G234" t="n">
        <v>254</v>
      </c>
      <c r="H234" t="inlineStr">
        <is>
          <t>Helse og mestring</t>
        </is>
      </c>
      <c r="I234" t="inlineStr">
        <is>
          <t>1 Lønn</t>
        </is>
      </c>
      <c r="J234" t="inlineStr">
        <is>
          <t>10 Lønn</t>
        </is>
      </c>
      <c r="K234" t="n">
        <v>1030</v>
      </c>
      <c r="L234" t="n">
        <v>103050</v>
      </c>
      <c r="M234" t="inlineStr">
        <is>
          <t>Sommer- og sesonghjelp</t>
        </is>
      </c>
      <c r="N234" s="98" t="n">
        <v>0</v>
      </c>
      <c r="O234" s="98" t="n">
        <v>0</v>
      </c>
      <c r="P234" s="98" t="n">
        <v>0</v>
      </c>
      <c r="Q234" s="98" t="n">
        <v>0</v>
      </c>
    </row>
    <row r="235">
      <c r="A235" t="inlineStr">
        <is>
          <t>2024-06</t>
        </is>
      </c>
      <c r="B235" t="inlineStr">
        <is>
          <t>Juni</t>
        </is>
      </c>
      <c r="C235" t="n">
        <v>6</v>
      </c>
      <c r="D235" t="inlineStr">
        <is>
          <t>T2</t>
        </is>
      </c>
      <c r="E235" t="inlineStr">
        <is>
          <t>Bokført</t>
        </is>
      </c>
      <c r="F235" t="inlineStr">
        <is>
          <t>Kommunal Boenhet</t>
        </is>
      </c>
      <c r="G235" t="n">
        <v>254</v>
      </c>
      <c r="H235" t="inlineStr">
        <is>
          <t>Helse og mestring</t>
        </is>
      </c>
      <c r="I235" t="inlineStr">
        <is>
          <t>1 Lønn</t>
        </is>
      </c>
      <c r="J235" t="inlineStr">
        <is>
          <t>10 Lønn</t>
        </is>
      </c>
      <c r="K235" t="n">
        <v>1030</v>
      </c>
      <c r="L235" t="n">
        <v>103050</v>
      </c>
      <c r="M235" t="inlineStr">
        <is>
          <t>Sommer- og sesonghjelp</t>
        </is>
      </c>
      <c r="N235" s="98" t="n">
        <v>0</v>
      </c>
      <c r="O235" s="98" t="n">
        <v>0</v>
      </c>
      <c r="P235" s="98" t="n">
        <v>0</v>
      </c>
      <c r="Q235" s="98" t="n">
        <v>0</v>
      </c>
    </row>
    <row r="236">
      <c r="A236" t="inlineStr">
        <is>
          <t>2024-07</t>
        </is>
      </c>
      <c r="B236" t="inlineStr">
        <is>
          <t>Juli</t>
        </is>
      </c>
      <c r="C236" t="n">
        <v>7</v>
      </c>
      <c r="D236" t="inlineStr">
        <is>
          <t>T2</t>
        </is>
      </c>
      <c r="E236" t="inlineStr">
        <is>
          <t>Bokført</t>
        </is>
      </c>
      <c r="F236" t="inlineStr">
        <is>
          <t>Kommunal Boenhet</t>
        </is>
      </c>
      <c r="G236" t="n">
        <v>254</v>
      </c>
      <c r="H236" t="inlineStr">
        <is>
          <t>Helse og mestring</t>
        </is>
      </c>
      <c r="I236" t="inlineStr">
        <is>
          <t>1 Lønn</t>
        </is>
      </c>
      <c r="J236" t="inlineStr">
        <is>
          <t>10 Lønn</t>
        </is>
      </c>
      <c r="K236" t="n">
        <v>1030</v>
      </c>
      <c r="L236" t="n">
        <v>103050</v>
      </c>
      <c r="M236" t="inlineStr">
        <is>
          <t>Sommer- og sesonghjelp</t>
        </is>
      </c>
      <c r="N236" s="98" t="n">
        <v>0</v>
      </c>
      <c r="O236" s="98" t="n">
        <v>10175.6</v>
      </c>
      <c r="P236" s="98" t="n">
        <v>-10175.6</v>
      </c>
      <c r="Q236" s="98" t="n">
        <v>10175.6</v>
      </c>
    </row>
    <row r="237">
      <c r="A237" t="inlineStr">
        <is>
          <t>2024-08</t>
        </is>
      </c>
      <c r="B237" t="inlineStr">
        <is>
          <t>August</t>
        </is>
      </c>
      <c r="C237" t="n">
        <v>8</v>
      </c>
      <c r="D237" t="inlineStr">
        <is>
          <t>T2</t>
        </is>
      </c>
      <c r="E237" t="inlineStr">
        <is>
          <t>Bokført</t>
        </is>
      </c>
      <c r="F237" t="inlineStr">
        <is>
          <t>Kommunal Boenhet</t>
        </is>
      </c>
      <c r="G237" t="n">
        <v>254</v>
      </c>
      <c r="H237" t="inlineStr">
        <is>
          <t>Helse og mestring</t>
        </is>
      </c>
      <c r="I237" t="inlineStr">
        <is>
          <t>1 Lønn</t>
        </is>
      </c>
      <c r="J237" t="inlineStr">
        <is>
          <t>10 Lønn</t>
        </is>
      </c>
      <c r="K237" t="n">
        <v>1030</v>
      </c>
      <c r="L237" t="n">
        <v>103050</v>
      </c>
      <c r="M237" t="inlineStr">
        <is>
          <t>Sommer- og sesonghjelp</t>
        </is>
      </c>
      <c r="N237" s="98" t="n">
        <v>0</v>
      </c>
      <c r="O237" s="98" t="n">
        <v>19858.59</v>
      </c>
      <c r="P237" s="98" t="n">
        <v>-19858.59</v>
      </c>
      <c r="Q237" s="98" t="n">
        <v>19858.59</v>
      </c>
    </row>
    <row r="238">
      <c r="A238" t="inlineStr">
        <is>
          <t>2024-09</t>
        </is>
      </c>
      <c r="B238" t="inlineStr">
        <is>
          <t>September</t>
        </is>
      </c>
      <c r="C238" t="n">
        <v>9</v>
      </c>
      <c r="D238" t="inlineStr">
        <is>
          <t>T3</t>
        </is>
      </c>
      <c r="E238" t="inlineStr">
        <is>
          <t>Gjenstående budsjett</t>
        </is>
      </c>
      <c r="F238" t="inlineStr">
        <is>
          <t>Kommunal Boenhet</t>
        </is>
      </c>
      <c r="G238" t="n">
        <v>254</v>
      </c>
      <c r="H238" t="inlineStr">
        <is>
          <t>Helse og mestring</t>
        </is>
      </c>
      <c r="I238" t="inlineStr">
        <is>
          <t>1 Lønn</t>
        </is>
      </c>
      <c r="J238" t="inlineStr">
        <is>
          <t>10 Lønn</t>
        </is>
      </c>
      <c r="K238" t="n">
        <v>1030</v>
      </c>
      <c r="L238" t="n">
        <v>103050</v>
      </c>
      <c r="M238" t="inlineStr">
        <is>
          <t>Sommer- og sesonghjelp</t>
        </is>
      </c>
      <c r="N238" s="98" t="n">
        <v>0</v>
      </c>
      <c r="O238" s="98" t="n">
        <v>0</v>
      </c>
      <c r="P238" s="98" t="n">
        <v>0</v>
      </c>
      <c r="Q238" s="98" t="n">
        <v>0</v>
      </c>
    </row>
    <row r="239">
      <c r="A239" t="inlineStr">
        <is>
          <t>2024-10</t>
        </is>
      </c>
      <c r="B239" t="inlineStr">
        <is>
          <t>Oktober</t>
        </is>
      </c>
      <c r="C239" t="n">
        <v>10</v>
      </c>
      <c r="D239" t="inlineStr">
        <is>
          <t>T3</t>
        </is>
      </c>
      <c r="E239" t="inlineStr">
        <is>
          <t>Gjenstående budsjett</t>
        </is>
      </c>
      <c r="F239" t="inlineStr">
        <is>
          <t>Kommunal Boenhet</t>
        </is>
      </c>
      <c r="G239" t="n">
        <v>254</v>
      </c>
      <c r="H239" t="inlineStr">
        <is>
          <t>Helse og mestring</t>
        </is>
      </c>
      <c r="I239" t="inlineStr">
        <is>
          <t>1 Lønn</t>
        </is>
      </c>
      <c r="J239" t="inlineStr">
        <is>
          <t>10 Lønn</t>
        </is>
      </c>
      <c r="K239" t="n">
        <v>1030</v>
      </c>
      <c r="L239" t="n">
        <v>103050</v>
      </c>
      <c r="M239" t="inlineStr">
        <is>
          <t>Sommer- og sesonghjelp</t>
        </is>
      </c>
      <c r="N239" s="98" t="n">
        <v>0</v>
      </c>
      <c r="O239" s="98" t="n">
        <v>0</v>
      </c>
      <c r="P239" s="98" t="n">
        <v>0</v>
      </c>
      <c r="Q239" s="98" t="n">
        <v>0</v>
      </c>
    </row>
    <row r="240">
      <c r="A240" t="inlineStr">
        <is>
          <t>2024-11</t>
        </is>
      </c>
      <c r="B240" t="inlineStr">
        <is>
          <t>November</t>
        </is>
      </c>
      <c r="C240" t="n">
        <v>11</v>
      </c>
      <c r="D240" t="inlineStr">
        <is>
          <t>T3</t>
        </is>
      </c>
      <c r="E240" t="inlineStr">
        <is>
          <t>Gjenstående budsjett</t>
        </is>
      </c>
      <c r="F240" t="inlineStr">
        <is>
          <t>Kommunal Boenhet</t>
        </is>
      </c>
      <c r="G240" t="n">
        <v>254</v>
      </c>
      <c r="H240" t="inlineStr">
        <is>
          <t>Helse og mestring</t>
        </is>
      </c>
      <c r="I240" t="inlineStr">
        <is>
          <t>1 Lønn</t>
        </is>
      </c>
      <c r="J240" t="inlineStr">
        <is>
          <t>10 Lønn</t>
        </is>
      </c>
      <c r="K240" t="n">
        <v>1030</v>
      </c>
      <c r="L240" t="n">
        <v>103050</v>
      </c>
      <c r="M240" t="inlineStr">
        <is>
          <t>Sommer- og sesonghjelp</t>
        </is>
      </c>
      <c r="N240" s="98" t="n">
        <v>0</v>
      </c>
      <c r="O240" s="98" t="n">
        <v>0</v>
      </c>
      <c r="P240" s="98" t="n">
        <v>0</v>
      </c>
      <c r="Q240" s="98" t="n">
        <v>0</v>
      </c>
    </row>
    <row r="241">
      <c r="A241" t="inlineStr">
        <is>
          <t>2024-12</t>
        </is>
      </c>
      <c r="B241" t="inlineStr">
        <is>
          <t>Desember</t>
        </is>
      </c>
      <c r="C241" t="n">
        <v>12</v>
      </c>
      <c r="D241" t="inlineStr">
        <is>
          <t>T3</t>
        </is>
      </c>
      <c r="E241" t="inlineStr">
        <is>
          <t>Gjenstående budsjett</t>
        </is>
      </c>
      <c r="F241" t="inlineStr">
        <is>
          <t>Kommunal Boenhet</t>
        </is>
      </c>
      <c r="G241" t="n">
        <v>254</v>
      </c>
      <c r="H241" t="inlineStr">
        <is>
          <t>Helse og mestring</t>
        </is>
      </c>
      <c r="I241" t="inlineStr">
        <is>
          <t>1 Lønn</t>
        </is>
      </c>
      <c r="J241" t="inlineStr">
        <is>
          <t>10 Lønn</t>
        </is>
      </c>
      <c r="K241" t="n">
        <v>1030</v>
      </c>
      <c r="L241" t="n">
        <v>103050</v>
      </c>
      <c r="M241" t="inlineStr">
        <is>
          <t>Sommer- og sesonghjelp</t>
        </is>
      </c>
      <c r="N241" s="98" t="n">
        <v>0</v>
      </c>
      <c r="O241" s="98" t="n">
        <v>0</v>
      </c>
      <c r="P241" s="98" t="n">
        <v>0</v>
      </c>
      <c r="Q241" s="98" t="n">
        <v>0</v>
      </c>
    </row>
    <row r="242">
      <c r="A242" t="inlineStr">
        <is>
          <t>2024-01</t>
        </is>
      </c>
      <c r="B242" t="inlineStr">
        <is>
          <t>Januar</t>
        </is>
      </c>
      <c r="C242" t="n">
        <v>1</v>
      </c>
      <c r="D242" t="inlineStr">
        <is>
          <t>T1</t>
        </is>
      </c>
      <c r="E242" t="inlineStr">
        <is>
          <t>Bokført</t>
        </is>
      </c>
      <c r="F242" t="inlineStr">
        <is>
          <t>Kommunal Boenhet</t>
        </is>
      </c>
      <c r="G242" t="n">
        <v>254</v>
      </c>
      <c r="H242" t="inlineStr">
        <is>
          <t>Helse og mestring</t>
        </is>
      </c>
      <c r="I242" t="inlineStr">
        <is>
          <t>1 Lønn</t>
        </is>
      </c>
      <c r="J242" t="inlineStr">
        <is>
          <t>10 Lønn</t>
        </is>
      </c>
      <c r="K242" t="n">
        <v>1040</v>
      </c>
      <c r="L242" t="n">
        <v>104000</v>
      </c>
      <c r="M242" t="inlineStr">
        <is>
          <t>Overtidslønn</t>
        </is>
      </c>
      <c r="N242" s="98" t="n">
        <v>7063</v>
      </c>
      <c r="O242" s="98" t="n">
        <v>0</v>
      </c>
      <c r="P242" s="98" t="n">
        <v>7063</v>
      </c>
      <c r="Q242" s="98" t="n">
        <v>-7063</v>
      </c>
    </row>
    <row r="243">
      <c r="A243" t="inlineStr">
        <is>
          <t>2024-02</t>
        </is>
      </c>
      <c r="B243" t="inlineStr">
        <is>
          <t>Februar</t>
        </is>
      </c>
      <c r="C243" t="n">
        <v>2</v>
      </c>
      <c r="D243" t="inlineStr">
        <is>
          <t>T1</t>
        </is>
      </c>
      <c r="E243" t="inlineStr">
        <is>
          <t>Bokført</t>
        </is>
      </c>
      <c r="F243" t="inlineStr">
        <is>
          <t>Kommunal Boenhet</t>
        </is>
      </c>
      <c r="G243" t="n">
        <v>254</v>
      </c>
      <c r="H243" t="inlineStr">
        <is>
          <t>Helse og mestring</t>
        </is>
      </c>
      <c r="I243" t="inlineStr">
        <is>
          <t>1 Lønn</t>
        </is>
      </c>
      <c r="J243" t="inlineStr">
        <is>
          <t>10 Lønn</t>
        </is>
      </c>
      <c r="K243" t="n">
        <v>1040</v>
      </c>
      <c r="L243" t="n">
        <v>104000</v>
      </c>
      <c r="M243" t="inlineStr">
        <is>
          <t>Overtidslønn</t>
        </is>
      </c>
      <c r="N243" s="98" t="n">
        <v>7063</v>
      </c>
      <c r="O243" s="98" t="n">
        <v>103533.77</v>
      </c>
      <c r="P243" s="98" t="n">
        <v>-96470.77</v>
      </c>
      <c r="Q243" s="98" t="n">
        <v>96470.77</v>
      </c>
    </row>
    <row r="244">
      <c r="A244" t="inlineStr">
        <is>
          <t>2024-03</t>
        </is>
      </c>
      <c r="B244" t="inlineStr">
        <is>
          <t>Mars</t>
        </is>
      </c>
      <c r="C244" t="n">
        <v>3</v>
      </c>
      <c r="D244" t="inlineStr">
        <is>
          <t>T1</t>
        </is>
      </c>
      <c r="E244" t="inlineStr">
        <is>
          <t>Bokført</t>
        </is>
      </c>
      <c r="F244" t="inlineStr">
        <is>
          <t>Kommunal Boenhet</t>
        </is>
      </c>
      <c r="G244" t="n">
        <v>254</v>
      </c>
      <c r="H244" t="inlineStr">
        <is>
          <t>Helse og mestring</t>
        </is>
      </c>
      <c r="I244" t="inlineStr">
        <is>
          <t>1 Lønn</t>
        </is>
      </c>
      <c r="J244" t="inlineStr">
        <is>
          <t>10 Lønn</t>
        </is>
      </c>
      <c r="K244" t="n">
        <v>1040</v>
      </c>
      <c r="L244" t="n">
        <v>104000</v>
      </c>
      <c r="M244" t="inlineStr">
        <is>
          <t>Overtidslønn</t>
        </is>
      </c>
      <c r="N244" s="98" t="n">
        <v>7063</v>
      </c>
      <c r="O244" s="98" t="n">
        <v>66482.39999999999</v>
      </c>
      <c r="P244" s="98" t="n">
        <v>-59419.4</v>
      </c>
      <c r="Q244" s="98" t="n">
        <v>59419.4</v>
      </c>
    </row>
    <row r="245">
      <c r="A245" t="inlineStr">
        <is>
          <t>2024-04</t>
        </is>
      </c>
      <c r="B245" t="inlineStr">
        <is>
          <t>April</t>
        </is>
      </c>
      <c r="C245" t="n">
        <v>4</v>
      </c>
      <c r="D245" t="inlineStr">
        <is>
          <t>T1</t>
        </is>
      </c>
      <c r="E245" t="inlineStr">
        <is>
          <t>Bokført</t>
        </is>
      </c>
      <c r="F245" t="inlineStr">
        <is>
          <t>Kommunal Boenhet</t>
        </is>
      </c>
      <c r="G245" t="n">
        <v>254</v>
      </c>
      <c r="H245" t="inlineStr">
        <is>
          <t>Helse og mestring</t>
        </is>
      </c>
      <c r="I245" t="inlineStr">
        <is>
          <t>1 Lønn</t>
        </is>
      </c>
      <c r="J245" t="inlineStr">
        <is>
          <t>10 Lønn</t>
        </is>
      </c>
      <c r="K245" t="n">
        <v>1040</v>
      </c>
      <c r="L245" t="n">
        <v>104000</v>
      </c>
      <c r="M245" t="inlineStr">
        <is>
          <t>Overtidslønn</t>
        </is>
      </c>
      <c r="N245" s="98" t="n">
        <v>7063</v>
      </c>
      <c r="O245" s="98" t="n">
        <v>8461.82</v>
      </c>
      <c r="P245" s="98" t="n">
        <v>-1398.82</v>
      </c>
      <c r="Q245" s="98" t="n">
        <v>1398.82</v>
      </c>
    </row>
    <row r="246">
      <c r="A246" t="inlineStr">
        <is>
          <t>2024-05</t>
        </is>
      </c>
      <c r="B246" t="inlineStr">
        <is>
          <t>Mai</t>
        </is>
      </c>
      <c r="C246" t="n">
        <v>5</v>
      </c>
      <c r="D246" t="inlineStr">
        <is>
          <t>T2</t>
        </is>
      </c>
      <c r="E246" t="inlineStr">
        <is>
          <t>Bokført</t>
        </is>
      </c>
      <c r="F246" t="inlineStr">
        <is>
          <t>Kommunal Boenhet</t>
        </is>
      </c>
      <c r="G246" t="n">
        <v>254</v>
      </c>
      <c r="H246" t="inlineStr">
        <is>
          <t>Helse og mestring</t>
        </is>
      </c>
      <c r="I246" t="inlineStr">
        <is>
          <t>1 Lønn</t>
        </is>
      </c>
      <c r="J246" t="inlineStr">
        <is>
          <t>10 Lønn</t>
        </is>
      </c>
      <c r="K246" t="n">
        <v>1040</v>
      </c>
      <c r="L246" t="n">
        <v>104000</v>
      </c>
      <c r="M246" t="inlineStr">
        <is>
          <t>Overtidslønn</t>
        </is>
      </c>
      <c r="N246" s="98" t="n">
        <v>7063</v>
      </c>
      <c r="O246" s="98" t="n">
        <v>4272.71</v>
      </c>
      <c r="P246" s="98" t="n">
        <v>2790.29</v>
      </c>
      <c r="Q246" s="98" t="n">
        <v>-2790.29</v>
      </c>
    </row>
    <row r="247">
      <c r="A247" t="inlineStr">
        <is>
          <t>2024-06</t>
        </is>
      </c>
      <c r="B247" t="inlineStr">
        <is>
          <t>Juni</t>
        </is>
      </c>
      <c r="C247" t="n">
        <v>6</v>
      </c>
      <c r="D247" t="inlineStr">
        <is>
          <t>T2</t>
        </is>
      </c>
      <c r="E247" t="inlineStr">
        <is>
          <t>Bokført</t>
        </is>
      </c>
      <c r="F247" t="inlineStr">
        <is>
          <t>Kommunal Boenhet</t>
        </is>
      </c>
      <c r="G247" t="n">
        <v>254</v>
      </c>
      <c r="H247" t="inlineStr">
        <is>
          <t>Helse og mestring</t>
        </is>
      </c>
      <c r="I247" t="inlineStr">
        <is>
          <t>1 Lønn</t>
        </is>
      </c>
      <c r="J247" t="inlineStr">
        <is>
          <t>10 Lønn</t>
        </is>
      </c>
      <c r="K247" t="n">
        <v>1040</v>
      </c>
      <c r="L247" t="n">
        <v>104000</v>
      </c>
      <c r="M247" t="inlineStr">
        <is>
          <t>Overtidslønn</t>
        </is>
      </c>
      <c r="N247" s="98" t="n">
        <v>7063</v>
      </c>
      <c r="O247" s="98" t="n">
        <v>6065.63</v>
      </c>
      <c r="P247" s="98" t="n">
        <v>997.37</v>
      </c>
      <c r="Q247" s="98" t="n">
        <v>-997.37</v>
      </c>
    </row>
    <row r="248">
      <c r="A248" t="inlineStr">
        <is>
          <t>2024-07</t>
        </is>
      </c>
      <c r="B248" t="inlineStr">
        <is>
          <t>Juli</t>
        </is>
      </c>
      <c r="C248" t="n">
        <v>7</v>
      </c>
      <c r="D248" t="inlineStr">
        <is>
          <t>T2</t>
        </is>
      </c>
      <c r="E248" t="inlineStr">
        <is>
          <t>Bokført</t>
        </is>
      </c>
      <c r="F248" t="inlineStr">
        <is>
          <t>Kommunal Boenhet</t>
        </is>
      </c>
      <c r="G248" t="n">
        <v>254</v>
      </c>
      <c r="H248" t="inlineStr">
        <is>
          <t>Helse og mestring</t>
        </is>
      </c>
      <c r="I248" t="inlineStr">
        <is>
          <t>1 Lønn</t>
        </is>
      </c>
      <c r="J248" t="inlineStr">
        <is>
          <t>10 Lønn</t>
        </is>
      </c>
      <c r="K248" t="n">
        <v>1040</v>
      </c>
      <c r="L248" t="n">
        <v>104000</v>
      </c>
      <c r="M248" t="inlineStr">
        <is>
          <t>Overtidslønn</t>
        </is>
      </c>
      <c r="N248" s="98" t="n">
        <v>7063</v>
      </c>
      <c r="O248" s="98" t="n">
        <v>31970.72</v>
      </c>
      <c r="P248" s="98" t="n">
        <v>-24907.72</v>
      </c>
      <c r="Q248" s="98" t="n">
        <v>24907.72</v>
      </c>
    </row>
    <row r="249">
      <c r="A249" t="inlineStr">
        <is>
          <t>2024-08</t>
        </is>
      </c>
      <c r="B249" t="inlineStr">
        <is>
          <t>August</t>
        </is>
      </c>
      <c r="C249" t="n">
        <v>8</v>
      </c>
      <c r="D249" t="inlineStr">
        <is>
          <t>T2</t>
        </is>
      </c>
      <c r="E249" t="inlineStr">
        <is>
          <t>Bokført</t>
        </is>
      </c>
      <c r="F249" t="inlineStr">
        <is>
          <t>Kommunal Boenhet</t>
        </is>
      </c>
      <c r="G249" t="n">
        <v>254</v>
      </c>
      <c r="H249" t="inlineStr">
        <is>
          <t>Helse og mestring</t>
        </is>
      </c>
      <c r="I249" t="inlineStr">
        <is>
          <t>1 Lønn</t>
        </is>
      </c>
      <c r="J249" t="inlineStr">
        <is>
          <t>10 Lønn</t>
        </is>
      </c>
      <c r="K249" t="n">
        <v>1040</v>
      </c>
      <c r="L249" t="n">
        <v>104000</v>
      </c>
      <c r="M249" t="inlineStr">
        <is>
          <t>Overtidslønn</t>
        </is>
      </c>
      <c r="N249" s="98" t="n">
        <v>7063</v>
      </c>
      <c r="O249" s="98" t="n">
        <v>21288.8</v>
      </c>
      <c r="P249" s="98" t="n">
        <v>-14225.8</v>
      </c>
      <c r="Q249" s="98" t="n">
        <v>14225.8</v>
      </c>
    </row>
    <row r="250">
      <c r="A250" t="inlineStr">
        <is>
          <t>2024-09</t>
        </is>
      </c>
      <c r="B250" t="inlineStr">
        <is>
          <t>September</t>
        </is>
      </c>
      <c r="C250" t="n">
        <v>9</v>
      </c>
      <c r="D250" t="inlineStr">
        <is>
          <t>T3</t>
        </is>
      </c>
      <c r="E250" t="inlineStr">
        <is>
          <t>Gjenstående budsjett</t>
        </is>
      </c>
      <c r="F250" t="inlineStr">
        <is>
          <t>Kommunal Boenhet</t>
        </is>
      </c>
      <c r="G250" t="n">
        <v>254</v>
      </c>
      <c r="H250" t="inlineStr">
        <is>
          <t>Helse og mestring</t>
        </is>
      </c>
      <c r="I250" t="inlineStr">
        <is>
          <t>1 Lønn</t>
        </is>
      </c>
      <c r="J250" t="inlineStr">
        <is>
          <t>10 Lønn</t>
        </is>
      </c>
      <c r="K250" t="n">
        <v>1040</v>
      </c>
      <c r="L250" t="n">
        <v>104000</v>
      </c>
      <c r="M250" t="inlineStr">
        <is>
          <t>Overtidslønn</t>
        </is>
      </c>
      <c r="N250" s="98" t="n">
        <v>7063</v>
      </c>
      <c r="O250" s="98" t="n">
        <v>0</v>
      </c>
      <c r="P250" s="98" t="n">
        <v>0</v>
      </c>
      <c r="Q250" s="98" t="n">
        <v>-7063</v>
      </c>
    </row>
    <row r="251">
      <c r="A251" t="inlineStr">
        <is>
          <t>2024-10</t>
        </is>
      </c>
      <c r="B251" t="inlineStr">
        <is>
          <t>Oktober</t>
        </is>
      </c>
      <c r="C251" t="n">
        <v>10</v>
      </c>
      <c r="D251" t="inlineStr">
        <is>
          <t>T3</t>
        </is>
      </c>
      <c r="E251" t="inlineStr">
        <is>
          <t>Gjenstående budsjett</t>
        </is>
      </c>
      <c r="F251" t="inlineStr">
        <is>
          <t>Kommunal Boenhet</t>
        </is>
      </c>
      <c r="G251" t="n">
        <v>254</v>
      </c>
      <c r="H251" t="inlineStr">
        <is>
          <t>Helse og mestring</t>
        </is>
      </c>
      <c r="I251" t="inlineStr">
        <is>
          <t>1 Lønn</t>
        </is>
      </c>
      <c r="J251" t="inlineStr">
        <is>
          <t>10 Lønn</t>
        </is>
      </c>
      <c r="K251" t="n">
        <v>1040</v>
      </c>
      <c r="L251" t="n">
        <v>104000</v>
      </c>
      <c r="M251" t="inlineStr">
        <is>
          <t>Overtidslønn</t>
        </is>
      </c>
      <c r="N251" s="98" t="n">
        <v>7063</v>
      </c>
      <c r="O251" s="98" t="n">
        <v>0</v>
      </c>
      <c r="P251" s="98" t="n">
        <v>0</v>
      </c>
      <c r="Q251" s="98" t="n">
        <v>-7063</v>
      </c>
    </row>
    <row r="252">
      <c r="A252" t="inlineStr">
        <is>
          <t>2024-11</t>
        </is>
      </c>
      <c r="B252" t="inlineStr">
        <is>
          <t>November</t>
        </is>
      </c>
      <c r="C252" t="n">
        <v>11</v>
      </c>
      <c r="D252" t="inlineStr">
        <is>
          <t>T3</t>
        </is>
      </c>
      <c r="E252" t="inlineStr">
        <is>
          <t>Gjenstående budsjett</t>
        </is>
      </c>
      <c r="F252" t="inlineStr">
        <is>
          <t>Kommunal Boenhet</t>
        </is>
      </c>
      <c r="G252" t="n">
        <v>254</v>
      </c>
      <c r="H252" t="inlineStr">
        <is>
          <t>Helse og mestring</t>
        </is>
      </c>
      <c r="I252" t="inlineStr">
        <is>
          <t>1 Lønn</t>
        </is>
      </c>
      <c r="J252" t="inlineStr">
        <is>
          <t>10 Lønn</t>
        </is>
      </c>
      <c r="K252" t="n">
        <v>1040</v>
      </c>
      <c r="L252" t="n">
        <v>104000</v>
      </c>
      <c r="M252" t="inlineStr">
        <is>
          <t>Overtidslønn</t>
        </is>
      </c>
      <c r="N252" s="98" t="n">
        <v>7063</v>
      </c>
      <c r="O252" s="98" t="n">
        <v>0</v>
      </c>
      <c r="P252" s="98" t="n">
        <v>0</v>
      </c>
      <c r="Q252" s="98" t="n">
        <v>-7063</v>
      </c>
    </row>
    <row r="253">
      <c r="A253" t="inlineStr">
        <is>
          <t>2024-12</t>
        </is>
      </c>
      <c r="B253" t="inlineStr">
        <is>
          <t>Desember</t>
        </is>
      </c>
      <c r="C253" t="n">
        <v>12</v>
      </c>
      <c r="D253" t="inlineStr">
        <is>
          <t>T3</t>
        </is>
      </c>
      <c r="E253" t="inlineStr">
        <is>
          <t>Gjenstående budsjett</t>
        </is>
      </c>
      <c r="F253" t="inlineStr">
        <is>
          <t>Kommunal Boenhet</t>
        </is>
      </c>
      <c r="G253" t="n">
        <v>254</v>
      </c>
      <c r="H253" t="inlineStr">
        <is>
          <t>Helse og mestring</t>
        </is>
      </c>
      <c r="I253" t="inlineStr">
        <is>
          <t>1 Lønn</t>
        </is>
      </c>
      <c r="J253" t="inlineStr">
        <is>
          <t>10 Lønn</t>
        </is>
      </c>
      <c r="K253" t="n">
        <v>1040</v>
      </c>
      <c r="L253" t="n">
        <v>104000</v>
      </c>
      <c r="M253" t="inlineStr">
        <is>
          <t>Overtidslønn</t>
        </is>
      </c>
      <c r="N253" s="98" t="n">
        <v>7307</v>
      </c>
      <c r="O253" s="98" t="n">
        <v>0</v>
      </c>
      <c r="P253" s="98" t="n">
        <v>0</v>
      </c>
      <c r="Q253" s="98" t="n">
        <v>-7307</v>
      </c>
    </row>
    <row r="254">
      <c r="A254" t="inlineStr">
        <is>
          <t>2024-01</t>
        </is>
      </c>
      <c r="B254" t="inlineStr">
        <is>
          <t>Januar</t>
        </is>
      </c>
      <c r="C254" t="n">
        <v>1</v>
      </c>
      <c r="D254" t="inlineStr">
        <is>
          <t>T1</t>
        </is>
      </c>
      <c r="E254" t="inlineStr">
        <is>
          <t>Bokført</t>
        </is>
      </c>
      <c r="F254" t="inlineStr">
        <is>
          <t>Kommunal Boenhet</t>
        </is>
      </c>
      <c r="G254" t="n">
        <v>254</v>
      </c>
      <c r="H254" t="inlineStr">
        <is>
          <t>Helse og mestring</t>
        </is>
      </c>
      <c r="I254" t="inlineStr">
        <is>
          <t>1 Lønn</t>
        </is>
      </c>
      <c r="J254" t="inlineStr">
        <is>
          <t>10 Lønn</t>
        </is>
      </c>
      <c r="K254" t="n">
        <v>1050</v>
      </c>
      <c r="L254" t="n">
        <v>105000</v>
      </c>
      <c r="M254" t="inlineStr">
        <is>
          <t>Lærlinger</t>
        </is>
      </c>
      <c r="N254" s="98" t="n">
        <v>0</v>
      </c>
      <c r="O254" s="98" t="n">
        <v>0</v>
      </c>
      <c r="P254" s="98" t="n">
        <v>0</v>
      </c>
      <c r="Q254" s="98" t="n">
        <v>0</v>
      </c>
    </row>
    <row r="255">
      <c r="A255" t="inlineStr">
        <is>
          <t>2024-02</t>
        </is>
      </c>
      <c r="B255" t="inlineStr">
        <is>
          <t>Februar</t>
        </is>
      </c>
      <c r="C255" t="n">
        <v>2</v>
      </c>
      <c r="D255" t="inlineStr">
        <is>
          <t>T1</t>
        </is>
      </c>
      <c r="E255" t="inlineStr">
        <is>
          <t>Bokført</t>
        </is>
      </c>
      <c r="F255" t="inlineStr">
        <is>
          <t>Kommunal Boenhet</t>
        </is>
      </c>
      <c r="G255" t="n">
        <v>254</v>
      </c>
      <c r="H255" t="inlineStr">
        <is>
          <t>Helse og mestring</t>
        </is>
      </c>
      <c r="I255" t="inlineStr">
        <is>
          <t>1 Lønn</t>
        </is>
      </c>
      <c r="J255" t="inlineStr">
        <is>
          <t>10 Lønn</t>
        </is>
      </c>
      <c r="K255" t="n">
        <v>1050</v>
      </c>
      <c r="L255" t="n">
        <v>105000</v>
      </c>
      <c r="M255" t="inlineStr">
        <is>
          <t>Lærlinger</t>
        </is>
      </c>
      <c r="N255" s="98" t="n">
        <v>0</v>
      </c>
      <c r="O255" s="98" t="n">
        <v>0</v>
      </c>
      <c r="P255" s="98" t="n">
        <v>0</v>
      </c>
      <c r="Q255" s="98" t="n">
        <v>0</v>
      </c>
    </row>
    <row r="256">
      <c r="A256" t="inlineStr">
        <is>
          <t>2024-03</t>
        </is>
      </c>
      <c r="B256" t="inlineStr">
        <is>
          <t>Mars</t>
        </is>
      </c>
      <c r="C256" t="n">
        <v>3</v>
      </c>
      <c r="D256" t="inlineStr">
        <is>
          <t>T1</t>
        </is>
      </c>
      <c r="E256" t="inlineStr">
        <is>
          <t>Bokført</t>
        </is>
      </c>
      <c r="F256" t="inlineStr">
        <is>
          <t>Kommunal Boenhet</t>
        </is>
      </c>
      <c r="G256" t="n">
        <v>254</v>
      </c>
      <c r="H256" t="inlineStr">
        <is>
          <t>Helse og mestring</t>
        </is>
      </c>
      <c r="I256" t="inlineStr">
        <is>
          <t>1 Lønn</t>
        </is>
      </c>
      <c r="J256" t="inlineStr">
        <is>
          <t>10 Lønn</t>
        </is>
      </c>
      <c r="K256" t="n">
        <v>1050</v>
      </c>
      <c r="L256" t="n">
        <v>105000</v>
      </c>
      <c r="M256" t="inlineStr">
        <is>
          <t>Lærlinger</t>
        </is>
      </c>
      <c r="N256" s="98" t="n">
        <v>0</v>
      </c>
      <c r="O256" s="98" t="n">
        <v>8900.99</v>
      </c>
      <c r="P256" s="98" t="n">
        <v>-8900.99</v>
      </c>
      <c r="Q256" s="98" t="n">
        <v>8900.99</v>
      </c>
    </row>
    <row r="257">
      <c r="A257" t="inlineStr">
        <is>
          <t>2024-04</t>
        </is>
      </c>
      <c r="B257" t="inlineStr">
        <is>
          <t>April</t>
        </is>
      </c>
      <c r="C257" t="n">
        <v>4</v>
      </c>
      <c r="D257" t="inlineStr">
        <is>
          <t>T1</t>
        </is>
      </c>
      <c r="E257" t="inlineStr">
        <is>
          <t>Bokført</t>
        </is>
      </c>
      <c r="F257" t="inlineStr">
        <is>
          <t>Kommunal Boenhet</t>
        </is>
      </c>
      <c r="G257" t="n">
        <v>254</v>
      </c>
      <c r="H257" t="inlineStr">
        <is>
          <t>Helse og mestring</t>
        </is>
      </c>
      <c r="I257" t="inlineStr">
        <is>
          <t>1 Lønn</t>
        </is>
      </c>
      <c r="J257" t="inlineStr">
        <is>
          <t>10 Lønn</t>
        </is>
      </c>
      <c r="K257" t="n">
        <v>1050</v>
      </c>
      <c r="L257" t="n">
        <v>105000</v>
      </c>
      <c r="M257" t="inlineStr">
        <is>
          <t>Lærlinger</t>
        </is>
      </c>
      <c r="N257" s="98" t="n">
        <v>0</v>
      </c>
      <c r="O257" s="98" t="n">
        <v>14522.67</v>
      </c>
      <c r="P257" s="98" t="n">
        <v>-14522.67</v>
      </c>
      <c r="Q257" s="98" t="n">
        <v>14522.67</v>
      </c>
    </row>
    <row r="258">
      <c r="A258" t="inlineStr">
        <is>
          <t>2024-05</t>
        </is>
      </c>
      <c r="B258" t="inlineStr">
        <is>
          <t>Mai</t>
        </is>
      </c>
      <c r="C258" t="n">
        <v>5</v>
      </c>
      <c r="D258" t="inlineStr">
        <is>
          <t>T2</t>
        </is>
      </c>
      <c r="E258" t="inlineStr">
        <is>
          <t>Bokført</t>
        </is>
      </c>
      <c r="F258" t="inlineStr">
        <is>
          <t>Kommunal Boenhet</t>
        </is>
      </c>
      <c r="G258" t="n">
        <v>254</v>
      </c>
      <c r="H258" t="inlineStr">
        <is>
          <t>Helse og mestring</t>
        </is>
      </c>
      <c r="I258" t="inlineStr">
        <is>
          <t>1 Lønn</t>
        </is>
      </c>
      <c r="J258" t="inlineStr">
        <is>
          <t>10 Lønn</t>
        </is>
      </c>
      <c r="K258" t="n">
        <v>1050</v>
      </c>
      <c r="L258" t="n">
        <v>105000</v>
      </c>
      <c r="M258" t="inlineStr">
        <is>
          <t>Lærlinger</t>
        </is>
      </c>
      <c r="N258" s="98" t="n">
        <v>0</v>
      </c>
      <c r="O258" s="98" t="n">
        <v>14522.67</v>
      </c>
      <c r="P258" s="98" t="n">
        <v>-14522.67</v>
      </c>
      <c r="Q258" s="98" t="n">
        <v>14522.67</v>
      </c>
    </row>
    <row r="259">
      <c r="A259" t="inlineStr">
        <is>
          <t>2024-06</t>
        </is>
      </c>
      <c r="B259" t="inlineStr">
        <is>
          <t>Juni</t>
        </is>
      </c>
      <c r="C259" t="n">
        <v>6</v>
      </c>
      <c r="D259" t="inlineStr">
        <is>
          <t>T2</t>
        </is>
      </c>
      <c r="E259" t="inlineStr">
        <is>
          <t>Bokført</t>
        </is>
      </c>
      <c r="F259" t="inlineStr">
        <is>
          <t>Kommunal Boenhet</t>
        </is>
      </c>
      <c r="G259" t="n">
        <v>254</v>
      </c>
      <c r="H259" t="inlineStr">
        <is>
          <t>Helse og mestring</t>
        </is>
      </c>
      <c r="I259" t="inlineStr">
        <is>
          <t>1 Lønn</t>
        </is>
      </c>
      <c r="J259" t="inlineStr">
        <is>
          <t>10 Lønn</t>
        </is>
      </c>
      <c r="K259" t="n">
        <v>1050</v>
      </c>
      <c r="L259" t="n">
        <v>105000</v>
      </c>
      <c r="M259" t="inlineStr">
        <is>
          <t>Lærlinger</t>
        </is>
      </c>
      <c r="N259" s="98" t="n">
        <v>0</v>
      </c>
      <c r="O259" s="98" t="n">
        <v>-1403.44</v>
      </c>
      <c r="P259" s="98" t="n">
        <v>1403.44</v>
      </c>
      <c r="Q259" s="98" t="n">
        <v>-1403.44</v>
      </c>
    </row>
    <row r="260">
      <c r="A260" t="inlineStr">
        <is>
          <t>2024-07</t>
        </is>
      </c>
      <c r="B260" t="inlineStr">
        <is>
          <t>Juli</t>
        </is>
      </c>
      <c r="C260" t="n">
        <v>7</v>
      </c>
      <c r="D260" t="inlineStr">
        <is>
          <t>T2</t>
        </is>
      </c>
      <c r="E260" t="inlineStr">
        <is>
          <t>Bokført</t>
        </is>
      </c>
      <c r="F260" t="inlineStr">
        <is>
          <t>Kommunal Boenhet</t>
        </is>
      </c>
      <c r="G260" t="n">
        <v>254</v>
      </c>
      <c r="H260" t="inlineStr">
        <is>
          <t>Helse og mestring</t>
        </is>
      </c>
      <c r="I260" t="inlineStr">
        <is>
          <t>1 Lønn</t>
        </is>
      </c>
      <c r="J260" t="inlineStr">
        <is>
          <t>10 Lønn</t>
        </is>
      </c>
      <c r="K260" t="n">
        <v>1050</v>
      </c>
      <c r="L260" t="n">
        <v>105000</v>
      </c>
      <c r="M260" t="inlineStr">
        <is>
          <t>Lærlinger</t>
        </is>
      </c>
      <c r="N260" s="98" t="n">
        <v>0</v>
      </c>
      <c r="O260" s="98" t="n">
        <v>15504.53</v>
      </c>
      <c r="P260" s="98" t="n">
        <v>-15504.53</v>
      </c>
      <c r="Q260" s="98" t="n">
        <v>15504.53</v>
      </c>
    </row>
    <row r="261">
      <c r="A261" t="inlineStr">
        <is>
          <t>2024-08</t>
        </is>
      </c>
      <c r="B261" t="inlineStr">
        <is>
          <t>August</t>
        </is>
      </c>
      <c r="C261" t="n">
        <v>8</v>
      </c>
      <c r="D261" t="inlineStr">
        <is>
          <t>T2</t>
        </is>
      </c>
      <c r="E261" t="inlineStr">
        <is>
          <t>Bokført</t>
        </is>
      </c>
      <c r="F261" t="inlineStr">
        <is>
          <t>Kommunal Boenhet</t>
        </is>
      </c>
      <c r="G261" t="n">
        <v>254</v>
      </c>
      <c r="H261" t="inlineStr">
        <is>
          <t>Helse og mestring</t>
        </is>
      </c>
      <c r="I261" t="inlineStr">
        <is>
          <t>1 Lønn</t>
        </is>
      </c>
      <c r="J261" t="inlineStr">
        <is>
          <t>10 Lønn</t>
        </is>
      </c>
      <c r="K261" t="n">
        <v>1050</v>
      </c>
      <c r="L261" t="n">
        <v>105000</v>
      </c>
      <c r="M261" t="inlineStr">
        <is>
          <t>Lærlinger</t>
        </is>
      </c>
      <c r="N261" s="98" t="n">
        <v>0</v>
      </c>
      <c r="O261" s="98" t="n">
        <v>17630.16</v>
      </c>
      <c r="P261" s="98" t="n">
        <v>-17630.16</v>
      </c>
      <c r="Q261" s="98" t="n">
        <v>17630.16</v>
      </c>
    </row>
    <row r="262">
      <c r="A262" t="inlineStr">
        <is>
          <t>2024-09</t>
        </is>
      </c>
      <c r="B262" t="inlineStr">
        <is>
          <t>September</t>
        </is>
      </c>
      <c r="C262" t="n">
        <v>9</v>
      </c>
      <c r="D262" t="inlineStr">
        <is>
          <t>T3</t>
        </is>
      </c>
      <c r="E262" t="inlineStr">
        <is>
          <t>Gjenstående budsjett</t>
        </is>
      </c>
      <c r="F262" t="inlineStr">
        <is>
          <t>Kommunal Boenhet</t>
        </is>
      </c>
      <c r="G262" t="n">
        <v>254</v>
      </c>
      <c r="H262" t="inlineStr">
        <is>
          <t>Helse og mestring</t>
        </is>
      </c>
      <c r="I262" t="inlineStr">
        <is>
          <t>1 Lønn</t>
        </is>
      </c>
      <c r="J262" t="inlineStr">
        <is>
          <t>10 Lønn</t>
        </is>
      </c>
      <c r="K262" t="n">
        <v>1050</v>
      </c>
      <c r="L262" t="n">
        <v>105000</v>
      </c>
      <c r="M262" t="inlineStr">
        <is>
          <t>Lærlinger</t>
        </is>
      </c>
      <c r="N262" s="98" t="n">
        <v>0</v>
      </c>
      <c r="O262" s="98" t="n">
        <v>0</v>
      </c>
      <c r="P262" s="98" t="n">
        <v>0</v>
      </c>
      <c r="Q262" s="98" t="n">
        <v>0</v>
      </c>
    </row>
    <row r="263">
      <c r="A263" t="inlineStr">
        <is>
          <t>2024-10</t>
        </is>
      </c>
      <c r="B263" t="inlineStr">
        <is>
          <t>Oktober</t>
        </is>
      </c>
      <c r="C263" t="n">
        <v>10</v>
      </c>
      <c r="D263" t="inlineStr">
        <is>
          <t>T3</t>
        </is>
      </c>
      <c r="E263" t="inlineStr">
        <is>
          <t>Gjenstående budsjett</t>
        </is>
      </c>
      <c r="F263" t="inlineStr">
        <is>
          <t>Kommunal Boenhet</t>
        </is>
      </c>
      <c r="G263" t="n">
        <v>254</v>
      </c>
      <c r="H263" t="inlineStr">
        <is>
          <t>Helse og mestring</t>
        </is>
      </c>
      <c r="I263" t="inlineStr">
        <is>
          <t>1 Lønn</t>
        </is>
      </c>
      <c r="J263" t="inlineStr">
        <is>
          <t>10 Lønn</t>
        </is>
      </c>
      <c r="K263" t="n">
        <v>1050</v>
      </c>
      <c r="L263" t="n">
        <v>105000</v>
      </c>
      <c r="M263" t="inlineStr">
        <is>
          <t>Lærlinger</t>
        </is>
      </c>
      <c r="N263" s="98" t="n">
        <v>0</v>
      </c>
      <c r="O263" s="98" t="n">
        <v>0</v>
      </c>
      <c r="P263" s="98" t="n">
        <v>0</v>
      </c>
      <c r="Q263" s="98" t="n">
        <v>0</v>
      </c>
    </row>
    <row r="264">
      <c r="A264" t="inlineStr">
        <is>
          <t>2024-11</t>
        </is>
      </c>
      <c r="B264" t="inlineStr">
        <is>
          <t>November</t>
        </is>
      </c>
      <c r="C264" t="n">
        <v>11</v>
      </c>
      <c r="D264" t="inlineStr">
        <is>
          <t>T3</t>
        </is>
      </c>
      <c r="E264" t="inlineStr">
        <is>
          <t>Gjenstående budsjett</t>
        </is>
      </c>
      <c r="F264" t="inlineStr">
        <is>
          <t>Kommunal Boenhet</t>
        </is>
      </c>
      <c r="G264" t="n">
        <v>254</v>
      </c>
      <c r="H264" t="inlineStr">
        <is>
          <t>Helse og mestring</t>
        </is>
      </c>
      <c r="I264" t="inlineStr">
        <is>
          <t>1 Lønn</t>
        </is>
      </c>
      <c r="J264" t="inlineStr">
        <is>
          <t>10 Lønn</t>
        </is>
      </c>
      <c r="K264" t="n">
        <v>1050</v>
      </c>
      <c r="L264" t="n">
        <v>105000</v>
      </c>
      <c r="M264" t="inlineStr">
        <is>
          <t>Lærlinger</t>
        </is>
      </c>
      <c r="N264" s="98" t="n">
        <v>0</v>
      </c>
      <c r="O264" s="98" t="n">
        <v>0</v>
      </c>
      <c r="P264" s="98" t="n">
        <v>0</v>
      </c>
      <c r="Q264" s="98" t="n">
        <v>0</v>
      </c>
    </row>
    <row r="265">
      <c r="A265" t="inlineStr">
        <is>
          <t>2024-12</t>
        </is>
      </c>
      <c r="B265" t="inlineStr">
        <is>
          <t>Desember</t>
        </is>
      </c>
      <c r="C265" t="n">
        <v>12</v>
      </c>
      <c r="D265" t="inlineStr">
        <is>
          <t>T3</t>
        </is>
      </c>
      <c r="E265" t="inlineStr">
        <is>
          <t>Gjenstående budsjett</t>
        </is>
      </c>
      <c r="F265" t="inlineStr">
        <is>
          <t>Kommunal Boenhet</t>
        </is>
      </c>
      <c r="G265" t="n">
        <v>254</v>
      </c>
      <c r="H265" t="inlineStr">
        <is>
          <t>Helse og mestring</t>
        </is>
      </c>
      <c r="I265" t="inlineStr">
        <is>
          <t>1 Lønn</t>
        </is>
      </c>
      <c r="J265" t="inlineStr">
        <is>
          <t>10 Lønn</t>
        </is>
      </c>
      <c r="K265" t="n">
        <v>1050</v>
      </c>
      <c r="L265" t="n">
        <v>105000</v>
      </c>
      <c r="M265" t="inlineStr">
        <is>
          <t>Lærlinger</t>
        </is>
      </c>
      <c r="N265" s="98" t="n">
        <v>0</v>
      </c>
      <c r="O265" s="98" t="n">
        <v>0</v>
      </c>
      <c r="P265" s="98" t="n">
        <v>0</v>
      </c>
      <c r="Q265" s="98" t="n">
        <v>0</v>
      </c>
    </row>
    <row r="266">
      <c r="A266" t="inlineStr">
        <is>
          <t>2024-01</t>
        </is>
      </c>
      <c r="B266" t="inlineStr">
        <is>
          <t>Januar</t>
        </is>
      </c>
      <c r="C266" t="n">
        <v>1</v>
      </c>
      <c r="D266" t="inlineStr">
        <is>
          <t>T1</t>
        </is>
      </c>
      <c r="E266" t="inlineStr">
        <is>
          <t>Bokført</t>
        </is>
      </c>
      <c r="F266" t="inlineStr">
        <is>
          <t>Kommunal Boenhet</t>
        </is>
      </c>
      <c r="G266" t="n">
        <v>254</v>
      </c>
      <c r="H266" t="inlineStr">
        <is>
          <t>Helse og mestring</t>
        </is>
      </c>
      <c r="I266" t="inlineStr">
        <is>
          <t>1 Lønn</t>
        </is>
      </c>
      <c r="J266" t="inlineStr">
        <is>
          <t>10 Lønn</t>
        </is>
      </c>
      <c r="K266" t="n">
        <v>1050</v>
      </c>
      <c r="L266" t="n">
        <v>105042</v>
      </c>
      <c r="M266" t="inlineStr">
        <is>
          <t>Lønn utrykning</t>
        </is>
      </c>
      <c r="N266" s="98" t="n">
        <v>0</v>
      </c>
      <c r="O266" s="98" t="n">
        <v>0</v>
      </c>
      <c r="P266" s="98" t="n">
        <v>0</v>
      </c>
      <c r="Q266" s="98" t="n">
        <v>0</v>
      </c>
    </row>
    <row r="267">
      <c r="A267" t="inlineStr">
        <is>
          <t>2024-02</t>
        </is>
      </c>
      <c r="B267" t="inlineStr">
        <is>
          <t>Februar</t>
        </is>
      </c>
      <c r="C267" t="n">
        <v>2</v>
      </c>
      <c r="D267" t="inlineStr">
        <is>
          <t>T1</t>
        </is>
      </c>
      <c r="E267" t="inlineStr">
        <is>
          <t>Bokført</t>
        </is>
      </c>
      <c r="F267" t="inlineStr">
        <is>
          <t>Kommunal Boenhet</t>
        </is>
      </c>
      <c r="G267" t="n">
        <v>254</v>
      </c>
      <c r="H267" t="inlineStr">
        <is>
          <t>Helse og mestring</t>
        </is>
      </c>
      <c r="I267" t="inlineStr">
        <is>
          <t>1 Lønn</t>
        </is>
      </c>
      <c r="J267" t="inlineStr">
        <is>
          <t>10 Lønn</t>
        </is>
      </c>
      <c r="K267" t="n">
        <v>1050</v>
      </c>
      <c r="L267" t="n">
        <v>105042</v>
      </c>
      <c r="M267" t="inlineStr">
        <is>
          <t>Lønn utrykning</t>
        </is>
      </c>
      <c r="N267" s="98" t="n">
        <v>0</v>
      </c>
      <c r="O267" s="98" t="n">
        <v>0</v>
      </c>
      <c r="P267" s="98" t="n">
        <v>0</v>
      </c>
      <c r="Q267" s="98" t="n">
        <v>0</v>
      </c>
    </row>
    <row r="268">
      <c r="A268" t="inlineStr">
        <is>
          <t>2024-03</t>
        </is>
      </c>
      <c r="B268" t="inlineStr">
        <is>
          <t>Mars</t>
        </is>
      </c>
      <c r="C268" t="n">
        <v>3</v>
      </c>
      <c r="D268" t="inlineStr">
        <is>
          <t>T1</t>
        </is>
      </c>
      <c r="E268" t="inlineStr">
        <is>
          <t>Bokført</t>
        </is>
      </c>
      <c r="F268" t="inlineStr">
        <is>
          <t>Kommunal Boenhet</t>
        </is>
      </c>
      <c r="G268" t="n">
        <v>254</v>
      </c>
      <c r="H268" t="inlineStr">
        <is>
          <t>Helse og mestring</t>
        </is>
      </c>
      <c r="I268" t="inlineStr">
        <is>
          <t>1 Lønn</t>
        </is>
      </c>
      <c r="J268" t="inlineStr">
        <is>
          <t>10 Lønn</t>
        </is>
      </c>
      <c r="K268" t="n">
        <v>1050</v>
      </c>
      <c r="L268" t="n">
        <v>105042</v>
      </c>
      <c r="M268" t="inlineStr">
        <is>
          <t>Lønn utrykning</t>
        </is>
      </c>
      <c r="N268" s="98" t="n">
        <v>0</v>
      </c>
      <c r="O268" s="98" t="n">
        <v>0</v>
      </c>
      <c r="P268" s="98" t="n">
        <v>0</v>
      </c>
      <c r="Q268" s="98" t="n">
        <v>0</v>
      </c>
    </row>
    <row r="269">
      <c r="A269" t="inlineStr">
        <is>
          <t>2024-04</t>
        </is>
      </c>
      <c r="B269" t="inlineStr">
        <is>
          <t>April</t>
        </is>
      </c>
      <c r="C269" t="n">
        <v>4</v>
      </c>
      <c r="D269" t="inlineStr">
        <is>
          <t>T1</t>
        </is>
      </c>
      <c r="E269" t="inlineStr">
        <is>
          <t>Bokført</t>
        </is>
      </c>
      <c r="F269" t="inlineStr">
        <is>
          <t>Kommunal Boenhet</t>
        </is>
      </c>
      <c r="G269" t="n">
        <v>254</v>
      </c>
      <c r="H269" t="inlineStr">
        <is>
          <t>Helse og mestring</t>
        </is>
      </c>
      <c r="I269" t="inlineStr">
        <is>
          <t>1 Lønn</t>
        </is>
      </c>
      <c r="J269" t="inlineStr">
        <is>
          <t>10 Lønn</t>
        </is>
      </c>
      <c r="K269" t="n">
        <v>1050</v>
      </c>
      <c r="L269" t="n">
        <v>105042</v>
      </c>
      <c r="M269" t="inlineStr">
        <is>
          <t>Lønn utrykning</t>
        </is>
      </c>
      <c r="N269" s="98" t="n">
        <v>0</v>
      </c>
      <c r="O269" s="98" t="n">
        <v>0</v>
      </c>
      <c r="P269" s="98" t="n">
        <v>0</v>
      </c>
      <c r="Q269" s="98" t="n">
        <v>0</v>
      </c>
    </row>
    <row r="270">
      <c r="A270" t="inlineStr">
        <is>
          <t>2024-05</t>
        </is>
      </c>
      <c r="B270" t="inlineStr">
        <is>
          <t>Mai</t>
        </is>
      </c>
      <c r="C270" t="n">
        <v>5</v>
      </c>
      <c r="D270" t="inlineStr">
        <is>
          <t>T2</t>
        </is>
      </c>
      <c r="E270" t="inlineStr">
        <is>
          <t>Bokført</t>
        </is>
      </c>
      <c r="F270" t="inlineStr">
        <is>
          <t>Kommunal Boenhet</t>
        </is>
      </c>
      <c r="G270" t="n">
        <v>254</v>
      </c>
      <c r="H270" t="inlineStr">
        <is>
          <t>Helse og mestring</t>
        </is>
      </c>
      <c r="I270" t="inlineStr">
        <is>
          <t>1 Lønn</t>
        </is>
      </c>
      <c r="J270" t="inlineStr">
        <is>
          <t>10 Lønn</t>
        </is>
      </c>
      <c r="K270" t="n">
        <v>1050</v>
      </c>
      <c r="L270" t="n">
        <v>105042</v>
      </c>
      <c r="M270" t="inlineStr">
        <is>
          <t>Lønn utrykning</t>
        </is>
      </c>
      <c r="N270" s="98" t="n">
        <v>0</v>
      </c>
      <c r="O270" s="98" t="n">
        <v>0</v>
      </c>
      <c r="P270" s="98" t="n">
        <v>0</v>
      </c>
      <c r="Q270" s="98" t="n">
        <v>0</v>
      </c>
    </row>
    <row r="271">
      <c r="A271" t="inlineStr">
        <is>
          <t>2024-06</t>
        </is>
      </c>
      <c r="B271" t="inlineStr">
        <is>
          <t>Juni</t>
        </is>
      </c>
      <c r="C271" t="n">
        <v>6</v>
      </c>
      <c r="D271" t="inlineStr">
        <is>
          <t>T2</t>
        </is>
      </c>
      <c r="E271" t="inlineStr">
        <is>
          <t>Bokført</t>
        </is>
      </c>
      <c r="F271" t="inlineStr">
        <is>
          <t>Kommunal Boenhet</t>
        </is>
      </c>
      <c r="G271" t="n">
        <v>254</v>
      </c>
      <c r="H271" t="inlineStr">
        <is>
          <t>Helse og mestring</t>
        </is>
      </c>
      <c r="I271" t="inlineStr">
        <is>
          <t>1 Lønn</t>
        </is>
      </c>
      <c r="J271" t="inlineStr">
        <is>
          <t>10 Lønn</t>
        </is>
      </c>
      <c r="K271" t="n">
        <v>1050</v>
      </c>
      <c r="L271" t="n">
        <v>105042</v>
      </c>
      <c r="M271" t="inlineStr">
        <is>
          <t>Lønn utrykning</t>
        </is>
      </c>
      <c r="N271" s="98" t="n">
        <v>0</v>
      </c>
      <c r="O271" s="98" t="n">
        <v>0</v>
      </c>
      <c r="P271" s="98" t="n">
        <v>0</v>
      </c>
      <c r="Q271" s="98" t="n">
        <v>0</v>
      </c>
    </row>
    <row r="272">
      <c r="A272" t="inlineStr">
        <is>
          <t>2024-07</t>
        </is>
      </c>
      <c r="B272" t="inlineStr">
        <is>
          <t>Juli</t>
        </is>
      </c>
      <c r="C272" t="n">
        <v>7</v>
      </c>
      <c r="D272" t="inlineStr">
        <is>
          <t>T2</t>
        </is>
      </c>
      <c r="E272" t="inlineStr">
        <is>
          <t>Bokført</t>
        </is>
      </c>
      <c r="F272" t="inlineStr">
        <is>
          <t>Kommunal Boenhet</t>
        </is>
      </c>
      <c r="G272" t="n">
        <v>254</v>
      </c>
      <c r="H272" t="inlineStr">
        <is>
          <t>Helse og mestring</t>
        </is>
      </c>
      <c r="I272" t="inlineStr">
        <is>
          <t>1 Lønn</t>
        </is>
      </c>
      <c r="J272" t="inlineStr">
        <is>
          <t>10 Lønn</t>
        </is>
      </c>
      <c r="K272" t="n">
        <v>1050</v>
      </c>
      <c r="L272" t="n">
        <v>105042</v>
      </c>
      <c r="M272" t="inlineStr">
        <is>
          <t>Lønn utrykning</t>
        </is>
      </c>
      <c r="N272" s="98" t="n">
        <v>0</v>
      </c>
      <c r="O272" s="98" t="n">
        <v>0</v>
      </c>
      <c r="P272" s="98" t="n">
        <v>0</v>
      </c>
      <c r="Q272" s="98" t="n">
        <v>0</v>
      </c>
    </row>
    <row r="273">
      <c r="A273" t="inlineStr">
        <is>
          <t>2024-08</t>
        </is>
      </c>
      <c r="B273" t="inlineStr">
        <is>
          <t>August</t>
        </is>
      </c>
      <c r="C273" t="n">
        <v>8</v>
      </c>
      <c r="D273" t="inlineStr">
        <is>
          <t>T2</t>
        </is>
      </c>
      <c r="E273" t="inlineStr">
        <is>
          <t>Bokført</t>
        </is>
      </c>
      <c r="F273" t="inlineStr">
        <is>
          <t>Kommunal Boenhet</t>
        </is>
      </c>
      <c r="G273" t="n">
        <v>254</v>
      </c>
      <c r="H273" t="inlineStr">
        <is>
          <t>Helse og mestring</t>
        </is>
      </c>
      <c r="I273" t="inlineStr">
        <is>
          <t>1 Lønn</t>
        </is>
      </c>
      <c r="J273" t="inlineStr">
        <is>
          <t>10 Lønn</t>
        </is>
      </c>
      <c r="K273" t="n">
        <v>1050</v>
      </c>
      <c r="L273" t="n">
        <v>105042</v>
      </c>
      <c r="M273" t="inlineStr">
        <is>
          <t>Lønn utrykning</t>
        </is>
      </c>
      <c r="N273" s="98" t="n">
        <v>0</v>
      </c>
      <c r="O273" s="98" t="n">
        <v>0</v>
      </c>
      <c r="P273" s="98" t="n">
        <v>0</v>
      </c>
      <c r="Q273" s="98" t="n">
        <v>0</v>
      </c>
    </row>
    <row r="274">
      <c r="A274" t="inlineStr">
        <is>
          <t>2024-09</t>
        </is>
      </c>
      <c r="B274" t="inlineStr">
        <is>
          <t>September</t>
        </is>
      </c>
      <c r="C274" t="n">
        <v>9</v>
      </c>
      <c r="D274" t="inlineStr">
        <is>
          <t>T3</t>
        </is>
      </c>
      <c r="E274" t="inlineStr">
        <is>
          <t>Gjenstående budsjett</t>
        </is>
      </c>
      <c r="F274" t="inlineStr">
        <is>
          <t>Kommunal Boenhet</t>
        </is>
      </c>
      <c r="G274" t="n">
        <v>254</v>
      </c>
      <c r="H274" t="inlineStr">
        <is>
          <t>Helse og mestring</t>
        </is>
      </c>
      <c r="I274" t="inlineStr">
        <is>
          <t>1 Lønn</t>
        </is>
      </c>
      <c r="J274" t="inlineStr">
        <is>
          <t>10 Lønn</t>
        </is>
      </c>
      <c r="K274" t="n">
        <v>1050</v>
      </c>
      <c r="L274" t="n">
        <v>105042</v>
      </c>
      <c r="M274" t="inlineStr">
        <is>
          <t>Lønn utrykning</t>
        </is>
      </c>
      <c r="N274" s="98" t="n">
        <v>0</v>
      </c>
      <c r="O274" s="98" t="n">
        <v>0</v>
      </c>
      <c r="P274" s="98" t="n">
        <v>0</v>
      </c>
      <c r="Q274" s="98" t="n">
        <v>0</v>
      </c>
    </row>
    <row r="275">
      <c r="A275" t="inlineStr">
        <is>
          <t>2024-10</t>
        </is>
      </c>
      <c r="B275" t="inlineStr">
        <is>
          <t>Oktober</t>
        </is>
      </c>
      <c r="C275" t="n">
        <v>10</v>
      </c>
      <c r="D275" t="inlineStr">
        <is>
          <t>T3</t>
        </is>
      </c>
      <c r="E275" t="inlineStr">
        <is>
          <t>Gjenstående budsjett</t>
        </is>
      </c>
      <c r="F275" t="inlineStr">
        <is>
          <t>Kommunal Boenhet</t>
        </is>
      </c>
      <c r="G275" t="n">
        <v>254</v>
      </c>
      <c r="H275" t="inlineStr">
        <is>
          <t>Helse og mestring</t>
        </is>
      </c>
      <c r="I275" t="inlineStr">
        <is>
          <t>1 Lønn</t>
        </is>
      </c>
      <c r="J275" t="inlineStr">
        <is>
          <t>10 Lønn</t>
        </is>
      </c>
      <c r="K275" t="n">
        <v>1050</v>
      </c>
      <c r="L275" t="n">
        <v>105042</v>
      </c>
      <c r="M275" t="inlineStr">
        <is>
          <t>Lønn utrykning</t>
        </is>
      </c>
      <c r="N275" s="98" t="n">
        <v>0</v>
      </c>
      <c r="O275" s="98" t="n">
        <v>0</v>
      </c>
      <c r="P275" s="98" t="n">
        <v>0</v>
      </c>
      <c r="Q275" s="98" t="n">
        <v>0</v>
      </c>
    </row>
    <row r="276">
      <c r="A276" t="inlineStr">
        <is>
          <t>2024-11</t>
        </is>
      </c>
      <c r="B276" t="inlineStr">
        <is>
          <t>November</t>
        </is>
      </c>
      <c r="C276" t="n">
        <v>11</v>
      </c>
      <c r="D276" t="inlineStr">
        <is>
          <t>T3</t>
        </is>
      </c>
      <c r="E276" t="inlineStr">
        <is>
          <t>Gjenstående budsjett</t>
        </is>
      </c>
      <c r="F276" t="inlineStr">
        <is>
          <t>Kommunal Boenhet</t>
        </is>
      </c>
      <c r="G276" t="n">
        <v>254</v>
      </c>
      <c r="H276" t="inlineStr">
        <is>
          <t>Helse og mestring</t>
        </is>
      </c>
      <c r="I276" t="inlineStr">
        <is>
          <t>1 Lønn</t>
        </is>
      </c>
      <c r="J276" t="inlineStr">
        <is>
          <t>10 Lønn</t>
        </is>
      </c>
      <c r="K276" t="n">
        <v>1050</v>
      </c>
      <c r="L276" t="n">
        <v>105042</v>
      </c>
      <c r="M276" t="inlineStr">
        <is>
          <t>Lønn utrykning</t>
        </is>
      </c>
      <c r="N276" s="98" t="n">
        <v>0</v>
      </c>
      <c r="O276" s="98" t="n">
        <v>0</v>
      </c>
      <c r="P276" s="98" t="n">
        <v>0</v>
      </c>
      <c r="Q276" s="98" t="n">
        <v>0</v>
      </c>
    </row>
    <row r="277">
      <c r="A277" t="inlineStr">
        <is>
          <t>2024-12</t>
        </is>
      </c>
      <c r="B277" t="inlineStr">
        <is>
          <t>Desember</t>
        </is>
      </c>
      <c r="C277" t="n">
        <v>12</v>
      </c>
      <c r="D277" t="inlineStr">
        <is>
          <t>T3</t>
        </is>
      </c>
      <c r="E277" t="inlineStr">
        <is>
          <t>Gjenstående budsjett</t>
        </is>
      </c>
      <c r="F277" t="inlineStr">
        <is>
          <t>Kommunal Boenhet</t>
        </is>
      </c>
      <c r="G277" t="n">
        <v>254</v>
      </c>
      <c r="H277" t="inlineStr">
        <is>
          <t>Helse og mestring</t>
        </is>
      </c>
      <c r="I277" t="inlineStr">
        <is>
          <t>1 Lønn</t>
        </is>
      </c>
      <c r="J277" t="inlineStr">
        <is>
          <t>10 Lønn</t>
        </is>
      </c>
      <c r="K277" t="n">
        <v>1050</v>
      </c>
      <c r="L277" t="n">
        <v>105042</v>
      </c>
      <c r="M277" t="inlineStr">
        <is>
          <t>Lønn utrykning</t>
        </is>
      </c>
      <c r="N277" s="98" t="n">
        <v>0</v>
      </c>
      <c r="O277" s="98" t="n">
        <v>0</v>
      </c>
      <c r="P277" s="98" t="n">
        <v>0</v>
      </c>
      <c r="Q277" s="98" t="n">
        <v>0</v>
      </c>
    </row>
    <row r="278">
      <c r="A278" t="inlineStr">
        <is>
          <t>2024-01</t>
        </is>
      </c>
      <c r="B278" t="inlineStr">
        <is>
          <t>Januar</t>
        </is>
      </c>
      <c r="C278" t="n">
        <v>1</v>
      </c>
      <c r="D278" t="inlineStr">
        <is>
          <t>T1</t>
        </is>
      </c>
      <c r="E278" t="inlineStr">
        <is>
          <t>Bokført</t>
        </is>
      </c>
      <c r="F278" t="inlineStr">
        <is>
          <t>Kommunal Boenhet</t>
        </is>
      </c>
      <c r="G278" t="n">
        <v>254</v>
      </c>
      <c r="H278" t="inlineStr">
        <is>
          <t>Helse og mestring</t>
        </is>
      </c>
      <c r="I278" t="inlineStr">
        <is>
          <t>1 Lønn</t>
        </is>
      </c>
      <c r="J278" t="inlineStr">
        <is>
          <t>10 Lønn</t>
        </is>
      </c>
      <c r="K278" t="n">
        <v>1050</v>
      </c>
      <c r="L278" t="n">
        <v>105045</v>
      </c>
      <c r="M278" t="inlineStr">
        <is>
          <t>Turtillegg - reise med pasient / klient/brukere</t>
        </is>
      </c>
      <c r="N278" s="98" t="n">
        <v>0</v>
      </c>
      <c r="O278" s="98" t="n">
        <v>0</v>
      </c>
      <c r="P278" s="98" t="n">
        <v>0</v>
      </c>
      <c r="Q278" s="98" t="n">
        <v>0</v>
      </c>
    </row>
    <row r="279">
      <c r="A279" t="inlineStr">
        <is>
          <t>2024-02</t>
        </is>
      </c>
      <c r="B279" t="inlineStr">
        <is>
          <t>Februar</t>
        </is>
      </c>
      <c r="C279" t="n">
        <v>2</v>
      </c>
      <c r="D279" t="inlineStr">
        <is>
          <t>T1</t>
        </is>
      </c>
      <c r="E279" t="inlineStr">
        <is>
          <t>Bokført</t>
        </is>
      </c>
      <c r="F279" t="inlineStr">
        <is>
          <t>Kommunal Boenhet</t>
        </is>
      </c>
      <c r="G279" t="n">
        <v>254</v>
      </c>
      <c r="H279" t="inlineStr">
        <is>
          <t>Helse og mestring</t>
        </is>
      </c>
      <c r="I279" t="inlineStr">
        <is>
          <t>1 Lønn</t>
        </is>
      </c>
      <c r="J279" t="inlineStr">
        <is>
          <t>10 Lønn</t>
        </is>
      </c>
      <c r="K279" t="n">
        <v>1050</v>
      </c>
      <c r="L279" t="n">
        <v>105045</v>
      </c>
      <c r="M279" t="inlineStr">
        <is>
          <t>Turtillegg - reise med pasient / klient/brukere</t>
        </is>
      </c>
      <c r="N279" s="98" t="n">
        <v>0</v>
      </c>
      <c r="O279" s="98" t="n">
        <v>0</v>
      </c>
      <c r="P279" s="98" t="n">
        <v>0</v>
      </c>
      <c r="Q279" s="98" t="n">
        <v>0</v>
      </c>
    </row>
    <row r="280">
      <c r="A280" t="inlineStr">
        <is>
          <t>2024-03</t>
        </is>
      </c>
      <c r="B280" t="inlineStr">
        <is>
          <t>Mars</t>
        </is>
      </c>
      <c r="C280" t="n">
        <v>3</v>
      </c>
      <c r="D280" t="inlineStr">
        <is>
          <t>T1</t>
        </is>
      </c>
      <c r="E280" t="inlineStr">
        <is>
          <t>Bokført</t>
        </is>
      </c>
      <c r="F280" t="inlineStr">
        <is>
          <t>Kommunal Boenhet</t>
        </is>
      </c>
      <c r="G280" t="n">
        <v>254</v>
      </c>
      <c r="H280" t="inlineStr">
        <is>
          <t>Helse og mestring</t>
        </is>
      </c>
      <c r="I280" t="inlineStr">
        <is>
          <t>1 Lønn</t>
        </is>
      </c>
      <c r="J280" t="inlineStr">
        <is>
          <t>10 Lønn</t>
        </is>
      </c>
      <c r="K280" t="n">
        <v>1050</v>
      </c>
      <c r="L280" t="n">
        <v>105045</v>
      </c>
      <c r="M280" t="inlineStr">
        <is>
          <t>Turtillegg - reise med pasient / klient/brukere</t>
        </is>
      </c>
      <c r="N280" s="98" t="n">
        <v>0</v>
      </c>
      <c r="O280" s="98" t="n">
        <v>12191.9</v>
      </c>
      <c r="P280" s="98" t="n">
        <v>-12191.9</v>
      </c>
      <c r="Q280" s="98" t="n">
        <v>12191.9</v>
      </c>
    </row>
    <row r="281">
      <c r="A281" t="inlineStr">
        <is>
          <t>2024-04</t>
        </is>
      </c>
      <c r="B281" t="inlineStr">
        <is>
          <t>April</t>
        </is>
      </c>
      <c r="C281" t="n">
        <v>4</v>
      </c>
      <c r="D281" t="inlineStr">
        <is>
          <t>T1</t>
        </is>
      </c>
      <c r="E281" t="inlineStr">
        <is>
          <t>Bokført</t>
        </is>
      </c>
      <c r="F281" t="inlineStr">
        <is>
          <t>Kommunal Boenhet</t>
        </is>
      </c>
      <c r="G281" t="n">
        <v>254</v>
      </c>
      <c r="H281" t="inlineStr">
        <is>
          <t>Helse og mestring</t>
        </is>
      </c>
      <c r="I281" t="inlineStr">
        <is>
          <t>1 Lønn</t>
        </is>
      </c>
      <c r="J281" t="inlineStr">
        <is>
          <t>10 Lønn</t>
        </is>
      </c>
      <c r="K281" t="n">
        <v>1050</v>
      </c>
      <c r="L281" t="n">
        <v>105045</v>
      </c>
      <c r="M281" t="inlineStr">
        <is>
          <t>Turtillegg - reise med pasient / klient/brukere</t>
        </is>
      </c>
      <c r="N281" s="98" t="n">
        <v>0</v>
      </c>
      <c r="O281" s="98" t="n">
        <v>0</v>
      </c>
      <c r="P281" s="98" t="n">
        <v>0</v>
      </c>
      <c r="Q281" s="98" t="n">
        <v>0</v>
      </c>
    </row>
    <row r="282">
      <c r="A282" t="inlineStr">
        <is>
          <t>2024-05</t>
        </is>
      </c>
      <c r="B282" t="inlineStr">
        <is>
          <t>Mai</t>
        </is>
      </c>
      <c r="C282" t="n">
        <v>5</v>
      </c>
      <c r="D282" t="inlineStr">
        <is>
          <t>T2</t>
        </is>
      </c>
      <c r="E282" t="inlineStr">
        <is>
          <t>Bokført</t>
        </is>
      </c>
      <c r="F282" t="inlineStr">
        <is>
          <t>Kommunal Boenhet</t>
        </is>
      </c>
      <c r="G282" t="n">
        <v>254</v>
      </c>
      <c r="H282" t="inlineStr">
        <is>
          <t>Helse og mestring</t>
        </is>
      </c>
      <c r="I282" t="inlineStr">
        <is>
          <t>1 Lønn</t>
        </is>
      </c>
      <c r="J282" t="inlineStr">
        <is>
          <t>10 Lønn</t>
        </is>
      </c>
      <c r="K282" t="n">
        <v>1050</v>
      </c>
      <c r="L282" t="n">
        <v>105045</v>
      </c>
      <c r="M282" t="inlineStr">
        <is>
          <t>Turtillegg - reise med pasient / klient/brukere</t>
        </is>
      </c>
      <c r="N282" s="98" t="n">
        <v>0</v>
      </c>
      <c r="O282" s="98" t="n">
        <v>1075.2</v>
      </c>
      <c r="P282" s="98" t="n">
        <v>-1075.2</v>
      </c>
      <c r="Q282" s="98" t="n">
        <v>1075.2</v>
      </c>
    </row>
    <row r="283">
      <c r="A283" t="inlineStr">
        <is>
          <t>2024-06</t>
        </is>
      </c>
      <c r="B283" t="inlineStr">
        <is>
          <t>Juni</t>
        </is>
      </c>
      <c r="C283" t="n">
        <v>6</v>
      </c>
      <c r="D283" t="inlineStr">
        <is>
          <t>T2</t>
        </is>
      </c>
      <c r="E283" t="inlineStr">
        <is>
          <t>Bokført</t>
        </is>
      </c>
      <c r="F283" t="inlineStr">
        <is>
          <t>Kommunal Boenhet</t>
        </is>
      </c>
      <c r="G283" t="n">
        <v>254</v>
      </c>
      <c r="H283" t="inlineStr">
        <is>
          <t>Helse og mestring</t>
        </is>
      </c>
      <c r="I283" t="inlineStr">
        <is>
          <t>1 Lønn</t>
        </is>
      </c>
      <c r="J283" t="inlineStr">
        <is>
          <t>10 Lønn</t>
        </is>
      </c>
      <c r="K283" t="n">
        <v>1050</v>
      </c>
      <c r="L283" t="n">
        <v>105045</v>
      </c>
      <c r="M283" t="inlineStr">
        <is>
          <t>Turtillegg - reise med pasient / klient/brukere</t>
        </is>
      </c>
      <c r="N283" s="98" t="n">
        <v>0</v>
      </c>
      <c r="O283" s="98" t="n">
        <v>0</v>
      </c>
      <c r="P283" s="98" t="n">
        <v>0</v>
      </c>
      <c r="Q283" s="98" t="n">
        <v>0</v>
      </c>
    </row>
    <row r="284">
      <c r="A284" t="inlineStr">
        <is>
          <t>2024-07</t>
        </is>
      </c>
      <c r="B284" t="inlineStr">
        <is>
          <t>Juli</t>
        </is>
      </c>
      <c r="C284" t="n">
        <v>7</v>
      </c>
      <c r="D284" t="inlineStr">
        <is>
          <t>T2</t>
        </is>
      </c>
      <c r="E284" t="inlineStr">
        <is>
          <t>Bokført</t>
        </is>
      </c>
      <c r="F284" t="inlineStr">
        <is>
          <t>Kommunal Boenhet</t>
        </is>
      </c>
      <c r="G284" t="n">
        <v>254</v>
      </c>
      <c r="H284" t="inlineStr">
        <is>
          <t>Helse og mestring</t>
        </is>
      </c>
      <c r="I284" t="inlineStr">
        <is>
          <t>1 Lønn</t>
        </is>
      </c>
      <c r="J284" t="inlineStr">
        <is>
          <t>10 Lønn</t>
        </is>
      </c>
      <c r="K284" t="n">
        <v>1050</v>
      </c>
      <c r="L284" t="n">
        <v>105045</v>
      </c>
      <c r="M284" t="inlineStr">
        <is>
          <t>Turtillegg - reise med pasient / klient/brukere</t>
        </is>
      </c>
      <c r="N284" s="98" t="n">
        <v>0</v>
      </c>
      <c r="O284" s="98" t="n">
        <v>0</v>
      </c>
      <c r="P284" s="98" t="n">
        <v>0</v>
      </c>
      <c r="Q284" s="98" t="n">
        <v>0</v>
      </c>
    </row>
    <row r="285">
      <c r="A285" t="inlineStr">
        <is>
          <t>2024-08</t>
        </is>
      </c>
      <c r="B285" t="inlineStr">
        <is>
          <t>August</t>
        </is>
      </c>
      <c r="C285" t="n">
        <v>8</v>
      </c>
      <c r="D285" t="inlineStr">
        <is>
          <t>T2</t>
        </is>
      </c>
      <c r="E285" t="inlineStr">
        <is>
          <t>Bokført</t>
        </is>
      </c>
      <c r="F285" t="inlineStr">
        <is>
          <t>Kommunal Boenhet</t>
        </is>
      </c>
      <c r="G285" t="n">
        <v>254</v>
      </c>
      <c r="H285" t="inlineStr">
        <is>
          <t>Helse og mestring</t>
        </is>
      </c>
      <c r="I285" t="inlineStr">
        <is>
          <t>1 Lønn</t>
        </is>
      </c>
      <c r="J285" t="inlineStr">
        <is>
          <t>10 Lønn</t>
        </is>
      </c>
      <c r="K285" t="n">
        <v>1050</v>
      </c>
      <c r="L285" t="n">
        <v>105045</v>
      </c>
      <c r="M285" t="inlineStr">
        <is>
          <t>Turtillegg - reise med pasient / klient/brukere</t>
        </is>
      </c>
      <c r="N285" s="98" t="n">
        <v>0</v>
      </c>
      <c r="O285" s="98" t="n">
        <v>12519.36</v>
      </c>
      <c r="P285" s="98" t="n">
        <v>-12519.36</v>
      </c>
      <c r="Q285" s="98" t="n">
        <v>12519.36</v>
      </c>
    </row>
    <row r="286">
      <c r="A286" t="inlineStr">
        <is>
          <t>2024-09</t>
        </is>
      </c>
      <c r="B286" t="inlineStr">
        <is>
          <t>September</t>
        </is>
      </c>
      <c r="C286" t="n">
        <v>9</v>
      </c>
      <c r="D286" t="inlineStr">
        <is>
          <t>T3</t>
        </is>
      </c>
      <c r="E286" t="inlineStr">
        <is>
          <t>Gjenstående budsjett</t>
        </is>
      </c>
      <c r="F286" t="inlineStr">
        <is>
          <t>Kommunal Boenhet</t>
        </is>
      </c>
      <c r="G286" t="n">
        <v>254</v>
      </c>
      <c r="H286" t="inlineStr">
        <is>
          <t>Helse og mestring</t>
        </is>
      </c>
      <c r="I286" t="inlineStr">
        <is>
          <t>1 Lønn</t>
        </is>
      </c>
      <c r="J286" t="inlineStr">
        <is>
          <t>10 Lønn</t>
        </is>
      </c>
      <c r="K286" t="n">
        <v>1050</v>
      </c>
      <c r="L286" t="n">
        <v>105045</v>
      </c>
      <c r="M286" t="inlineStr">
        <is>
          <t>Turtillegg - reise med pasient / klient/brukere</t>
        </is>
      </c>
      <c r="N286" s="98" t="n">
        <v>0</v>
      </c>
      <c r="O286" s="98" t="n">
        <v>0</v>
      </c>
      <c r="P286" s="98" t="n">
        <v>0</v>
      </c>
      <c r="Q286" s="98" t="n">
        <v>0</v>
      </c>
    </row>
    <row r="287">
      <c r="A287" t="inlineStr">
        <is>
          <t>2024-10</t>
        </is>
      </c>
      <c r="B287" t="inlineStr">
        <is>
          <t>Oktober</t>
        </is>
      </c>
      <c r="C287" t="n">
        <v>10</v>
      </c>
      <c r="D287" t="inlineStr">
        <is>
          <t>T3</t>
        </is>
      </c>
      <c r="E287" t="inlineStr">
        <is>
          <t>Gjenstående budsjett</t>
        </is>
      </c>
      <c r="F287" t="inlineStr">
        <is>
          <t>Kommunal Boenhet</t>
        </is>
      </c>
      <c r="G287" t="n">
        <v>254</v>
      </c>
      <c r="H287" t="inlineStr">
        <is>
          <t>Helse og mestring</t>
        </is>
      </c>
      <c r="I287" t="inlineStr">
        <is>
          <t>1 Lønn</t>
        </is>
      </c>
      <c r="J287" t="inlineStr">
        <is>
          <t>10 Lønn</t>
        </is>
      </c>
      <c r="K287" t="n">
        <v>1050</v>
      </c>
      <c r="L287" t="n">
        <v>105045</v>
      </c>
      <c r="M287" t="inlineStr">
        <is>
          <t>Turtillegg - reise med pasient / klient/brukere</t>
        </is>
      </c>
      <c r="N287" s="98" t="n">
        <v>0</v>
      </c>
      <c r="O287" s="98" t="n">
        <v>0</v>
      </c>
      <c r="P287" s="98" t="n">
        <v>0</v>
      </c>
      <c r="Q287" s="98" t="n">
        <v>0</v>
      </c>
    </row>
    <row r="288">
      <c r="A288" t="inlineStr">
        <is>
          <t>2024-11</t>
        </is>
      </c>
      <c r="B288" t="inlineStr">
        <is>
          <t>November</t>
        </is>
      </c>
      <c r="C288" t="n">
        <v>11</v>
      </c>
      <c r="D288" t="inlineStr">
        <is>
          <t>T3</t>
        </is>
      </c>
      <c r="E288" t="inlineStr">
        <is>
          <t>Gjenstående budsjett</t>
        </is>
      </c>
      <c r="F288" t="inlineStr">
        <is>
          <t>Kommunal Boenhet</t>
        </is>
      </c>
      <c r="G288" t="n">
        <v>254</v>
      </c>
      <c r="H288" t="inlineStr">
        <is>
          <t>Helse og mestring</t>
        </is>
      </c>
      <c r="I288" t="inlineStr">
        <is>
          <t>1 Lønn</t>
        </is>
      </c>
      <c r="J288" t="inlineStr">
        <is>
          <t>10 Lønn</t>
        </is>
      </c>
      <c r="K288" t="n">
        <v>1050</v>
      </c>
      <c r="L288" t="n">
        <v>105045</v>
      </c>
      <c r="M288" t="inlineStr">
        <is>
          <t>Turtillegg - reise med pasient / klient/brukere</t>
        </is>
      </c>
      <c r="N288" s="98" t="n">
        <v>0</v>
      </c>
      <c r="O288" s="98" t="n">
        <v>0</v>
      </c>
      <c r="P288" s="98" t="n">
        <v>0</v>
      </c>
      <c r="Q288" s="98" t="n">
        <v>0</v>
      </c>
    </row>
    <row r="289">
      <c r="A289" t="inlineStr">
        <is>
          <t>2024-12</t>
        </is>
      </c>
      <c r="B289" t="inlineStr">
        <is>
          <t>Desember</t>
        </is>
      </c>
      <c r="C289" t="n">
        <v>12</v>
      </c>
      <c r="D289" t="inlineStr">
        <is>
          <t>T3</t>
        </is>
      </c>
      <c r="E289" t="inlineStr">
        <is>
          <t>Gjenstående budsjett</t>
        </is>
      </c>
      <c r="F289" t="inlineStr">
        <is>
          <t>Kommunal Boenhet</t>
        </is>
      </c>
      <c r="G289" t="n">
        <v>254</v>
      </c>
      <c r="H289" t="inlineStr">
        <is>
          <t>Helse og mestring</t>
        </is>
      </c>
      <c r="I289" t="inlineStr">
        <is>
          <t>1 Lønn</t>
        </is>
      </c>
      <c r="J289" t="inlineStr">
        <is>
          <t>10 Lønn</t>
        </is>
      </c>
      <c r="K289" t="n">
        <v>1050</v>
      </c>
      <c r="L289" t="n">
        <v>105045</v>
      </c>
      <c r="M289" t="inlineStr">
        <is>
          <t>Turtillegg - reise med pasient / klient/brukere</t>
        </is>
      </c>
      <c r="N289" s="98" t="n">
        <v>0</v>
      </c>
      <c r="O289" s="98" t="n">
        <v>0</v>
      </c>
      <c r="P289" s="98" t="n">
        <v>0</v>
      </c>
      <c r="Q289" s="98" t="n">
        <v>0</v>
      </c>
    </row>
    <row r="290">
      <c r="A290" t="inlineStr">
        <is>
          <t>2024-01</t>
        </is>
      </c>
      <c r="B290" t="inlineStr">
        <is>
          <t>Januar</t>
        </is>
      </c>
      <c r="C290" t="n">
        <v>1</v>
      </c>
      <c r="D290" t="inlineStr">
        <is>
          <t>T1</t>
        </is>
      </c>
      <c r="E290" t="inlineStr">
        <is>
          <t>Bokført</t>
        </is>
      </c>
      <c r="F290" t="inlineStr">
        <is>
          <t>Kommunal Boenhet</t>
        </is>
      </c>
      <c r="G290" t="n">
        <v>254</v>
      </c>
      <c r="H290" t="inlineStr">
        <is>
          <t>Helse og mestring</t>
        </is>
      </c>
      <c r="I290" t="inlineStr">
        <is>
          <t>1 Lønn</t>
        </is>
      </c>
      <c r="J290" t="inlineStr">
        <is>
          <t>10 Lønn</t>
        </is>
      </c>
      <c r="K290" t="n">
        <v>1050</v>
      </c>
      <c r="L290" t="n">
        <v>105046</v>
      </c>
      <c r="M290" t="inlineStr">
        <is>
          <t>Forskjøvet arbeidstid</t>
        </is>
      </c>
      <c r="N290" s="98" t="n">
        <v>0</v>
      </c>
      <c r="O290" s="98" t="n">
        <v>0</v>
      </c>
      <c r="P290" s="98" t="n">
        <v>0</v>
      </c>
      <c r="Q290" s="98" t="n">
        <v>0</v>
      </c>
    </row>
    <row r="291">
      <c r="A291" t="inlineStr">
        <is>
          <t>2024-02</t>
        </is>
      </c>
      <c r="B291" t="inlineStr">
        <is>
          <t>Februar</t>
        </is>
      </c>
      <c r="C291" t="n">
        <v>2</v>
      </c>
      <c r="D291" t="inlineStr">
        <is>
          <t>T1</t>
        </is>
      </c>
      <c r="E291" t="inlineStr">
        <is>
          <t>Bokført</t>
        </is>
      </c>
      <c r="F291" t="inlineStr">
        <is>
          <t>Kommunal Boenhet</t>
        </is>
      </c>
      <c r="G291" t="n">
        <v>254</v>
      </c>
      <c r="H291" t="inlineStr">
        <is>
          <t>Helse og mestring</t>
        </is>
      </c>
      <c r="I291" t="inlineStr">
        <is>
          <t>1 Lønn</t>
        </is>
      </c>
      <c r="J291" t="inlineStr">
        <is>
          <t>10 Lønn</t>
        </is>
      </c>
      <c r="K291" t="n">
        <v>1050</v>
      </c>
      <c r="L291" t="n">
        <v>105046</v>
      </c>
      <c r="M291" t="inlineStr">
        <is>
          <t>Forskjøvet arbeidstid</t>
        </is>
      </c>
      <c r="N291" s="98" t="n">
        <v>0</v>
      </c>
      <c r="O291" s="98" t="n">
        <v>6334.29</v>
      </c>
      <c r="P291" s="98" t="n">
        <v>-6334.29</v>
      </c>
      <c r="Q291" s="98" t="n">
        <v>6334.29</v>
      </c>
    </row>
    <row r="292">
      <c r="A292" t="inlineStr">
        <is>
          <t>2024-03</t>
        </is>
      </c>
      <c r="B292" t="inlineStr">
        <is>
          <t>Mars</t>
        </is>
      </c>
      <c r="C292" t="n">
        <v>3</v>
      </c>
      <c r="D292" t="inlineStr">
        <is>
          <t>T1</t>
        </is>
      </c>
      <c r="E292" t="inlineStr">
        <is>
          <t>Bokført</t>
        </is>
      </c>
      <c r="F292" t="inlineStr">
        <is>
          <t>Kommunal Boenhet</t>
        </is>
      </c>
      <c r="G292" t="n">
        <v>254</v>
      </c>
      <c r="H292" t="inlineStr">
        <is>
          <t>Helse og mestring</t>
        </is>
      </c>
      <c r="I292" t="inlineStr">
        <is>
          <t>1 Lønn</t>
        </is>
      </c>
      <c r="J292" t="inlineStr">
        <is>
          <t>10 Lønn</t>
        </is>
      </c>
      <c r="K292" t="n">
        <v>1050</v>
      </c>
      <c r="L292" t="n">
        <v>105046</v>
      </c>
      <c r="M292" t="inlineStr">
        <is>
          <t>Forskjøvet arbeidstid</t>
        </is>
      </c>
      <c r="N292" s="98" t="n">
        <v>0</v>
      </c>
      <c r="O292" s="98" t="n">
        <v>3689.04</v>
      </c>
      <c r="P292" s="98" t="n">
        <v>-3689.04</v>
      </c>
      <c r="Q292" s="98" t="n">
        <v>3689.04</v>
      </c>
    </row>
    <row r="293">
      <c r="A293" t="inlineStr">
        <is>
          <t>2024-04</t>
        </is>
      </c>
      <c r="B293" t="inlineStr">
        <is>
          <t>April</t>
        </is>
      </c>
      <c r="C293" t="n">
        <v>4</v>
      </c>
      <c r="D293" t="inlineStr">
        <is>
          <t>T1</t>
        </is>
      </c>
      <c r="E293" t="inlineStr">
        <is>
          <t>Bokført</t>
        </is>
      </c>
      <c r="F293" t="inlineStr">
        <is>
          <t>Kommunal Boenhet</t>
        </is>
      </c>
      <c r="G293" t="n">
        <v>254</v>
      </c>
      <c r="H293" t="inlineStr">
        <is>
          <t>Helse og mestring</t>
        </is>
      </c>
      <c r="I293" t="inlineStr">
        <is>
          <t>1 Lønn</t>
        </is>
      </c>
      <c r="J293" t="inlineStr">
        <is>
          <t>10 Lønn</t>
        </is>
      </c>
      <c r="K293" t="n">
        <v>1050</v>
      </c>
      <c r="L293" t="n">
        <v>105046</v>
      </c>
      <c r="M293" t="inlineStr">
        <is>
          <t>Forskjøvet arbeidstid</t>
        </is>
      </c>
      <c r="N293" s="98" t="n">
        <v>0</v>
      </c>
      <c r="O293" s="98" t="n">
        <v>3891.32</v>
      </c>
      <c r="P293" s="98" t="n">
        <v>-3891.32</v>
      </c>
      <c r="Q293" s="98" t="n">
        <v>3891.32</v>
      </c>
    </row>
    <row r="294">
      <c r="A294" t="inlineStr">
        <is>
          <t>2024-05</t>
        </is>
      </c>
      <c r="B294" t="inlineStr">
        <is>
          <t>Mai</t>
        </is>
      </c>
      <c r="C294" t="n">
        <v>5</v>
      </c>
      <c r="D294" t="inlineStr">
        <is>
          <t>T2</t>
        </is>
      </c>
      <c r="E294" t="inlineStr">
        <is>
          <t>Bokført</t>
        </is>
      </c>
      <c r="F294" t="inlineStr">
        <is>
          <t>Kommunal Boenhet</t>
        </is>
      </c>
      <c r="G294" t="n">
        <v>254</v>
      </c>
      <c r="H294" t="inlineStr">
        <is>
          <t>Helse og mestring</t>
        </is>
      </c>
      <c r="I294" t="inlineStr">
        <is>
          <t>1 Lønn</t>
        </is>
      </c>
      <c r="J294" t="inlineStr">
        <is>
          <t>10 Lønn</t>
        </is>
      </c>
      <c r="K294" t="n">
        <v>1050</v>
      </c>
      <c r="L294" t="n">
        <v>105046</v>
      </c>
      <c r="M294" t="inlineStr">
        <is>
          <t>Forskjøvet arbeidstid</t>
        </is>
      </c>
      <c r="N294" s="98" t="n">
        <v>0</v>
      </c>
      <c r="O294" s="98" t="n">
        <v>72.26000000000001</v>
      </c>
      <c r="P294" s="98" t="n">
        <v>-72.26000000000001</v>
      </c>
      <c r="Q294" s="98" t="n">
        <v>72.26000000000001</v>
      </c>
    </row>
    <row r="295">
      <c r="A295" t="inlineStr">
        <is>
          <t>2024-06</t>
        </is>
      </c>
      <c r="B295" t="inlineStr">
        <is>
          <t>Juni</t>
        </is>
      </c>
      <c r="C295" t="n">
        <v>6</v>
      </c>
      <c r="D295" t="inlineStr">
        <is>
          <t>T2</t>
        </is>
      </c>
      <c r="E295" t="inlineStr">
        <is>
          <t>Bokført</t>
        </is>
      </c>
      <c r="F295" t="inlineStr">
        <is>
          <t>Kommunal Boenhet</t>
        </is>
      </c>
      <c r="G295" t="n">
        <v>254</v>
      </c>
      <c r="H295" t="inlineStr">
        <is>
          <t>Helse og mestring</t>
        </is>
      </c>
      <c r="I295" t="inlineStr">
        <is>
          <t>1 Lønn</t>
        </is>
      </c>
      <c r="J295" t="inlineStr">
        <is>
          <t>10 Lønn</t>
        </is>
      </c>
      <c r="K295" t="n">
        <v>1050</v>
      </c>
      <c r="L295" t="n">
        <v>105046</v>
      </c>
      <c r="M295" t="inlineStr">
        <is>
          <t>Forskjøvet arbeidstid</t>
        </is>
      </c>
      <c r="N295" s="98" t="n">
        <v>0</v>
      </c>
      <c r="O295" s="98" t="n">
        <v>990.72</v>
      </c>
      <c r="P295" s="98" t="n">
        <v>-990.72</v>
      </c>
      <c r="Q295" s="98" t="n">
        <v>990.72</v>
      </c>
    </row>
    <row r="296">
      <c r="A296" t="inlineStr">
        <is>
          <t>2024-07</t>
        </is>
      </c>
      <c r="B296" t="inlineStr">
        <is>
          <t>Juli</t>
        </is>
      </c>
      <c r="C296" t="n">
        <v>7</v>
      </c>
      <c r="D296" t="inlineStr">
        <is>
          <t>T2</t>
        </is>
      </c>
      <c r="E296" t="inlineStr">
        <is>
          <t>Bokført</t>
        </is>
      </c>
      <c r="F296" t="inlineStr">
        <is>
          <t>Kommunal Boenhet</t>
        </is>
      </c>
      <c r="G296" t="n">
        <v>254</v>
      </c>
      <c r="H296" t="inlineStr">
        <is>
          <t>Helse og mestring</t>
        </is>
      </c>
      <c r="I296" t="inlineStr">
        <is>
          <t>1 Lønn</t>
        </is>
      </c>
      <c r="J296" t="inlineStr">
        <is>
          <t>10 Lønn</t>
        </is>
      </c>
      <c r="K296" t="n">
        <v>1050</v>
      </c>
      <c r="L296" t="n">
        <v>105046</v>
      </c>
      <c r="M296" t="inlineStr">
        <is>
          <t>Forskjøvet arbeidstid</t>
        </is>
      </c>
      <c r="N296" s="98" t="n">
        <v>0</v>
      </c>
      <c r="O296" s="98" t="n">
        <v>1940.37</v>
      </c>
      <c r="P296" s="98" t="n">
        <v>-1940.37</v>
      </c>
      <c r="Q296" s="98" t="n">
        <v>1940.37</v>
      </c>
    </row>
    <row r="297">
      <c r="A297" t="inlineStr">
        <is>
          <t>2024-08</t>
        </is>
      </c>
      <c r="B297" t="inlineStr">
        <is>
          <t>August</t>
        </is>
      </c>
      <c r="C297" t="n">
        <v>8</v>
      </c>
      <c r="D297" t="inlineStr">
        <is>
          <t>T2</t>
        </is>
      </c>
      <c r="E297" t="inlineStr">
        <is>
          <t>Bokført</t>
        </is>
      </c>
      <c r="F297" t="inlineStr">
        <is>
          <t>Kommunal Boenhet</t>
        </is>
      </c>
      <c r="G297" t="n">
        <v>254</v>
      </c>
      <c r="H297" t="inlineStr">
        <is>
          <t>Helse og mestring</t>
        </is>
      </c>
      <c r="I297" t="inlineStr">
        <is>
          <t>1 Lønn</t>
        </is>
      </c>
      <c r="J297" t="inlineStr">
        <is>
          <t>10 Lønn</t>
        </is>
      </c>
      <c r="K297" t="n">
        <v>1050</v>
      </c>
      <c r="L297" t="n">
        <v>105046</v>
      </c>
      <c r="M297" t="inlineStr">
        <is>
          <t>Forskjøvet arbeidstid</t>
        </is>
      </c>
      <c r="N297" s="98" t="n">
        <v>0</v>
      </c>
      <c r="O297" s="98" t="n">
        <v>3424.71</v>
      </c>
      <c r="P297" s="98" t="n">
        <v>-3424.71</v>
      </c>
      <c r="Q297" s="98" t="n">
        <v>3424.71</v>
      </c>
    </row>
    <row r="298">
      <c r="A298" t="inlineStr">
        <is>
          <t>2024-09</t>
        </is>
      </c>
      <c r="B298" t="inlineStr">
        <is>
          <t>September</t>
        </is>
      </c>
      <c r="C298" t="n">
        <v>9</v>
      </c>
      <c r="D298" t="inlineStr">
        <is>
          <t>T3</t>
        </is>
      </c>
      <c r="E298" t="inlineStr">
        <is>
          <t>Gjenstående budsjett</t>
        </is>
      </c>
      <c r="F298" t="inlineStr">
        <is>
          <t>Kommunal Boenhet</t>
        </is>
      </c>
      <c r="G298" t="n">
        <v>254</v>
      </c>
      <c r="H298" t="inlineStr">
        <is>
          <t>Helse og mestring</t>
        </is>
      </c>
      <c r="I298" t="inlineStr">
        <is>
          <t>1 Lønn</t>
        </is>
      </c>
      <c r="J298" t="inlineStr">
        <is>
          <t>10 Lønn</t>
        </is>
      </c>
      <c r="K298" t="n">
        <v>1050</v>
      </c>
      <c r="L298" t="n">
        <v>105046</v>
      </c>
      <c r="M298" t="inlineStr">
        <is>
          <t>Forskjøvet arbeidstid</t>
        </is>
      </c>
      <c r="N298" s="98" t="n">
        <v>0</v>
      </c>
      <c r="O298" s="98" t="n">
        <v>0</v>
      </c>
      <c r="P298" s="98" t="n">
        <v>0</v>
      </c>
      <c r="Q298" s="98" t="n">
        <v>0</v>
      </c>
    </row>
    <row r="299">
      <c r="A299" t="inlineStr">
        <is>
          <t>2024-10</t>
        </is>
      </c>
      <c r="B299" t="inlineStr">
        <is>
          <t>Oktober</t>
        </is>
      </c>
      <c r="C299" t="n">
        <v>10</v>
      </c>
      <c r="D299" t="inlineStr">
        <is>
          <t>T3</t>
        </is>
      </c>
      <c r="E299" t="inlineStr">
        <is>
          <t>Gjenstående budsjett</t>
        </is>
      </c>
      <c r="F299" t="inlineStr">
        <is>
          <t>Kommunal Boenhet</t>
        </is>
      </c>
      <c r="G299" t="n">
        <v>254</v>
      </c>
      <c r="H299" t="inlineStr">
        <is>
          <t>Helse og mestring</t>
        </is>
      </c>
      <c r="I299" t="inlineStr">
        <is>
          <t>1 Lønn</t>
        </is>
      </c>
      <c r="J299" t="inlineStr">
        <is>
          <t>10 Lønn</t>
        </is>
      </c>
      <c r="K299" t="n">
        <v>1050</v>
      </c>
      <c r="L299" t="n">
        <v>105046</v>
      </c>
      <c r="M299" t="inlineStr">
        <is>
          <t>Forskjøvet arbeidstid</t>
        </is>
      </c>
      <c r="N299" s="98" t="n">
        <v>0</v>
      </c>
      <c r="O299" s="98" t="n">
        <v>0</v>
      </c>
      <c r="P299" s="98" t="n">
        <v>0</v>
      </c>
      <c r="Q299" s="98" t="n">
        <v>0</v>
      </c>
    </row>
    <row r="300">
      <c r="A300" t="inlineStr">
        <is>
          <t>2024-11</t>
        </is>
      </c>
      <c r="B300" t="inlineStr">
        <is>
          <t>November</t>
        </is>
      </c>
      <c r="C300" t="n">
        <v>11</v>
      </c>
      <c r="D300" t="inlineStr">
        <is>
          <t>T3</t>
        </is>
      </c>
      <c r="E300" t="inlineStr">
        <is>
          <t>Gjenstående budsjett</t>
        </is>
      </c>
      <c r="F300" t="inlineStr">
        <is>
          <t>Kommunal Boenhet</t>
        </is>
      </c>
      <c r="G300" t="n">
        <v>254</v>
      </c>
      <c r="H300" t="inlineStr">
        <is>
          <t>Helse og mestring</t>
        </is>
      </c>
      <c r="I300" t="inlineStr">
        <is>
          <t>1 Lønn</t>
        </is>
      </c>
      <c r="J300" t="inlineStr">
        <is>
          <t>10 Lønn</t>
        </is>
      </c>
      <c r="K300" t="n">
        <v>1050</v>
      </c>
      <c r="L300" t="n">
        <v>105046</v>
      </c>
      <c r="M300" t="inlineStr">
        <is>
          <t>Forskjøvet arbeidstid</t>
        </is>
      </c>
      <c r="N300" s="98" t="n">
        <v>0</v>
      </c>
      <c r="O300" s="98" t="n">
        <v>0</v>
      </c>
      <c r="P300" s="98" t="n">
        <v>0</v>
      </c>
      <c r="Q300" s="98" t="n">
        <v>0</v>
      </c>
    </row>
    <row r="301">
      <c r="A301" t="inlineStr">
        <is>
          <t>2024-12</t>
        </is>
      </c>
      <c r="B301" t="inlineStr">
        <is>
          <t>Desember</t>
        </is>
      </c>
      <c r="C301" t="n">
        <v>12</v>
      </c>
      <c r="D301" t="inlineStr">
        <is>
          <t>T3</t>
        </is>
      </c>
      <c r="E301" t="inlineStr">
        <is>
          <t>Gjenstående budsjett</t>
        </is>
      </c>
      <c r="F301" t="inlineStr">
        <is>
          <t>Kommunal Boenhet</t>
        </is>
      </c>
      <c r="G301" t="n">
        <v>254</v>
      </c>
      <c r="H301" t="inlineStr">
        <is>
          <t>Helse og mestring</t>
        </is>
      </c>
      <c r="I301" t="inlineStr">
        <is>
          <t>1 Lønn</t>
        </is>
      </c>
      <c r="J301" t="inlineStr">
        <is>
          <t>10 Lønn</t>
        </is>
      </c>
      <c r="K301" t="n">
        <v>1050</v>
      </c>
      <c r="L301" t="n">
        <v>105046</v>
      </c>
      <c r="M301" t="inlineStr">
        <is>
          <t>Forskjøvet arbeidstid</t>
        </is>
      </c>
      <c r="N301" s="98" t="n">
        <v>0</v>
      </c>
      <c r="O301" s="98" t="n">
        <v>0</v>
      </c>
      <c r="P301" s="98" t="n">
        <v>0</v>
      </c>
      <c r="Q301" s="98" t="n">
        <v>0</v>
      </c>
    </row>
    <row r="302">
      <c r="A302" t="inlineStr">
        <is>
          <t>2024-01</t>
        </is>
      </c>
      <c r="B302" t="inlineStr">
        <is>
          <t>Januar</t>
        </is>
      </c>
      <c r="C302" t="n">
        <v>1</v>
      </c>
      <c r="D302" t="inlineStr">
        <is>
          <t>T1</t>
        </is>
      </c>
      <c r="E302" t="inlineStr">
        <is>
          <t>Bokført</t>
        </is>
      </c>
      <c r="F302" t="inlineStr">
        <is>
          <t>Kommunal Boenhet</t>
        </is>
      </c>
      <c r="G302" t="n">
        <v>254</v>
      </c>
      <c r="H302" t="inlineStr">
        <is>
          <t>Helse og mestring</t>
        </is>
      </c>
      <c r="I302" t="inlineStr">
        <is>
          <t>1 Lønn</t>
        </is>
      </c>
      <c r="J302" t="inlineStr">
        <is>
          <t>10 Lønn</t>
        </is>
      </c>
      <c r="K302" t="n">
        <v>1050</v>
      </c>
      <c r="L302" t="n">
        <v>105060</v>
      </c>
      <c r="M302" t="inlineStr">
        <is>
          <t>Skattepl. telefongodtgjørelse</t>
        </is>
      </c>
      <c r="N302" s="98" t="n">
        <v>333</v>
      </c>
      <c r="O302" s="98" t="n">
        <v>0</v>
      </c>
      <c r="P302" s="98" t="n">
        <v>333</v>
      </c>
      <c r="Q302" s="98" t="n">
        <v>-333</v>
      </c>
    </row>
    <row r="303">
      <c r="A303" t="inlineStr">
        <is>
          <t>2024-02</t>
        </is>
      </c>
      <c r="B303" t="inlineStr">
        <is>
          <t>Februar</t>
        </is>
      </c>
      <c r="C303" t="n">
        <v>2</v>
      </c>
      <c r="D303" t="inlineStr">
        <is>
          <t>T1</t>
        </is>
      </c>
      <c r="E303" t="inlineStr">
        <is>
          <t>Bokført</t>
        </is>
      </c>
      <c r="F303" t="inlineStr">
        <is>
          <t>Kommunal Boenhet</t>
        </is>
      </c>
      <c r="G303" t="n">
        <v>254</v>
      </c>
      <c r="H303" t="inlineStr">
        <is>
          <t>Helse og mestring</t>
        </is>
      </c>
      <c r="I303" t="inlineStr">
        <is>
          <t>1 Lønn</t>
        </is>
      </c>
      <c r="J303" t="inlineStr">
        <is>
          <t>10 Lønn</t>
        </is>
      </c>
      <c r="K303" t="n">
        <v>1050</v>
      </c>
      <c r="L303" t="n">
        <v>105060</v>
      </c>
      <c r="M303" t="inlineStr">
        <is>
          <t>Skattepl. telefongodtgjørelse</t>
        </is>
      </c>
      <c r="N303" s="98" t="n">
        <v>333</v>
      </c>
      <c r="O303" s="98" t="n">
        <v>0</v>
      </c>
      <c r="P303" s="98" t="n">
        <v>333</v>
      </c>
      <c r="Q303" s="98" t="n">
        <v>-333</v>
      </c>
    </row>
    <row r="304">
      <c r="A304" t="inlineStr">
        <is>
          <t>2024-03</t>
        </is>
      </c>
      <c r="B304" t="inlineStr">
        <is>
          <t>Mars</t>
        </is>
      </c>
      <c r="C304" t="n">
        <v>3</v>
      </c>
      <c r="D304" t="inlineStr">
        <is>
          <t>T1</t>
        </is>
      </c>
      <c r="E304" t="inlineStr">
        <is>
          <t>Bokført</t>
        </is>
      </c>
      <c r="F304" t="inlineStr">
        <is>
          <t>Kommunal Boenhet</t>
        </is>
      </c>
      <c r="G304" t="n">
        <v>254</v>
      </c>
      <c r="H304" t="inlineStr">
        <is>
          <t>Helse og mestring</t>
        </is>
      </c>
      <c r="I304" t="inlineStr">
        <is>
          <t>1 Lønn</t>
        </is>
      </c>
      <c r="J304" t="inlineStr">
        <is>
          <t>10 Lønn</t>
        </is>
      </c>
      <c r="K304" t="n">
        <v>1050</v>
      </c>
      <c r="L304" t="n">
        <v>105060</v>
      </c>
      <c r="M304" t="inlineStr">
        <is>
          <t>Skattepl. telefongodtgjørelse</t>
        </is>
      </c>
      <c r="N304" s="98" t="n">
        <v>333</v>
      </c>
      <c r="O304" s="98" t="n">
        <v>0</v>
      </c>
      <c r="P304" s="98" t="n">
        <v>333</v>
      </c>
      <c r="Q304" s="98" t="n">
        <v>-333</v>
      </c>
    </row>
    <row r="305">
      <c r="A305" t="inlineStr">
        <is>
          <t>2024-04</t>
        </is>
      </c>
      <c r="B305" t="inlineStr">
        <is>
          <t>April</t>
        </is>
      </c>
      <c r="C305" t="n">
        <v>4</v>
      </c>
      <c r="D305" t="inlineStr">
        <is>
          <t>T1</t>
        </is>
      </c>
      <c r="E305" t="inlineStr">
        <is>
          <t>Bokført</t>
        </is>
      </c>
      <c r="F305" t="inlineStr">
        <is>
          <t>Kommunal Boenhet</t>
        </is>
      </c>
      <c r="G305" t="n">
        <v>254</v>
      </c>
      <c r="H305" t="inlineStr">
        <is>
          <t>Helse og mestring</t>
        </is>
      </c>
      <c r="I305" t="inlineStr">
        <is>
          <t>1 Lønn</t>
        </is>
      </c>
      <c r="J305" t="inlineStr">
        <is>
          <t>10 Lønn</t>
        </is>
      </c>
      <c r="K305" t="n">
        <v>1050</v>
      </c>
      <c r="L305" t="n">
        <v>105060</v>
      </c>
      <c r="M305" t="inlineStr">
        <is>
          <t>Skattepl. telefongodtgjørelse</t>
        </is>
      </c>
      <c r="N305" s="98" t="n">
        <v>333</v>
      </c>
      <c r="O305" s="98" t="n">
        <v>0</v>
      </c>
      <c r="P305" s="98" t="n">
        <v>333</v>
      </c>
      <c r="Q305" s="98" t="n">
        <v>-333</v>
      </c>
    </row>
    <row r="306">
      <c r="A306" t="inlineStr">
        <is>
          <t>2024-05</t>
        </is>
      </c>
      <c r="B306" t="inlineStr">
        <is>
          <t>Mai</t>
        </is>
      </c>
      <c r="C306" t="n">
        <v>5</v>
      </c>
      <c r="D306" t="inlineStr">
        <is>
          <t>T2</t>
        </is>
      </c>
      <c r="E306" t="inlineStr">
        <is>
          <t>Bokført</t>
        </is>
      </c>
      <c r="F306" t="inlineStr">
        <is>
          <t>Kommunal Boenhet</t>
        </is>
      </c>
      <c r="G306" t="n">
        <v>254</v>
      </c>
      <c r="H306" t="inlineStr">
        <is>
          <t>Helse og mestring</t>
        </is>
      </c>
      <c r="I306" t="inlineStr">
        <is>
          <t>1 Lønn</t>
        </is>
      </c>
      <c r="J306" t="inlineStr">
        <is>
          <t>10 Lønn</t>
        </is>
      </c>
      <c r="K306" t="n">
        <v>1050</v>
      </c>
      <c r="L306" t="n">
        <v>105060</v>
      </c>
      <c r="M306" t="inlineStr">
        <is>
          <t>Skattepl. telefongodtgjørelse</t>
        </is>
      </c>
      <c r="N306" s="98" t="n">
        <v>333</v>
      </c>
      <c r="O306" s="98" t="n">
        <v>0</v>
      </c>
      <c r="P306" s="98" t="n">
        <v>333</v>
      </c>
      <c r="Q306" s="98" t="n">
        <v>-333</v>
      </c>
    </row>
    <row r="307">
      <c r="A307" t="inlineStr">
        <is>
          <t>2024-06</t>
        </is>
      </c>
      <c r="B307" t="inlineStr">
        <is>
          <t>Juni</t>
        </is>
      </c>
      <c r="C307" t="n">
        <v>6</v>
      </c>
      <c r="D307" t="inlineStr">
        <is>
          <t>T2</t>
        </is>
      </c>
      <c r="E307" t="inlineStr">
        <is>
          <t>Bokført</t>
        </is>
      </c>
      <c r="F307" t="inlineStr">
        <is>
          <t>Kommunal Boenhet</t>
        </is>
      </c>
      <c r="G307" t="n">
        <v>254</v>
      </c>
      <c r="H307" t="inlineStr">
        <is>
          <t>Helse og mestring</t>
        </is>
      </c>
      <c r="I307" t="inlineStr">
        <is>
          <t>1 Lønn</t>
        </is>
      </c>
      <c r="J307" t="inlineStr">
        <is>
          <t>10 Lønn</t>
        </is>
      </c>
      <c r="K307" t="n">
        <v>1050</v>
      </c>
      <c r="L307" t="n">
        <v>105060</v>
      </c>
      <c r="M307" t="inlineStr">
        <is>
          <t>Skattepl. telefongodtgjørelse</t>
        </is>
      </c>
      <c r="N307" s="98" t="n">
        <v>333</v>
      </c>
      <c r="O307" s="98" t="n">
        <v>0</v>
      </c>
      <c r="P307" s="98" t="n">
        <v>333</v>
      </c>
      <c r="Q307" s="98" t="n">
        <v>-333</v>
      </c>
    </row>
    <row r="308">
      <c r="A308" t="inlineStr">
        <is>
          <t>2024-07</t>
        </is>
      </c>
      <c r="B308" t="inlineStr">
        <is>
          <t>Juli</t>
        </is>
      </c>
      <c r="C308" t="n">
        <v>7</v>
      </c>
      <c r="D308" t="inlineStr">
        <is>
          <t>T2</t>
        </is>
      </c>
      <c r="E308" t="inlineStr">
        <is>
          <t>Bokført</t>
        </is>
      </c>
      <c r="F308" t="inlineStr">
        <is>
          <t>Kommunal Boenhet</t>
        </is>
      </c>
      <c r="G308" t="n">
        <v>254</v>
      </c>
      <c r="H308" t="inlineStr">
        <is>
          <t>Helse og mestring</t>
        </is>
      </c>
      <c r="I308" t="inlineStr">
        <is>
          <t>1 Lønn</t>
        </is>
      </c>
      <c r="J308" t="inlineStr">
        <is>
          <t>10 Lønn</t>
        </is>
      </c>
      <c r="K308" t="n">
        <v>1050</v>
      </c>
      <c r="L308" t="n">
        <v>105060</v>
      </c>
      <c r="M308" t="inlineStr">
        <is>
          <t>Skattepl. telefongodtgjørelse</t>
        </is>
      </c>
      <c r="N308" s="98" t="n">
        <v>333</v>
      </c>
      <c r="O308" s="98" t="n">
        <v>0</v>
      </c>
      <c r="P308" s="98" t="n">
        <v>333</v>
      </c>
      <c r="Q308" s="98" t="n">
        <v>-333</v>
      </c>
    </row>
    <row r="309">
      <c r="A309" t="inlineStr">
        <is>
          <t>2024-08</t>
        </is>
      </c>
      <c r="B309" t="inlineStr">
        <is>
          <t>August</t>
        </is>
      </c>
      <c r="C309" t="n">
        <v>8</v>
      </c>
      <c r="D309" t="inlineStr">
        <is>
          <t>T2</t>
        </is>
      </c>
      <c r="E309" t="inlineStr">
        <is>
          <t>Bokført</t>
        </is>
      </c>
      <c r="F309" t="inlineStr">
        <is>
          <t>Kommunal Boenhet</t>
        </is>
      </c>
      <c r="G309" t="n">
        <v>254</v>
      </c>
      <c r="H309" t="inlineStr">
        <is>
          <t>Helse og mestring</t>
        </is>
      </c>
      <c r="I309" t="inlineStr">
        <is>
          <t>1 Lønn</t>
        </is>
      </c>
      <c r="J309" t="inlineStr">
        <is>
          <t>10 Lønn</t>
        </is>
      </c>
      <c r="K309" t="n">
        <v>1050</v>
      </c>
      <c r="L309" t="n">
        <v>105060</v>
      </c>
      <c r="M309" t="inlineStr">
        <is>
          <t>Skattepl. telefongodtgjørelse</t>
        </is>
      </c>
      <c r="N309" s="98" t="n">
        <v>333</v>
      </c>
      <c r="O309" s="98" t="n">
        <v>0</v>
      </c>
      <c r="P309" s="98" t="n">
        <v>333</v>
      </c>
      <c r="Q309" s="98" t="n">
        <v>-333</v>
      </c>
    </row>
    <row r="310">
      <c r="A310" t="inlineStr">
        <is>
          <t>2024-09</t>
        </is>
      </c>
      <c r="B310" t="inlineStr">
        <is>
          <t>September</t>
        </is>
      </c>
      <c r="C310" t="n">
        <v>9</v>
      </c>
      <c r="D310" t="inlineStr">
        <is>
          <t>T3</t>
        </is>
      </c>
      <c r="E310" t="inlineStr">
        <is>
          <t>Gjenstående budsjett</t>
        </is>
      </c>
      <c r="F310" t="inlineStr">
        <is>
          <t>Kommunal Boenhet</t>
        </is>
      </c>
      <c r="G310" t="n">
        <v>254</v>
      </c>
      <c r="H310" t="inlineStr">
        <is>
          <t>Helse og mestring</t>
        </is>
      </c>
      <c r="I310" t="inlineStr">
        <is>
          <t>1 Lønn</t>
        </is>
      </c>
      <c r="J310" t="inlineStr">
        <is>
          <t>10 Lønn</t>
        </is>
      </c>
      <c r="K310" t="n">
        <v>1050</v>
      </c>
      <c r="L310" t="n">
        <v>105060</v>
      </c>
      <c r="M310" t="inlineStr">
        <is>
          <t>Skattepl. telefongodtgjørelse</t>
        </is>
      </c>
      <c r="N310" s="98" t="n">
        <v>333</v>
      </c>
      <c r="O310" s="98" t="n">
        <v>0</v>
      </c>
      <c r="P310" s="98" t="n">
        <v>0</v>
      </c>
      <c r="Q310" s="98" t="n">
        <v>-333</v>
      </c>
    </row>
    <row r="311">
      <c r="A311" t="inlineStr">
        <is>
          <t>2024-10</t>
        </is>
      </c>
      <c r="B311" t="inlineStr">
        <is>
          <t>Oktober</t>
        </is>
      </c>
      <c r="C311" t="n">
        <v>10</v>
      </c>
      <c r="D311" t="inlineStr">
        <is>
          <t>T3</t>
        </is>
      </c>
      <c r="E311" t="inlineStr">
        <is>
          <t>Gjenstående budsjett</t>
        </is>
      </c>
      <c r="F311" t="inlineStr">
        <is>
          <t>Kommunal Boenhet</t>
        </is>
      </c>
      <c r="G311" t="n">
        <v>254</v>
      </c>
      <c r="H311" t="inlineStr">
        <is>
          <t>Helse og mestring</t>
        </is>
      </c>
      <c r="I311" t="inlineStr">
        <is>
          <t>1 Lønn</t>
        </is>
      </c>
      <c r="J311" t="inlineStr">
        <is>
          <t>10 Lønn</t>
        </is>
      </c>
      <c r="K311" t="n">
        <v>1050</v>
      </c>
      <c r="L311" t="n">
        <v>105060</v>
      </c>
      <c r="M311" t="inlineStr">
        <is>
          <t>Skattepl. telefongodtgjørelse</t>
        </is>
      </c>
      <c r="N311" s="98" t="n">
        <v>333</v>
      </c>
      <c r="O311" s="98" t="n">
        <v>0</v>
      </c>
      <c r="P311" s="98" t="n">
        <v>0</v>
      </c>
      <c r="Q311" s="98" t="n">
        <v>-333</v>
      </c>
    </row>
    <row r="312">
      <c r="A312" t="inlineStr">
        <is>
          <t>2024-11</t>
        </is>
      </c>
      <c r="B312" t="inlineStr">
        <is>
          <t>November</t>
        </is>
      </c>
      <c r="C312" t="n">
        <v>11</v>
      </c>
      <c r="D312" t="inlineStr">
        <is>
          <t>T3</t>
        </is>
      </c>
      <c r="E312" t="inlineStr">
        <is>
          <t>Gjenstående budsjett</t>
        </is>
      </c>
      <c r="F312" t="inlineStr">
        <is>
          <t>Kommunal Boenhet</t>
        </is>
      </c>
      <c r="G312" t="n">
        <v>254</v>
      </c>
      <c r="H312" t="inlineStr">
        <is>
          <t>Helse og mestring</t>
        </is>
      </c>
      <c r="I312" t="inlineStr">
        <is>
          <t>1 Lønn</t>
        </is>
      </c>
      <c r="J312" t="inlineStr">
        <is>
          <t>10 Lønn</t>
        </is>
      </c>
      <c r="K312" t="n">
        <v>1050</v>
      </c>
      <c r="L312" t="n">
        <v>105060</v>
      </c>
      <c r="M312" t="inlineStr">
        <is>
          <t>Skattepl. telefongodtgjørelse</t>
        </is>
      </c>
      <c r="N312" s="98" t="n">
        <v>333</v>
      </c>
      <c r="O312" s="98" t="n">
        <v>0</v>
      </c>
      <c r="P312" s="98" t="n">
        <v>0</v>
      </c>
      <c r="Q312" s="98" t="n">
        <v>-333</v>
      </c>
    </row>
    <row r="313">
      <c r="A313" t="inlineStr">
        <is>
          <t>2024-12</t>
        </is>
      </c>
      <c r="B313" t="inlineStr">
        <is>
          <t>Desember</t>
        </is>
      </c>
      <c r="C313" t="n">
        <v>12</v>
      </c>
      <c r="D313" t="inlineStr">
        <is>
          <t>T3</t>
        </is>
      </c>
      <c r="E313" t="inlineStr">
        <is>
          <t>Gjenstående budsjett</t>
        </is>
      </c>
      <c r="F313" t="inlineStr">
        <is>
          <t>Kommunal Boenhet</t>
        </is>
      </c>
      <c r="G313" t="n">
        <v>254</v>
      </c>
      <c r="H313" t="inlineStr">
        <is>
          <t>Helse og mestring</t>
        </is>
      </c>
      <c r="I313" t="inlineStr">
        <is>
          <t>1 Lønn</t>
        </is>
      </c>
      <c r="J313" t="inlineStr">
        <is>
          <t>10 Lønn</t>
        </is>
      </c>
      <c r="K313" t="n">
        <v>1050</v>
      </c>
      <c r="L313" t="n">
        <v>105060</v>
      </c>
      <c r="M313" t="inlineStr">
        <is>
          <t>Skattepl. telefongodtgjørelse</t>
        </is>
      </c>
      <c r="N313" s="98" t="n">
        <v>337</v>
      </c>
      <c r="O313" s="98" t="n">
        <v>0</v>
      </c>
      <c r="P313" s="98" t="n">
        <v>0</v>
      </c>
      <c r="Q313" s="98" t="n">
        <v>-337</v>
      </c>
    </row>
    <row r="314">
      <c r="A314" t="inlineStr">
        <is>
          <t>2024-01</t>
        </is>
      </c>
      <c r="B314" t="inlineStr">
        <is>
          <t>Januar</t>
        </is>
      </c>
      <c r="C314" t="n">
        <v>1</v>
      </c>
      <c r="D314" t="inlineStr">
        <is>
          <t>T1</t>
        </is>
      </c>
      <c r="E314" t="inlineStr">
        <is>
          <t>Bokført</t>
        </is>
      </c>
      <c r="F314" t="inlineStr">
        <is>
          <t>Kommunal Boenhet</t>
        </is>
      </c>
      <c r="G314" t="n">
        <v>254</v>
      </c>
      <c r="H314" t="inlineStr">
        <is>
          <t>Helse og mestring</t>
        </is>
      </c>
      <c r="I314" t="inlineStr">
        <is>
          <t>1 Lønn</t>
        </is>
      </c>
      <c r="J314" t="inlineStr">
        <is>
          <t>10 Lønn</t>
        </is>
      </c>
      <c r="K314" t="n">
        <v>1050</v>
      </c>
      <c r="L314" t="n">
        <v>105064</v>
      </c>
      <c r="M314" t="inlineStr">
        <is>
          <t>Skattepl. klesgodtgjørelse</t>
        </is>
      </c>
      <c r="N314" s="98" t="n">
        <v>1416</v>
      </c>
      <c r="O314" s="98" t="n">
        <v>1127.32</v>
      </c>
      <c r="P314" s="98" t="n">
        <v>288.68</v>
      </c>
      <c r="Q314" s="98" t="n">
        <v>-288.68</v>
      </c>
    </row>
    <row r="315">
      <c r="A315" t="inlineStr">
        <is>
          <t>2024-02</t>
        </is>
      </c>
      <c r="B315" t="inlineStr">
        <is>
          <t>Februar</t>
        </is>
      </c>
      <c r="C315" t="n">
        <v>2</v>
      </c>
      <c r="D315" t="inlineStr">
        <is>
          <t>T1</t>
        </is>
      </c>
      <c r="E315" t="inlineStr">
        <is>
          <t>Bokført</t>
        </is>
      </c>
      <c r="F315" t="inlineStr">
        <is>
          <t>Kommunal Boenhet</t>
        </is>
      </c>
      <c r="G315" t="n">
        <v>254</v>
      </c>
      <c r="H315" t="inlineStr">
        <is>
          <t>Helse og mestring</t>
        </is>
      </c>
      <c r="I315" t="inlineStr">
        <is>
          <t>1 Lønn</t>
        </is>
      </c>
      <c r="J315" t="inlineStr">
        <is>
          <t>10 Lønn</t>
        </is>
      </c>
      <c r="K315" t="n">
        <v>1050</v>
      </c>
      <c r="L315" t="n">
        <v>105064</v>
      </c>
      <c r="M315" t="inlineStr">
        <is>
          <t>Skattepl. klesgodtgjørelse</t>
        </is>
      </c>
      <c r="N315" s="98" t="n">
        <v>1416</v>
      </c>
      <c r="O315" s="98" t="n">
        <v>1295</v>
      </c>
      <c r="P315" s="98" t="n">
        <v>121</v>
      </c>
      <c r="Q315" s="98" t="n">
        <v>-121</v>
      </c>
    </row>
    <row r="316">
      <c r="A316" t="inlineStr">
        <is>
          <t>2024-03</t>
        </is>
      </c>
      <c r="B316" t="inlineStr">
        <is>
          <t>Mars</t>
        </is>
      </c>
      <c r="C316" t="n">
        <v>3</v>
      </c>
      <c r="D316" t="inlineStr">
        <is>
          <t>T1</t>
        </is>
      </c>
      <c r="E316" t="inlineStr">
        <is>
          <t>Bokført</t>
        </is>
      </c>
      <c r="F316" t="inlineStr">
        <is>
          <t>Kommunal Boenhet</t>
        </is>
      </c>
      <c r="G316" t="n">
        <v>254</v>
      </c>
      <c r="H316" t="inlineStr">
        <is>
          <t>Helse og mestring</t>
        </is>
      </c>
      <c r="I316" t="inlineStr">
        <is>
          <t>1 Lønn</t>
        </is>
      </c>
      <c r="J316" t="inlineStr">
        <is>
          <t>10 Lønn</t>
        </is>
      </c>
      <c r="K316" t="n">
        <v>1050</v>
      </c>
      <c r="L316" t="n">
        <v>105064</v>
      </c>
      <c r="M316" t="inlineStr">
        <is>
          <t>Skattepl. klesgodtgjørelse</t>
        </is>
      </c>
      <c r="N316" s="98" t="n">
        <v>1416</v>
      </c>
      <c r="O316" s="98" t="n">
        <v>1180.87</v>
      </c>
      <c r="P316" s="98" t="n">
        <v>235.13</v>
      </c>
      <c r="Q316" s="98" t="n">
        <v>-235.13</v>
      </c>
    </row>
    <row r="317">
      <c r="A317" t="inlineStr">
        <is>
          <t>2024-04</t>
        </is>
      </c>
      <c r="B317" t="inlineStr">
        <is>
          <t>April</t>
        </is>
      </c>
      <c r="C317" t="n">
        <v>4</v>
      </c>
      <c r="D317" t="inlineStr">
        <is>
          <t>T1</t>
        </is>
      </c>
      <c r="E317" t="inlineStr">
        <is>
          <t>Bokført</t>
        </is>
      </c>
      <c r="F317" t="inlineStr">
        <is>
          <t>Kommunal Boenhet</t>
        </is>
      </c>
      <c r="G317" t="n">
        <v>254</v>
      </c>
      <c r="H317" t="inlineStr">
        <is>
          <t>Helse og mestring</t>
        </is>
      </c>
      <c r="I317" t="inlineStr">
        <is>
          <t>1 Lønn</t>
        </is>
      </c>
      <c r="J317" t="inlineStr">
        <is>
          <t>10 Lønn</t>
        </is>
      </c>
      <c r="K317" t="n">
        <v>1050</v>
      </c>
      <c r="L317" t="n">
        <v>105064</v>
      </c>
      <c r="M317" t="inlineStr">
        <is>
          <t>Skattepl. klesgodtgjørelse</t>
        </is>
      </c>
      <c r="N317" s="98" t="n">
        <v>1416</v>
      </c>
      <c r="O317" s="98" t="n">
        <v>1070.2</v>
      </c>
      <c r="P317" s="98" t="n">
        <v>345.8</v>
      </c>
      <c r="Q317" s="98" t="n">
        <v>-345.8</v>
      </c>
    </row>
    <row r="318">
      <c r="A318" t="inlineStr">
        <is>
          <t>2024-05</t>
        </is>
      </c>
      <c r="B318" t="inlineStr">
        <is>
          <t>Mai</t>
        </is>
      </c>
      <c r="C318" t="n">
        <v>5</v>
      </c>
      <c r="D318" t="inlineStr">
        <is>
          <t>T2</t>
        </is>
      </c>
      <c r="E318" t="inlineStr">
        <is>
          <t>Bokført</t>
        </is>
      </c>
      <c r="F318" t="inlineStr">
        <is>
          <t>Kommunal Boenhet</t>
        </is>
      </c>
      <c r="G318" t="n">
        <v>254</v>
      </c>
      <c r="H318" t="inlineStr">
        <is>
          <t>Helse og mestring</t>
        </is>
      </c>
      <c r="I318" t="inlineStr">
        <is>
          <t>1 Lønn</t>
        </is>
      </c>
      <c r="J318" t="inlineStr">
        <is>
          <t>10 Lønn</t>
        </is>
      </c>
      <c r="K318" t="n">
        <v>1050</v>
      </c>
      <c r="L318" t="n">
        <v>105064</v>
      </c>
      <c r="M318" t="inlineStr">
        <is>
          <t>Skattepl. klesgodtgjørelse</t>
        </is>
      </c>
      <c r="N318" s="98" t="n">
        <v>1416</v>
      </c>
      <c r="O318" s="98" t="n">
        <v>1107.86</v>
      </c>
      <c r="P318" s="98" t="n">
        <v>308.14</v>
      </c>
      <c r="Q318" s="98" t="n">
        <v>-308.14</v>
      </c>
    </row>
    <row r="319">
      <c r="A319" t="inlineStr">
        <is>
          <t>2024-06</t>
        </is>
      </c>
      <c r="B319" t="inlineStr">
        <is>
          <t>Juni</t>
        </is>
      </c>
      <c r="C319" t="n">
        <v>6</v>
      </c>
      <c r="D319" t="inlineStr">
        <is>
          <t>T2</t>
        </is>
      </c>
      <c r="E319" t="inlineStr">
        <is>
          <t>Bokført</t>
        </is>
      </c>
      <c r="F319" t="inlineStr">
        <is>
          <t>Kommunal Boenhet</t>
        </is>
      </c>
      <c r="G319" t="n">
        <v>254</v>
      </c>
      <c r="H319" t="inlineStr">
        <is>
          <t>Helse og mestring</t>
        </is>
      </c>
      <c r="I319" t="inlineStr">
        <is>
          <t>1 Lønn</t>
        </is>
      </c>
      <c r="J319" t="inlineStr">
        <is>
          <t>10 Lønn</t>
        </is>
      </c>
      <c r="K319" t="n">
        <v>1050</v>
      </c>
      <c r="L319" t="n">
        <v>105064</v>
      </c>
      <c r="M319" t="inlineStr">
        <is>
          <t>Skattepl. klesgodtgjørelse</t>
        </is>
      </c>
      <c r="N319" s="98" t="n">
        <v>1416</v>
      </c>
      <c r="O319" s="98" t="n">
        <v>1016.81</v>
      </c>
      <c r="P319" s="98" t="n">
        <v>399.19</v>
      </c>
      <c r="Q319" s="98" t="n">
        <v>-399.19</v>
      </c>
    </row>
    <row r="320">
      <c r="A320" t="inlineStr">
        <is>
          <t>2024-07</t>
        </is>
      </c>
      <c r="B320" t="inlineStr">
        <is>
          <t>Juli</t>
        </is>
      </c>
      <c r="C320" t="n">
        <v>7</v>
      </c>
      <c r="D320" t="inlineStr">
        <is>
          <t>T2</t>
        </is>
      </c>
      <c r="E320" t="inlineStr">
        <is>
          <t>Bokført</t>
        </is>
      </c>
      <c r="F320" t="inlineStr">
        <is>
          <t>Kommunal Boenhet</t>
        </is>
      </c>
      <c r="G320" t="n">
        <v>254</v>
      </c>
      <c r="H320" t="inlineStr">
        <is>
          <t>Helse og mestring</t>
        </is>
      </c>
      <c r="I320" t="inlineStr">
        <is>
          <t>1 Lønn</t>
        </is>
      </c>
      <c r="J320" t="inlineStr">
        <is>
          <t>10 Lønn</t>
        </is>
      </c>
      <c r="K320" t="n">
        <v>1050</v>
      </c>
      <c r="L320" t="n">
        <v>105064</v>
      </c>
      <c r="M320" t="inlineStr">
        <is>
          <t>Skattepl. klesgodtgjørelse</t>
        </is>
      </c>
      <c r="N320" s="98" t="n">
        <v>1416</v>
      </c>
      <c r="O320" s="98" t="n">
        <v>974.22</v>
      </c>
      <c r="P320" s="98" t="n">
        <v>441.78</v>
      </c>
      <c r="Q320" s="98" t="n">
        <v>-441.78</v>
      </c>
    </row>
    <row r="321">
      <c r="A321" t="inlineStr">
        <is>
          <t>2024-08</t>
        </is>
      </c>
      <c r="B321" t="inlineStr">
        <is>
          <t>August</t>
        </is>
      </c>
      <c r="C321" t="n">
        <v>8</v>
      </c>
      <c r="D321" t="inlineStr">
        <is>
          <t>T2</t>
        </is>
      </c>
      <c r="E321" t="inlineStr">
        <is>
          <t>Bokført</t>
        </is>
      </c>
      <c r="F321" t="inlineStr">
        <is>
          <t>Kommunal Boenhet</t>
        </is>
      </c>
      <c r="G321" t="n">
        <v>254</v>
      </c>
      <c r="H321" t="inlineStr">
        <is>
          <t>Helse og mestring</t>
        </is>
      </c>
      <c r="I321" t="inlineStr">
        <is>
          <t>1 Lønn</t>
        </is>
      </c>
      <c r="J321" t="inlineStr">
        <is>
          <t>10 Lønn</t>
        </is>
      </c>
      <c r="K321" t="n">
        <v>1050</v>
      </c>
      <c r="L321" t="n">
        <v>105064</v>
      </c>
      <c r="M321" t="inlineStr">
        <is>
          <t>Skattepl. klesgodtgjørelse</t>
        </is>
      </c>
      <c r="N321" s="98" t="n">
        <v>1416</v>
      </c>
      <c r="O321" s="98" t="n">
        <v>974.22</v>
      </c>
      <c r="P321" s="98" t="n">
        <v>441.78</v>
      </c>
      <c r="Q321" s="98" t="n">
        <v>-441.78</v>
      </c>
    </row>
    <row r="322">
      <c r="A322" t="inlineStr">
        <is>
          <t>2024-09</t>
        </is>
      </c>
      <c r="B322" t="inlineStr">
        <is>
          <t>September</t>
        </is>
      </c>
      <c r="C322" t="n">
        <v>9</v>
      </c>
      <c r="D322" t="inlineStr">
        <is>
          <t>T3</t>
        </is>
      </c>
      <c r="E322" t="inlineStr">
        <is>
          <t>Gjenstående budsjett</t>
        </is>
      </c>
      <c r="F322" t="inlineStr">
        <is>
          <t>Kommunal Boenhet</t>
        </is>
      </c>
      <c r="G322" t="n">
        <v>254</v>
      </c>
      <c r="H322" t="inlineStr">
        <is>
          <t>Helse og mestring</t>
        </is>
      </c>
      <c r="I322" t="inlineStr">
        <is>
          <t>1 Lønn</t>
        </is>
      </c>
      <c r="J322" t="inlineStr">
        <is>
          <t>10 Lønn</t>
        </is>
      </c>
      <c r="K322" t="n">
        <v>1050</v>
      </c>
      <c r="L322" t="n">
        <v>105064</v>
      </c>
      <c r="M322" t="inlineStr">
        <is>
          <t>Skattepl. klesgodtgjørelse</t>
        </is>
      </c>
      <c r="N322" s="98" t="n">
        <v>1416</v>
      </c>
      <c r="O322" s="98" t="n">
        <v>0</v>
      </c>
      <c r="P322" s="98" t="n">
        <v>0</v>
      </c>
      <c r="Q322" s="98" t="n">
        <v>-1416</v>
      </c>
    </row>
    <row r="323">
      <c r="A323" t="inlineStr">
        <is>
          <t>2024-10</t>
        </is>
      </c>
      <c r="B323" t="inlineStr">
        <is>
          <t>Oktober</t>
        </is>
      </c>
      <c r="C323" t="n">
        <v>10</v>
      </c>
      <c r="D323" t="inlineStr">
        <is>
          <t>T3</t>
        </is>
      </c>
      <c r="E323" t="inlineStr">
        <is>
          <t>Gjenstående budsjett</t>
        </is>
      </c>
      <c r="F323" t="inlineStr">
        <is>
          <t>Kommunal Boenhet</t>
        </is>
      </c>
      <c r="G323" t="n">
        <v>254</v>
      </c>
      <c r="H323" t="inlineStr">
        <is>
          <t>Helse og mestring</t>
        </is>
      </c>
      <c r="I323" t="inlineStr">
        <is>
          <t>1 Lønn</t>
        </is>
      </c>
      <c r="J323" t="inlineStr">
        <is>
          <t>10 Lønn</t>
        </is>
      </c>
      <c r="K323" t="n">
        <v>1050</v>
      </c>
      <c r="L323" t="n">
        <v>105064</v>
      </c>
      <c r="M323" t="inlineStr">
        <is>
          <t>Skattepl. klesgodtgjørelse</t>
        </is>
      </c>
      <c r="N323" s="98" t="n">
        <v>1416</v>
      </c>
      <c r="O323" s="98" t="n">
        <v>0</v>
      </c>
      <c r="P323" s="98" t="n">
        <v>0</v>
      </c>
      <c r="Q323" s="98" t="n">
        <v>-1416</v>
      </c>
    </row>
    <row r="324">
      <c r="A324" t="inlineStr">
        <is>
          <t>2024-11</t>
        </is>
      </c>
      <c r="B324" t="inlineStr">
        <is>
          <t>November</t>
        </is>
      </c>
      <c r="C324" t="n">
        <v>11</v>
      </c>
      <c r="D324" t="inlineStr">
        <is>
          <t>T3</t>
        </is>
      </c>
      <c r="E324" t="inlineStr">
        <is>
          <t>Gjenstående budsjett</t>
        </is>
      </c>
      <c r="F324" t="inlineStr">
        <is>
          <t>Kommunal Boenhet</t>
        </is>
      </c>
      <c r="G324" t="n">
        <v>254</v>
      </c>
      <c r="H324" t="inlineStr">
        <is>
          <t>Helse og mestring</t>
        </is>
      </c>
      <c r="I324" t="inlineStr">
        <is>
          <t>1 Lønn</t>
        </is>
      </c>
      <c r="J324" t="inlineStr">
        <is>
          <t>10 Lønn</t>
        </is>
      </c>
      <c r="K324" t="n">
        <v>1050</v>
      </c>
      <c r="L324" t="n">
        <v>105064</v>
      </c>
      <c r="M324" t="inlineStr">
        <is>
          <t>Skattepl. klesgodtgjørelse</t>
        </is>
      </c>
      <c r="N324" s="98" t="n">
        <v>1416</v>
      </c>
      <c r="O324" s="98" t="n">
        <v>0</v>
      </c>
      <c r="P324" s="98" t="n">
        <v>0</v>
      </c>
      <c r="Q324" s="98" t="n">
        <v>-1416</v>
      </c>
    </row>
    <row r="325">
      <c r="A325" t="inlineStr">
        <is>
          <t>2024-12</t>
        </is>
      </c>
      <c r="B325" t="inlineStr">
        <is>
          <t>Desember</t>
        </is>
      </c>
      <c r="C325" t="n">
        <v>12</v>
      </c>
      <c r="D325" t="inlineStr">
        <is>
          <t>T3</t>
        </is>
      </c>
      <c r="E325" t="inlineStr">
        <is>
          <t>Gjenstående budsjett</t>
        </is>
      </c>
      <c r="F325" t="inlineStr">
        <is>
          <t>Kommunal Boenhet</t>
        </is>
      </c>
      <c r="G325" t="n">
        <v>254</v>
      </c>
      <c r="H325" t="inlineStr">
        <is>
          <t>Helse og mestring</t>
        </is>
      </c>
      <c r="I325" t="inlineStr">
        <is>
          <t>1 Lønn</t>
        </is>
      </c>
      <c r="J325" t="inlineStr">
        <is>
          <t>10 Lønn</t>
        </is>
      </c>
      <c r="K325" t="n">
        <v>1050</v>
      </c>
      <c r="L325" t="n">
        <v>105064</v>
      </c>
      <c r="M325" t="inlineStr">
        <is>
          <t>Skattepl. klesgodtgjørelse</t>
        </is>
      </c>
      <c r="N325" s="98" t="n">
        <v>1424</v>
      </c>
      <c r="O325" s="98" t="n">
        <v>0</v>
      </c>
      <c r="P325" s="98" t="n">
        <v>0</v>
      </c>
      <c r="Q325" s="98" t="n">
        <v>-1424</v>
      </c>
    </row>
    <row r="326">
      <c r="A326" t="inlineStr">
        <is>
          <t>2024-01</t>
        </is>
      </c>
      <c r="B326" t="inlineStr">
        <is>
          <t>Januar</t>
        </is>
      </c>
      <c r="C326" t="n">
        <v>1</v>
      </c>
      <c r="D326" t="inlineStr">
        <is>
          <t>T1</t>
        </is>
      </c>
      <c r="E326" t="inlineStr">
        <is>
          <t>Bokført</t>
        </is>
      </c>
      <c r="F326" t="inlineStr">
        <is>
          <t>Kommunal Boenhet</t>
        </is>
      </c>
      <c r="G326" t="n">
        <v>254</v>
      </c>
      <c r="H326" t="inlineStr">
        <is>
          <t>Helse og mestring</t>
        </is>
      </c>
      <c r="I326" t="inlineStr">
        <is>
          <t>1 Lønn</t>
        </is>
      </c>
      <c r="J326" t="inlineStr">
        <is>
          <t>10 Lønn</t>
        </is>
      </c>
      <c r="K326" t="n">
        <v>1050</v>
      </c>
      <c r="L326" t="n">
        <v>105065</v>
      </c>
      <c r="M326" t="inlineStr">
        <is>
          <t>Skattepl. km-godtgjørelse</t>
        </is>
      </c>
      <c r="N326" s="98" t="n">
        <v>0</v>
      </c>
      <c r="O326" s="98" t="n">
        <v>0</v>
      </c>
      <c r="P326" s="98" t="n">
        <v>0</v>
      </c>
      <c r="Q326" s="98" t="n">
        <v>0</v>
      </c>
    </row>
    <row r="327">
      <c r="A327" t="inlineStr">
        <is>
          <t>2024-02</t>
        </is>
      </c>
      <c r="B327" t="inlineStr">
        <is>
          <t>Februar</t>
        </is>
      </c>
      <c r="C327" t="n">
        <v>2</v>
      </c>
      <c r="D327" t="inlineStr">
        <is>
          <t>T1</t>
        </is>
      </c>
      <c r="E327" t="inlineStr">
        <is>
          <t>Bokført</t>
        </is>
      </c>
      <c r="F327" t="inlineStr">
        <is>
          <t>Kommunal Boenhet</t>
        </is>
      </c>
      <c r="G327" t="n">
        <v>254</v>
      </c>
      <c r="H327" t="inlineStr">
        <is>
          <t>Helse og mestring</t>
        </is>
      </c>
      <c r="I327" t="inlineStr">
        <is>
          <t>1 Lønn</t>
        </is>
      </c>
      <c r="J327" t="inlineStr">
        <is>
          <t>10 Lønn</t>
        </is>
      </c>
      <c r="K327" t="n">
        <v>1050</v>
      </c>
      <c r="L327" t="n">
        <v>105065</v>
      </c>
      <c r="M327" t="inlineStr">
        <is>
          <t>Skattepl. km-godtgjørelse</t>
        </is>
      </c>
      <c r="N327" s="98" t="n">
        <v>0</v>
      </c>
      <c r="O327" s="98" t="n">
        <v>0</v>
      </c>
      <c r="P327" s="98" t="n">
        <v>0</v>
      </c>
      <c r="Q327" s="98" t="n">
        <v>0</v>
      </c>
    </row>
    <row r="328">
      <c r="A328" t="inlineStr">
        <is>
          <t>2024-03</t>
        </is>
      </c>
      <c r="B328" t="inlineStr">
        <is>
          <t>Mars</t>
        </is>
      </c>
      <c r="C328" t="n">
        <v>3</v>
      </c>
      <c r="D328" t="inlineStr">
        <is>
          <t>T1</t>
        </is>
      </c>
      <c r="E328" t="inlineStr">
        <is>
          <t>Bokført</t>
        </is>
      </c>
      <c r="F328" t="inlineStr">
        <is>
          <t>Kommunal Boenhet</t>
        </is>
      </c>
      <c r="G328" t="n">
        <v>254</v>
      </c>
      <c r="H328" t="inlineStr">
        <is>
          <t>Helse og mestring</t>
        </is>
      </c>
      <c r="I328" t="inlineStr">
        <is>
          <t>1 Lønn</t>
        </is>
      </c>
      <c r="J328" t="inlineStr">
        <is>
          <t>10 Lønn</t>
        </is>
      </c>
      <c r="K328" t="n">
        <v>1050</v>
      </c>
      <c r="L328" t="n">
        <v>105065</v>
      </c>
      <c r="M328" t="inlineStr">
        <is>
          <t>Skattepl. km-godtgjørelse</t>
        </is>
      </c>
      <c r="N328" s="98" t="n">
        <v>0</v>
      </c>
      <c r="O328" s="98" t="n">
        <v>0</v>
      </c>
      <c r="P328" s="98" t="n">
        <v>0</v>
      </c>
      <c r="Q328" s="98" t="n">
        <v>0</v>
      </c>
    </row>
    <row r="329">
      <c r="A329" t="inlineStr">
        <is>
          <t>2024-04</t>
        </is>
      </c>
      <c r="B329" t="inlineStr">
        <is>
          <t>April</t>
        </is>
      </c>
      <c r="C329" t="n">
        <v>4</v>
      </c>
      <c r="D329" t="inlineStr">
        <is>
          <t>T1</t>
        </is>
      </c>
      <c r="E329" t="inlineStr">
        <is>
          <t>Bokført</t>
        </is>
      </c>
      <c r="F329" t="inlineStr">
        <is>
          <t>Kommunal Boenhet</t>
        </is>
      </c>
      <c r="G329" t="n">
        <v>254</v>
      </c>
      <c r="H329" t="inlineStr">
        <is>
          <t>Helse og mestring</t>
        </is>
      </c>
      <c r="I329" t="inlineStr">
        <is>
          <t>1 Lønn</t>
        </is>
      </c>
      <c r="J329" t="inlineStr">
        <is>
          <t>10 Lønn</t>
        </is>
      </c>
      <c r="K329" t="n">
        <v>1050</v>
      </c>
      <c r="L329" t="n">
        <v>105065</v>
      </c>
      <c r="M329" t="inlineStr">
        <is>
          <t>Skattepl. km-godtgjørelse</t>
        </is>
      </c>
      <c r="N329" s="98" t="n">
        <v>0</v>
      </c>
      <c r="O329" s="98" t="n">
        <v>0</v>
      </c>
      <c r="P329" s="98" t="n">
        <v>0</v>
      </c>
      <c r="Q329" s="98" t="n">
        <v>0</v>
      </c>
    </row>
    <row r="330">
      <c r="A330" t="inlineStr">
        <is>
          <t>2024-05</t>
        </is>
      </c>
      <c r="B330" t="inlineStr">
        <is>
          <t>Mai</t>
        </is>
      </c>
      <c r="C330" t="n">
        <v>5</v>
      </c>
      <c r="D330" t="inlineStr">
        <is>
          <t>T2</t>
        </is>
      </c>
      <c r="E330" t="inlineStr">
        <is>
          <t>Bokført</t>
        </is>
      </c>
      <c r="F330" t="inlineStr">
        <is>
          <t>Kommunal Boenhet</t>
        </is>
      </c>
      <c r="G330" t="n">
        <v>254</v>
      </c>
      <c r="H330" t="inlineStr">
        <is>
          <t>Helse og mestring</t>
        </is>
      </c>
      <c r="I330" t="inlineStr">
        <is>
          <t>1 Lønn</t>
        </is>
      </c>
      <c r="J330" t="inlineStr">
        <is>
          <t>10 Lønn</t>
        </is>
      </c>
      <c r="K330" t="n">
        <v>1050</v>
      </c>
      <c r="L330" t="n">
        <v>105065</v>
      </c>
      <c r="M330" t="inlineStr">
        <is>
          <t>Skattepl. km-godtgjørelse</t>
        </is>
      </c>
      <c r="N330" s="98" t="n">
        <v>0</v>
      </c>
      <c r="O330" s="98" t="n">
        <v>0</v>
      </c>
      <c r="P330" s="98" t="n">
        <v>0</v>
      </c>
      <c r="Q330" s="98" t="n">
        <v>0</v>
      </c>
    </row>
    <row r="331">
      <c r="A331" t="inlineStr">
        <is>
          <t>2024-06</t>
        </is>
      </c>
      <c r="B331" t="inlineStr">
        <is>
          <t>Juni</t>
        </is>
      </c>
      <c r="C331" t="n">
        <v>6</v>
      </c>
      <c r="D331" t="inlineStr">
        <is>
          <t>T2</t>
        </is>
      </c>
      <c r="E331" t="inlineStr">
        <is>
          <t>Bokført</t>
        </is>
      </c>
      <c r="F331" t="inlineStr">
        <is>
          <t>Kommunal Boenhet</t>
        </is>
      </c>
      <c r="G331" t="n">
        <v>254</v>
      </c>
      <c r="H331" t="inlineStr">
        <is>
          <t>Helse og mestring</t>
        </is>
      </c>
      <c r="I331" t="inlineStr">
        <is>
          <t>1 Lønn</t>
        </is>
      </c>
      <c r="J331" t="inlineStr">
        <is>
          <t>10 Lønn</t>
        </is>
      </c>
      <c r="K331" t="n">
        <v>1050</v>
      </c>
      <c r="L331" t="n">
        <v>105065</v>
      </c>
      <c r="M331" t="inlineStr">
        <is>
          <t>Skattepl. km-godtgjørelse</t>
        </is>
      </c>
      <c r="N331" s="98" t="n">
        <v>0</v>
      </c>
      <c r="O331" s="98" t="n">
        <v>81.14</v>
      </c>
      <c r="P331" s="98" t="n">
        <v>-81.14</v>
      </c>
      <c r="Q331" s="98" t="n">
        <v>81.14</v>
      </c>
    </row>
    <row r="332">
      <c r="A332" t="inlineStr">
        <is>
          <t>2024-07</t>
        </is>
      </c>
      <c r="B332" t="inlineStr">
        <is>
          <t>Juli</t>
        </is>
      </c>
      <c r="C332" t="n">
        <v>7</v>
      </c>
      <c r="D332" t="inlineStr">
        <is>
          <t>T2</t>
        </is>
      </c>
      <c r="E332" t="inlineStr">
        <is>
          <t>Bokført</t>
        </is>
      </c>
      <c r="F332" t="inlineStr">
        <is>
          <t>Kommunal Boenhet</t>
        </is>
      </c>
      <c r="G332" t="n">
        <v>254</v>
      </c>
      <c r="H332" t="inlineStr">
        <is>
          <t>Helse og mestring</t>
        </is>
      </c>
      <c r="I332" t="inlineStr">
        <is>
          <t>1 Lønn</t>
        </is>
      </c>
      <c r="J332" t="inlineStr">
        <is>
          <t>10 Lønn</t>
        </is>
      </c>
      <c r="K332" t="n">
        <v>1050</v>
      </c>
      <c r="L332" t="n">
        <v>105065</v>
      </c>
      <c r="M332" t="inlineStr">
        <is>
          <t>Skattepl. km-godtgjørelse</t>
        </is>
      </c>
      <c r="N332" s="98" t="n">
        <v>0</v>
      </c>
      <c r="O332" s="98" t="n">
        <v>411.89</v>
      </c>
      <c r="P332" s="98" t="n">
        <v>-411.89</v>
      </c>
      <c r="Q332" s="98" t="n">
        <v>411.89</v>
      </c>
    </row>
    <row r="333">
      <c r="A333" t="inlineStr">
        <is>
          <t>2024-08</t>
        </is>
      </c>
      <c r="B333" t="inlineStr">
        <is>
          <t>August</t>
        </is>
      </c>
      <c r="C333" t="n">
        <v>8</v>
      </c>
      <c r="D333" t="inlineStr">
        <is>
          <t>T2</t>
        </is>
      </c>
      <c r="E333" t="inlineStr">
        <is>
          <t>Bokført</t>
        </is>
      </c>
      <c r="F333" t="inlineStr">
        <is>
          <t>Kommunal Boenhet</t>
        </is>
      </c>
      <c r="G333" t="n">
        <v>254</v>
      </c>
      <c r="H333" t="inlineStr">
        <is>
          <t>Helse og mestring</t>
        </is>
      </c>
      <c r="I333" t="inlineStr">
        <is>
          <t>1 Lønn</t>
        </is>
      </c>
      <c r="J333" t="inlineStr">
        <is>
          <t>10 Lønn</t>
        </is>
      </c>
      <c r="K333" t="n">
        <v>1050</v>
      </c>
      <c r="L333" t="n">
        <v>105065</v>
      </c>
      <c r="M333" t="inlineStr">
        <is>
          <t>Skattepl. km-godtgjørelse</t>
        </is>
      </c>
      <c r="N333" s="98" t="n">
        <v>0</v>
      </c>
      <c r="O333" s="98" t="n">
        <v>0</v>
      </c>
      <c r="P333" s="98" t="n">
        <v>0</v>
      </c>
      <c r="Q333" s="98" t="n">
        <v>0</v>
      </c>
    </row>
    <row r="334">
      <c r="A334" t="inlineStr">
        <is>
          <t>2024-09</t>
        </is>
      </c>
      <c r="B334" t="inlineStr">
        <is>
          <t>September</t>
        </is>
      </c>
      <c r="C334" t="n">
        <v>9</v>
      </c>
      <c r="D334" t="inlineStr">
        <is>
          <t>T3</t>
        </is>
      </c>
      <c r="E334" t="inlineStr">
        <is>
          <t>Gjenstående budsjett</t>
        </is>
      </c>
      <c r="F334" t="inlineStr">
        <is>
          <t>Kommunal Boenhet</t>
        </is>
      </c>
      <c r="G334" t="n">
        <v>254</v>
      </c>
      <c r="H334" t="inlineStr">
        <is>
          <t>Helse og mestring</t>
        </is>
      </c>
      <c r="I334" t="inlineStr">
        <is>
          <t>1 Lønn</t>
        </is>
      </c>
      <c r="J334" t="inlineStr">
        <is>
          <t>10 Lønn</t>
        </is>
      </c>
      <c r="K334" t="n">
        <v>1050</v>
      </c>
      <c r="L334" t="n">
        <v>105065</v>
      </c>
      <c r="M334" t="inlineStr">
        <is>
          <t>Skattepl. km-godtgjørelse</t>
        </is>
      </c>
      <c r="N334" s="98" t="n">
        <v>0</v>
      </c>
      <c r="O334" s="98" t="n">
        <v>0</v>
      </c>
      <c r="P334" s="98" t="n">
        <v>0</v>
      </c>
      <c r="Q334" s="98" t="n">
        <v>0</v>
      </c>
    </row>
    <row r="335">
      <c r="A335" t="inlineStr">
        <is>
          <t>2024-10</t>
        </is>
      </c>
      <c r="B335" t="inlineStr">
        <is>
          <t>Oktober</t>
        </is>
      </c>
      <c r="C335" t="n">
        <v>10</v>
      </c>
      <c r="D335" t="inlineStr">
        <is>
          <t>T3</t>
        </is>
      </c>
      <c r="E335" t="inlineStr">
        <is>
          <t>Gjenstående budsjett</t>
        </is>
      </c>
      <c r="F335" t="inlineStr">
        <is>
          <t>Kommunal Boenhet</t>
        </is>
      </c>
      <c r="G335" t="n">
        <v>254</v>
      </c>
      <c r="H335" t="inlineStr">
        <is>
          <t>Helse og mestring</t>
        </is>
      </c>
      <c r="I335" t="inlineStr">
        <is>
          <t>1 Lønn</t>
        </is>
      </c>
      <c r="J335" t="inlineStr">
        <is>
          <t>10 Lønn</t>
        </is>
      </c>
      <c r="K335" t="n">
        <v>1050</v>
      </c>
      <c r="L335" t="n">
        <v>105065</v>
      </c>
      <c r="M335" t="inlineStr">
        <is>
          <t>Skattepl. km-godtgjørelse</t>
        </is>
      </c>
      <c r="N335" s="98" t="n">
        <v>0</v>
      </c>
      <c r="O335" s="98" t="n">
        <v>0</v>
      </c>
      <c r="P335" s="98" t="n">
        <v>0</v>
      </c>
      <c r="Q335" s="98" t="n">
        <v>0</v>
      </c>
    </row>
    <row r="336">
      <c r="A336" t="inlineStr">
        <is>
          <t>2024-11</t>
        </is>
      </c>
      <c r="B336" t="inlineStr">
        <is>
          <t>November</t>
        </is>
      </c>
      <c r="C336" t="n">
        <v>11</v>
      </c>
      <c r="D336" t="inlineStr">
        <is>
          <t>T3</t>
        </is>
      </c>
      <c r="E336" t="inlineStr">
        <is>
          <t>Gjenstående budsjett</t>
        </is>
      </c>
      <c r="F336" t="inlineStr">
        <is>
          <t>Kommunal Boenhet</t>
        </is>
      </c>
      <c r="G336" t="n">
        <v>254</v>
      </c>
      <c r="H336" t="inlineStr">
        <is>
          <t>Helse og mestring</t>
        </is>
      </c>
      <c r="I336" t="inlineStr">
        <is>
          <t>1 Lønn</t>
        </is>
      </c>
      <c r="J336" t="inlineStr">
        <is>
          <t>10 Lønn</t>
        </is>
      </c>
      <c r="K336" t="n">
        <v>1050</v>
      </c>
      <c r="L336" t="n">
        <v>105065</v>
      </c>
      <c r="M336" t="inlineStr">
        <is>
          <t>Skattepl. km-godtgjørelse</t>
        </is>
      </c>
      <c r="N336" s="98" t="n">
        <v>0</v>
      </c>
      <c r="O336" s="98" t="n">
        <v>0</v>
      </c>
      <c r="P336" s="98" t="n">
        <v>0</v>
      </c>
      <c r="Q336" s="98" t="n">
        <v>0</v>
      </c>
    </row>
    <row r="337">
      <c r="A337" t="inlineStr">
        <is>
          <t>2024-12</t>
        </is>
      </c>
      <c r="B337" t="inlineStr">
        <is>
          <t>Desember</t>
        </is>
      </c>
      <c r="C337" t="n">
        <v>12</v>
      </c>
      <c r="D337" t="inlineStr">
        <is>
          <t>T3</t>
        </is>
      </c>
      <c r="E337" t="inlineStr">
        <is>
          <t>Gjenstående budsjett</t>
        </is>
      </c>
      <c r="F337" t="inlineStr">
        <is>
          <t>Kommunal Boenhet</t>
        </is>
      </c>
      <c r="G337" t="n">
        <v>254</v>
      </c>
      <c r="H337" t="inlineStr">
        <is>
          <t>Helse og mestring</t>
        </is>
      </c>
      <c r="I337" t="inlineStr">
        <is>
          <t>1 Lønn</t>
        </is>
      </c>
      <c r="J337" t="inlineStr">
        <is>
          <t>10 Lønn</t>
        </is>
      </c>
      <c r="K337" t="n">
        <v>1050</v>
      </c>
      <c r="L337" t="n">
        <v>105065</v>
      </c>
      <c r="M337" t="inlineStr">
        <is>
          <t>Skattepl. km-godtgjørelse</t>
        </is>
      </c>
      <c r="N337" s="98" t="n">
        <v>0</v>
      </c>
      <c r="O337" s="98" t="n">
        <v>0</v>
      </c>
      <c r="P337" s="98" t="n">
        <v>0</v>
      </c>
      <c r="Q337" s="98" t="n">
        <v>0</v>
      </c>
    </row>
    <row r="338">
      <c r="A338" t="inlineStr">
        <is>
          <t>2024-01</t>
        </is>
      </c>
      <c r="B338" t="inlineStr">
        <is>
          <t>Januar</t>
        </is>
      </c>
      <c r="C338" t="n">
        <v>1</v>
      </c>
      <c r="D338" t="inlineStr">
        <is>
          <t>T1</t>
        </is>
      </c>
      <c r="E338" t="inlineStr">
        <is>
          <t>Bokført</t>
        </is>
      </c>
      <c r="F338" t="inlineStr">
        <is>
          <t>Kommunal Boenhet</t>
        </is>
      </c>
      <c r="G338" t="n">
        <v>254</v>
      </c>
      <c r="H338" t="inlineStr">
        <is>
          <t>Helse og mestring</t>
        </is>
      </c>
      <c r="I338" t="inlineStr">
        <is>
          <t>1 Lønn</t>
        </is>
      </c>
      <c r="J338" t="inlineStr">
        <is>
          <t>10 Lønn</t>
        </is>
      </c>
      <c r="K338" t="n">
        <v>1090</v>
      </c>
      <c r="L338" t="n">
        <v>109000</v>
      </c>
      <c r="M338" t="inlineStr">
        <is>
          <t>Pensjon fellesordningen - ordinære (klp)</t>
        </is>
      </c>
      <c r="N338" s="98" t="n">
        <v>171251</v>
      </c>
      <c r="O338" s="98" t="n">
        <v>111774.79</v>
      </c>
      <c r="P338" s="98" t="n">
        <v>59476.21</v>
      </c>
      <c r="Q338" s="98" t="n">
        <v>-59476.21</v>
      </c>
    </row>
    <row r="339">
      <c r="A339" t="inlineStr">
        <is>
          <t>2024-02</t>
        </is>
      </c>
      <c r="B339" t="inlineStr">
        <is>
          <t>Februar</t>
        </is>
      </c>
      <c r="C339" t="n">
        <v>2</v>
      </c>
      <c r="D339" t="inlineStr">
        <is>
          <t>T1</t>
        </is>
      </c>
      <c r="E339" t="inlineStr">
        <is>
          <t>Bokført</t>
        </is>
      </c>
      <c r="F339" t="inlineStr">
        <is>
          <t>Kommunal Boenhet</t>
        </is>
      </c>
      <c r="G339" t="n">
        <v>254</v>
      </c>
      <c r="H339" t="inlineStr">
        <is>
          <t>Helse og mestring</t>
        </is>
      </c>
      <c r="I339" t="inlineStr">
        <is>
          <t>1 Lønn</t>
        </is>
      </c>
      <c r="J339" t="inlineStr">
        <is>
          <t>10 Lønn</t>
        </is>
      </c>
      <c r="K339" t="n">
        <v>1090</v>
      </c>
      <c r="L339" t="n">
        <v>109000</v>
      </c>
      <c r="M339" t="inlineStr">
        <is>
          <t>Pensjon fellesordningen - ordinære (klp)</t>
        </is>
      </c>
      <c r="N339" s="98" t="n">
        <v>171250</v>
      </c>
      <c r="O339" s="98" t="n">
        <v>201470.68</v>
      </c>
      <c r="P339" s="98" t="n">
        <v>-30220.68</v>
      </c>
      <c r="Q339" s="98" t="n">
        <v>30220.68</v>
      </c>
    </row>
    <row r="340">
      <c r="A340" t="inlineStr">
        <is>
          <t>2024-03</t>
        </is>
      </c>
      <c r="B340" t="inlineStr">
        <is>
          <t>Mars</t>
        </is>
      </c>
      <c r="C340" t="n">
        <v>3</v>
      </c>
      <c r="D340" t="inlineStr">
        <is>
          <t>T1</t>
        </is>
      </c>
      <c r="E340" t="inlineStr">
        <is>
          <t>Bokført</t>
        </is>
      </c>
      <c r="F340" t="inlineStr">
        <is>
          <t>Kommunal Boenhet</t>
        </is>
      </c>
      <c r="G340" t="n">
        <v>254</v>
      </c>
      <c r="H340" t="inlineStr">
        <is>
          <t>Helse og mestring</t>
        </is>
      </c>
      <c r="I340" t="inlineStr">
        <is>
          <t>1 Lønn</t>
        </is>
      </c>
      <c r="J340" t="inlineStr">
        <is>
          <t>10 Lønn</t>
        </is>
      </c>
      <c r="K340" t="n">
        <v>1090</v>
      </c>
      <c r="L340" t="n">
        <v>109000</v>
      </c>
      <c r="M340" t="inlineStr">
        <is>
          <t>Pensjon fellesordningen - ordinære (klp)</t>
        </is>
      </c>
      <c r="N340" s="98" t="n">
        <v>171248</v>
      </c>
      <c r="O340" s="98" t="n">
        <v>168932.97</v>
      </c>
      <c r="P340" s="98" t="n">
        <v>2315.03</v>
      </c>
      <c r="Q340" s="98" t="n">
        <v>-2315.03</v>
      </c>
    </row>
    <row r="341">
      <c r="A341" t="inlineStr">
        <is>
          <t>2024-04</t>
        </is>
      </c>
      <c r="B341" t="inlineStr">
        <is>
          <t>April</t>
        </is>
      </c>
      <c r="C341" t="n">
        <v>4</v>
      </c>
      <c r="D341" t="inlineStr">
        <is>
          <t>T1</t>
        </is>
      </c>
      <c r="E341" t="inlineStr">
        <is>
          <t>Bokført</t>
        </is>
      </c>
      <c r="F341" t="inlineStr">
        <is>
          <t>Kommunal Boenhet</t>
        </is>
      </c>
      <c r="G341" t="n">
        <v>254</v>
      </c>
      <c r="H341" t="inlineStr">
        <is>
          <t>Helse og mestring</t>
        </is>
      </c>
      <c r="I341" t="inlineStr">
        <is>
          <t>1 Lønn</t>
        </is>
      </c>
      <c r="J341" t="inlineStr">
        <is>
          <t>10 Lønn</t>
        </is>
      </c>
      <c r="K341" t="n">
        <v>1090</v>
      </c>
      <c r="L341" t="n">
        <v>109000</v>
      </c>
      <c r="M341" t="inlineStr">
        <is>
          <t>Pensjon fellesordningen - ordinære (klp)</t>
        </is>
      </c>
      <c r="N341" s="98" t="n">
        <v>1055848</v>
      </c>
      <c r="O341" s="98" t="n">
        <v>1034142.89</v>
      </c>
      <c r="P341" s="98" t="n">
        <v>21705.11</v>
      </c>
      <c r="Q341" s="98" t="n">
        <v>-21705.11</v>
      </c>
    </row>
    <row r="342">
      <c r="A342" t="inlineStr">
        <is>
          <t>2024-05</t>
        </is>
      </c>
      <c r="B342" t="inlineStr">
        <is>
          <t>Mai</t>
        </is>
      </c>
      <c r="C342" t="n">
        <v>5</v>
      </c>
      <c r="D342" t="inlineStr">
        <is>
          <t>T2</t>
        </is>
      </c>
      <c r="E342" t="inlineStr">
        <is>
          <t>Bokført</t>
        </is>
      </c>
      <c r="F342" t="inlineStr">
        <is>
          <t>Kommunal Boenhet</t>
        </is>
      </c>
      <c r="G342" t="n">
        <v>254</v>
      </c>
      <c r="H342" t="inlineStr">
        <is>
          <t>Helse og mestring</t>
        </is>
      </c>
      <c r="I342" t="inlineStr">
        <is>
          <t>1 Lønn</t>
        </is>
      </c>
      <c r="J342" t="inlineStr">
        <is>
          <t>10 Lønn</t>
        </is>
      </c>
      <c r="K342" t="n">
        <v>1090</v>
      </c>
      <c r="L342" t="n">
        <v>109000</v>
      </c>
      <c r="M342" t="inlineStr">
        <is>
          <t>Pensjon fellesordningen - ordinære (klp)</t>
        </is>
      </c>
      <c r="N342" s="98" t="n">
        <v>177108</v>
      </c>
      <c r="O342" s="98" t="n">
        <v>165027.58</v>
      </c>
      <c r="P342" s="98" t="n">
        <v>12080.42</v>
      </c>
      <c r="Q342" s="98" t="n">
        <v>-12080.42</v>
      </c>
    </row>
    <row r="343">
      <c r="A343" t="inlineStr">
        <is>
          <t>2024-06</t>
        </is>
      </c>
      <c r="B343" t="inlineStr">
        <is>
          <t>Juni</t>
        </is>
      </c>
      <c r="C343" t="n">
        <v>6</v>
      </c>
      <c r="D343" t="inlineStr">
        <is>
          <t>T2</t>
        </is>
      </c>
      <c r="E343" t="inlineStr">
        <is>
          <t>Bokført</t>
        </is>
      </c>
      <c r="F343" t="inlineStr">
        <is>
          <t>Kommunal Boenhet</t>
        </is>
      </c>
      <c r="G343" t="n">
        <v>254</v>
      </c>
      <c r="H343" t="inlineStr">
        <is>
          <t>Helse og mestring</t>
        </is>
      </c>
      <c r="I343" t="inlineStr">
        <is>
          <t>1 Lønn</t>
        </is>
      </c>
      <c r="J343" t="inlineStr">
        <is>
          <t>10 Lønn</t>
        </is>
      </c>
      <c r="K343" t="n">
        <v>1090</v>
      </c>
      <c r="L343" t="n">
        <v>109000</v>
      </c>
      <c r="M343" t="inlineStr">
        <is>
          <t>Pensjon fellesordningen - ordinære (klp)</t>
        </is>
      </c>
      <c r="N343" s="98" t="n">
        <v>115925</v>
      </c>
      <c r="O343" s="98" t="n">
        <v>174781.14</v>
      </c>
      <c r="P343" s="98" t="n">
        <v>-58856.14</v>
      </c>
      <c r="Q343" s="98" t="n">
        <v>58856.14</v>
      </c>
    </row>
    <row r="344">
      <c r="A344" t="inlineStr">
        <is>
          <t>2024-07</t>
        </is>
      </c>
      <c r="B344" t="inlineStr">
        <is>
          <t>Juli</t>
        </is>
      </c>
      <c r="C344" t="n">
        <v>7</v>
      </c>
      <c r="D344" t="inlineStr">
        <is>
          <t>T2</t>
        </is>
      </c>
      <c r="E344" t="inlineStr">
        <is>
          <t>Bokført</t>
        </is>
      </c>
      <c r="F344" t="inlineStr">
        <is>
          <t>Kommunal Boenhet</t>
        </is>
      </c>
      <c r="G344" t="n">
        <v>254</v>
      </c>
      <c r="H344" t="inlineStr">
        <is>
          <t>Helse og mestring</t>
        </is>
      </c>
      <c r="I344" t="inlineStr">
        <is>
          <t>1 Lønn</t>
        </is>
      </c>
      <c r="J344" t="inlineStr">
        <is>
          <t>10 Lønn</t>
        </is>
      </c>
      <c r="K344" t="n">
        <v>1090</v>
      </c>
      <c r="L344" t="n">
        <v>109000</v>
      </c>
      <c r="M344" t="inlineStr">
        <is>
          <t>Pensjon fellesordningen - ordinære (klp)</t>
        </is>
      </c>
      <c r="N344" s="98" t="n">
        <v>176359</v>
      </c>
      <c r="O344" s="98" t="n">
        <v>174748.32</v>
      </c>
      <c r="P344" s="98" t="n">
        <v>1610.68</v>
      </c>
      <c r="Q344" s="98" t="n">
        <v>-1610.68</v>
      </c>
    </row>
    <row r="345">
      <c r="A345" t="inlineStr">
        <is>
          <t>2024-08</t>
        </is>
      </c>
      <c r="B345" t="inlineStr">
        <is>
          <t>August</t>
        </is>
      </c>
      <c r="C345" t="n">
        <v>8</v>
      </c>
      <c r="D345" t="inlineStr">
        <is>
          <t>T2</t>
        </is>
      </c>
      <c r="E345" t="inlineStr">
        <is>
          <t>Bokført</t>
        </is>
      </c>
      <c r="F345" t="inlineStr">
        <is>
          <t>Kommunal Boenhet</t>
        </is>
      </c>
      <c r="G345" t="n">
        <v>254</v>
      </c>
      <c r="H345" t="inlineStr">
        <is>
          <t>Helse og mestring</t>
        </is>
      </c>
      <c r="I345" t="inlineStr">
        <is>
          <t>1 Lønn</t>
        </is>
      </c>
      <c r="J345" t="inlineStr">
        <is>
          <t>10 Lønn</t>
        </is>
      </c>
      <c r="K345" t="n">
        <v>1090</v>
      </c>
      <c r="L345" t="n">
        <v>109000</v>
      </c>
      <c r="M345" t="inlineStr">
        <is>
          <t>Pensjon fellesordningen - ordinære (klp)</t>
        </is>
      </c>
      <c r="N345" s="98" t="n">
        <v>177110</v>
      </c>
      <c r="O345" s="98" t="n">
        <v>180009.25</v>
      </c>
      <c r="P345" s="98" t="n">
        <v>-2899.25</v>
      </c>
      <c r="Q345" s="98" t="n">
        <v>2899.25</v>
      </c>
    </row>
    <row r="346">
      <c r="A346" t="inlineStr">
        <is>
          <t>2024-09</t>
        </is>
      </c>
      <c r="B346" t="inlineStr">
        <is>
          <t>September</t>
        </is>
      </c>
      <c r="C346" t="n">
        <v>9</v>
      </c>
      <c r="D346" t="inlineStr">
        <is>
          <t>T3</t>
        </is>
      </c>
      <c r="E346" t="inlineStr">
        <is>
          <t>Gjenstående budsjett</t>
        </is>
      </c>
      <c r="F346" t="inlineStr">
        <is>
          <t>Kommunal Boenhet</t>
        </is>
      </c>
      <c r="G346" t="n">
        <v>254</v>
      </c>
      <c r="H346" t="inlineStr">
        <is>
          <t>Helse og mestring</t>
        </is>
      </c>
      <c r="I346" t="inlineStr">
        <is>
          <t>1 Lønn</t>
        </is>
      </c>
      <c r="J346" t="inlineStr">
        <is>
          <t>10 Lønn</t>
        </is>
      </c>
      <c r="K346" t="n">
        <v>1090</v>
      </c>
      <c r="L346" t="n">
        <v>109000</v>
      </c>
      <c r="M346" t="inlineStr">
        <is>
          <t>Pensjon fellesordningen - ordinære (klp)</t>
        </is>
      </c>
      <c r="N346" s="98" t="n">
        <v>177108</v>
      </c>
      <c r="O346" s="98" t="n">
        <v>0</v>
      </c>
      <c r="P346" s="98" t="n">
        <v>0</v>
      </c>
      <c r="Q346" s="98" t="n">
        <v>-177108</v>
      </c>
    </row>
    <row r="347">
      <c r="A347" t="inlineStr">
        <is>
          <t>2024-10</t>
        </is>
      </c>
      <c r="B347" t="inlineStr">
        <is>
          <t>Oktober</t>
        </is>
      </c>
      <c r="C347" t="n">
        <v>10</v>
      </c>
      <c r="D347" t="inlineStr">
        <is>
          <t>T3</t>
        </is>
      </c>
      <c r="E347" t="inlineStr">
        <is>
          <t>Gjenstående budsjett</t>
        </is>
      </c>
      <c r="F347" t="inlineStr">
        <is>
          <t>Kommunal Boenhet</t>
        </is>
      </c>
      <c r="G347" t="n">
        <v>254</v>
      </c>
      <c r="H347" t="inlineStr">
        <is>
          <t>Helse og mestring</t>
        </is>
      </c>
      <c r="I347" t="inlineStr">
        <is>
          <t>1 Lønn</t>
        </is>
      </c>
      <c r="J347" t="inlineStr">
        <is>
          <t>10 Lønn</t>
        </is>
      </c>
      <c r="K347" t="n">
        <v>1090</v>
      </c>
      <c r="L347" t="n">
        <v>109000</v>
      </c>
      <c r="M347" t="inlineStr">
        <is>
          <t>Pensjon fellesordningen - ordinære (klp)</t>
        </is>
      </c>
      <c r="N347" s="98" t="n">
        <v>177107</v>
      </c>
      <c r="O347" s="98" t="n">
        <v>0</v>
      </c>
      <c r="P347" s="98" t="n">
        <v>0</v>
      </c>
      <c r="Q347" s="98" t="n">
        <v>-177107</v>
      </c>
    </row>
    <row r="348">
      <c r="A348" t="inlineStr">
        <is>
          <t>2024-11</t>
        </is>
      </c>
      <c r="B348" t="inlineStr">
        <is>
          <t>November</t>
        </is>
      </c>
      <c r="C348" t="n">
        <v>11</v>
      </c>
      <c r="D348" t="inlineStr">
        <is>
          <t>T3</t>
        </is>
      </c>
      <c r="E348" t="inlineStr">
        <is>
          <t>Gjenstående budsjett</t>
        </is>
      </c>
      <c r="F348" t="inlineStr">
        <is>
          <t>Kommunal Boenhet</t>
        </is>
      </c>
      <c r="G348" t="n">
        <v>254</v>
      </c>
      <c r="H348" t="inlineStr">
        <is>
          <t>Helse og mestring</t>
        </is>
      </c>
      <c r="I348" t="inlineStr">
        <is>
          <t>1 Lønn</t>
        </is>
      </c>
      <c r="J348" t="inlineStr">
        <is>
          <t>10 Lønn</t>
        </is>
      </c>
      <c r="K348" t="n">
        <v>1090</v>
      </c>
      <c r="L348" t="n">
        <v>109000</v>
      </c>
      <c r="M348" t="inlineStr">
        <is>
          <t>Pensjon fellesordningen - ordinære (klp)</t>
        </is>
      </c>
      <c r="N348" s="98" t="n">
        <v>177103</v>
      </c>
      <c r="O348" s="98" t="n">
        <v>0</v>
      </c>
      <c r="P348" s="98" t="n">
        <v>0</v>
      </c>
      <c r="Q348" s="98" t="n">
        <v>-177103</v>
      </c>
    </row>
    <row r="349">
      <c r="A349" t="inlineStr">
        <is>
          <t>2024-12</t>
        </is>
      </c>
      <c r="B349" t="inlineStr">
        <is>
          <t>Desember</t>
        </is>
      </c>
      <c r="C349" t="n">
        <v>12</v>
      </c>
      <c r="D349" t="inlineStr">
        <is>
          <t>T3</t>
        </is>
      </c>
      <c r="E349" t="inlineStr">
        <is>
          <t>Gjenstående budsjett</t>
        </is>
      </c>
      <c r="F349" t="inlineStr">
        <is>
          <t>Kommunal Boenhet</t>
        </is>
      </c>
      <c r="G349" t="n">
        <v>254</v>
      </c>
      <c r="H349" t="inlineStr">
        <is>
          <t>Helse og mestring</t>
        </is>
      </c>
      <c r="I349" t="inlineStr">
        <is>
          <t>1 Lønn</t>
        </is>
      </c>
      <c r="J349" t="inlineStr">
        <is>
          <t>10 Lønn</t>
        </is>
      </c>
      <c r="K349" t="n">
        <v>1090</v>
      </c>
      <c r="L349" t="n">
        <v>109000</v>
      </c>
      <c r="M349" t="inlineStr">
        <is>
          <t>Pensjon fellesordningen - ordinære (klp)</t>
        </is>
      </c>
      <c r="N349" s="98" t="n">
        <v>297706</v>
      </c>
      <c r="O349" s="98" t="n">
        <v>0</v>
      </c>
      <c r="P349" s="98" t="n">
        <v>0</v>
      </c>
      <c r="Q349" s="98" t="n">
        <v>-297706</v>
      </c>
    </row>
    <row r="350">
      <c r="A350" t="inlineStr">
        <is>
          <t>2024-01</t>
        </is>
      </c>
      <c r="B350" t="inlineStr">
        <is>
          <t>Januar</t>
        </is>
      </c>
      <c r="C350" t="n">
        <v>1</v>
      </c>
      <c r="D350" t="inlineStr">
        <is>
          <t>T1</t>
        </is>
      </c>
      <c r="E350" t="inlineStr">
        <is>
          <t>Bokført</t>
        </is>
      </c>
      <c r="F350" t="inlineStr">
        <is>
          <t>Kommunal Boenhet</t>
        </is>
      </c>
      <c r="G350" t="n">
        <v>254</v>
      </c>
      <c r="H350" t="inlineStr">
        <is>
          <t>Helse og mestring</t>
        </is>
      </c>
      <c r="I350" t="inlineStr">
        <is>
          <t>1 Lønn</t>
        </is>
      </c>
      <c r="J350" t="inlineStr">
        <is>
          <t>10 Lønn</t>
        </is>
      </c>
      <c r="K350" t="n">
        <v>1099</v>
      </c>
      <c r="L350" t="n">
        <v>109999</v>
      </c>
      <c r="M350" t="inlineStr">
        <is>
          <t>Arbeidsgiveravgift</t>
        </is>
      </c>
      <c r="N350" s="98" t="n">
        <v>184285</v>
      </c>
      <c r="O350" s="98" t="n">
        <v>123019.51</v>
      </c>
      <c r="P350" s="98" t="n">
        <v>61265.49</v>
      </c>
      <c r="Q350" s="98" t="n">
        <v>-61265.49</v>
      </c>
    </row>
    <row r="351">
      <c r="A351" t="inlineStr">
        <is>
          <t>2024-02</t>
        </is>
      </c>
      <c r="B351" t="inlineStr">
        <is>
          <t>Februar</t>
        </is>
      </c>
      <c r="C351" t="n">
        <v>2</v>
      </c>
      <c r="D351" t="inlineStr">
        <is>
          <t>T1</t>
        </is>
      </c>
      <c r="E351" t="inlineStr">
        <is>
          <t>Bokført</t>
        </is>
      </c>
      <c r="F351" t="inlineStr">
        <is>
          <t>Kommunal Boenhet</t>
        </is>
      </c>
      <c r="G351" t="n">
        <v>254</v>
      </c>
      <c r="H351" t="inlineStr">
        <is>
          <t>Helse og mestring</t>
        </is>
      </c>
      <c r="I351" t="inlineStr">
        <is>
          <t>1 Lønn</t>
        </is>
      </c>
      <c r="J351" t="inlineStr">
        <is>
          <t>10 Lønn</t>
        </is>
      </c>
      <c r="K351" t="n">
        <v>1099</v>
      </c>
      <c r="L351" t="n">
        <v>109999</v>
      </c>
      <c r="M351" t="inlineStr">
        <is>
          <t>Arbeidsgiveravgift</t>
        </is>
      </c>
      <c r="N351" s="98" t="n">
        <v>184284</v>
      </c>
      <c r="O351" s="98" t="n">
        <v>263333.66</v>
      </c>
      <c r="P351" s="98" t="n">
        <v>-79049.66</v>
      </c>
      <c r="Q351" s="98" t="n">
        <v>79049.66</v>
      </c>
    </row>
    <row r="352">
      <c r="A352" t="inlineStr">
        <is>
          <t>2024-03</t>
        </is>
      </c>
      <c r="B352" t="inlineStr">
        <is>
          <t>Mars</t>
        </is>
      </c>
      <c r="C352" t="n">
        <v>3</v>
      </c>
      <c r="D352" t="inlineStr">
        <is>
          <t>T1</t>
        </is>
      </c>
      <c r="E352" t="inlineStr">
        <is>
          <t>Bokført</t>
        </is>
      </c>
      <c r="F352" t="inlineStr">
        <is>
          <t>Kommunal Boenhet</t>
        </is>
      </c>
      <c r="G352" t="n">
        <v>254</v>
      </c>
      <c r="H352" t="inlineStr">
        <is>
          <t>Helse og mestring</t>
        </is>
      </c>
      <c r="I352" t="inlineStr">
        <is>
          <t>1 Lønn</t>
        </is>
      </c>
      <c r="J352" t="inlineStr">
        <is>
          <t>10 Lønn</t>
        </is>
      </c>
      <c r="K352" t="n">
        <v>1099</v>
      </c>
      <c r="L352" t="n">
        <v>109999</v>
      </c>
      <c r="M352" t="inlineStr">
        <is>
          <t>Arbeidsgiveravgift</t>
        </is>
      </c>
      <c r="N352" s="98" t="n">
        <v>184283</v>
      </c>
      <c r="O352" s="98" t="n">
        <v>199701.82</v>
      </c>
      <c r="P352" s="98" t="n">
        <v>-15418.82</v>
      </c>
      <c r="Q352" s="98" t="n">
        <v>15418.82</v>
      </c>
    </row>
    <row r="353">
      <c r="A353" t="inlineStr">
        <is>
          <t>2024-04</t>
        </is>
      </c>
      <c r="B353" t="inlineStr">
        <is>
          <t>April</t>
        </is>
      </c>
      <c r="C353" t="n">
        <v>4</v>
      </c>
      <c r="D353" t="inlineStr">
        <is>
          <t>T1</t>
        </is>
      </c>
      <c r="E353" t="inlineStr">
        <is>
          <t>Bokført</t>
        </is>
      </c>
      <c r="F353" t="inlineStr">
        <is>
          <t>Kommunal Boenhet</t>
        </is>
      </c>
      <c r="G353" t="n">
        <v>254</v>
      </c>
      <c r="H353" t="inlineStr">
        <is>
          <t>Helse og mestring</t>
        </is>
      </c>
      <c r="I353" t="inlineStr">
        <is>
          <t>1 Lønn</t>
        </is>
      </c>
      <c r="J353" t="inlineStr">
        <is>
          <t>10 Lønn</t>
        </is>
      </c>
      <c r="K353" t="n">
        <v>1099</v>
      </c>
      <c r="L353" t="n">
        <v>109999</v>
      </c>
      <c r="M353" t="inlineStr">
        <is>
          <t>Arbeidsgiveravgift</t>
        </is>
      </c>
      <c r="N353" s="98" t="n">
        <v>308983</v>
      </c>
      <c r="O353" s="98" t="n">
        <v>286457.1</v>
      </c>
      <c r="P353" s="98" t="n">
        <v>22525.9</v>
      </c>
      <c r="Q353" s="98" t="n">
        <v>-22525.9</v>
      </c>
    </row>
    <row r="354">
      <c r="A354" t="inlineStr">
        <is>
          <t>2024-05</t>
        </is>
      </c>
      <c r="B354" t="inlineStr">
        <is>
          <t>Mai</t>
        </is>
      </c>
      <c r="C354" t="n">
        <v>5</v>
      </c>
      <c r="D354" t="inlineStr">
        <is>
          <t>T2</t>
        </is>
      </c>
      <c r="E354" t="inlineStr">
        <is>
          <t>Bokført</t>
        </is>
      </c>
      <c r="F354" t="inlineStr">
        <is>
          <t>Kommunal Boenhet</t>
        </is>
      </c>
      <c r="G354" t="n">
        <v>254</v>
      </c>
      <c r="H354" t="inlineStr">
        <is>
          <t>Helse og mestring</t>
        </is>
      </c>
      <c r="I354" t="inlineStr">
        <is>
          <t>1 Lønn</t>
        </is>
      </c>
      <c r="J354" t="inlineStr">
        <is>
          <t>10 Lønn</t>
        </is>
      </c>
      <c r="K354" t="n">
        <v>1099</v>
      </c>
      <c r="L354" t="n">
        <v>109999</v>
      </c>
      <c r="M354" t="inlineStr">
        <is>
          <t>Arbeidsgiveravgift</t>
        </is>
      </c>
      <c r="N354" s="98" t="n">
        <v>190108</v>
      </c>
      <c r="O354" s="98" t="n">
        <v>190833.22</v>
      </c>
      <c r="P354" s="98" t="n">
        <v>-725.22</v>
      </c>
      <c r="Q354" s="98" t="n">
        <v>725.22</v>
      </c>
    </row>
    <row r="355">
      <c r="A355" t="inlineStr">
        <is>
          <t>2024-06</t>
        </is>
      </c>
      <c r="B355" t="inlineStr">
        <is>
          <t>Juni</t>
        </is>
      </c>
      <c r="C355" t="n">
        <v>6</v>
      </c>
      <c r="D355" t="inlineStr">
        <is>
          <t>T2</t>
        </is>
      </c>
      <c r="E355" t="inlineStr">
        <is>
          <t>Bokført</t>
        </is>
      </c>
      <c r="F355" t="inlineStr">
        <is>
          <t>Kommunal Boenhet</t>
        </is>
      </c>
      <c r="G355" t="n">
        <v>254</v>
      </c>
      <c r="H355" t="inlineStr">
        <is>
          <t>Helse og mestring</t>
        </is>
      </c>
      <c r="I355" t="inlineStr">
        <is>
          <t>1 Lønn</t>
        </is>
      </c>
      <c r="J355" t="inlineStr">
        <is>
          <t>10 Lønn</t>
        </is>
      </c>
      <c r="K355" t="n">
        <v>1099</v>
      </c>
      <c r="L355" t="n">
        <v>109999</v>
      </c>
      <c r="M355" t="inlineStr">
        <is>
          <t>Arbeidsgiveravgift</t>
        </is>
      </c>
      <c r="N355" s="98" t="n">
        <v>-5583</v>
      </c>
      <c r="O355" s="98" t="n">
        <v>70719.10000000001</v>
      </c>
      <c r="P355" s="98" t="n">
        <v>-76302.10000000001</v>
      </c>
      <c r="Q355" s="98" t="n">
        <v>76302.10000000001</v>
      </c>
    </row>
    <row r="356">
      <c r="A356" t="inlineStr">
        <is>
          <t>2024-07</t>
        </is>
      </c>
      <c r="B356" t="inlineStr">
        <is>
          <t>Juli</t>
        </is>
      </c>
      <c r="C356" t="n">
        <v>7</v>
      </c>
      <c r="D356" t="inlineStr">
        <is>
          <t>T2</t>
        </is>
      </c>
      <c r="E356" t="inlineStr">
        <is>
          <t>Bokført</t>
        </is>
      </c>
      <c r="F356" t="inlineStr">
        <is>
          <t>Kommunal Boenhet</t>
        </is>
      </c>
      <c r="G356" t="n">
        <v>254</v>
      </c>
      <c r="H356" t="inlineStr">
        <is>
          <t>Helse og mestring</t>
        </is>
      </c>
      <c r="I356" t="inlineStr">
        <is>
          <t>1 Lønn</t>
        </is>
      </c>
      <c r="J356" t="inlineStr">
        <is>
          <t>10 Lønn</t>
        </is>
      </c>
      <c r="K356" t="n">
        <v>1099</v>
      </c>
      <c r="L356" t="n">
        <v>109999</v>
      </c>
      <c r="M356" t="inlineStr">
        <is>
          <t>Arbeidsgiveravgift</t>
        </is>
      </c>
      <c r="N356" s="98" t="n">
        <v>189347</v>
      </c>
      <c r="O356" s="98" t="n">
        <v>210674.84</v>
      </c>
      <c r="P356" s="98" t="n">
        <v>-21327.84</v>
      </c>
      <c r="Q356" s="98" t="n">
        <v>21327.84</v>
      </c>
    </row>
    <row r="357">
      <c r="A357" t="inlineStr">
        <is>
          <t>2024-08</t>
        </is>
      </c>
      <c r="B357" t="inlineStr">
        <is>
          <t>August</t>
        </is>
      </c>
      <c r="C357" t="n">
        <v>8</v>
      </c>
      <c r="D357" t="inlineStr">
        <is>
          <t>T2</t>
        </is>
      </c>
      <c r="E357" t="inlineStr">
        <is>
          <t>Bokført</t>
        </is>
      </c>
      <c r="F357" t="inlineStr">
        <is>
          <t>Kommunal Boenhet</t>
        </is>
      </c>
      <c r="G357" t="n">
        <v>254</v>
      </c>
      <c r="H357" t="inlineStr">
        <is>
          <t>Helse og mestring</t>
        </is>
      </c>
      <c r="I357" t="inlineStr">
        <is>
          <t>1 Lønn</t>
        </is>
      </c>
      <c r="J357" t="inlineStr">
        <is>
          <t>10 Lønn</t>
        </is>
      </c>
      <c r="K357" t="n">
        <v>1099</v>
      </c>
      <c r="L357" t="n">
        <v>109999</v>
      </c>
      <c r="M357" t="inlineStr">
        <is>
          <t>Arbeidsgiveravgift</t>
        </is>
      </c>
      <c r="N357" s="98" t="n">
        <v>190110</v>
      </c>
      <c r="O357" s="98" t="n">
        <v>182691.88</v>
      </c>
      <c r="P357" s="98" t="n">
        <v>7418.12</v>
      </c>
      <c r="Q357" s="98" t="n">
        <v>-7418.12</v>
      </c>
    </row>
    <row r="358">
      <c r="A358" t="inlineStr">
        <is>
          <t>2024-09</t>
        </is>
      </c>
      <c r="B358" t="inlineStr">
        <is>
          <t>September</t>
        </is>
      </c>
      <c r="C358" t="n">
        <v>9</v>
      </c>
      <c r="D358" t="inlineStr">
        <is>
          <t>T3</t>
        </is>
      </c>
      <c r="E358" t="inlineStr">
        <is>
          <t>Gjenstående budsjett</t>
        </is>
      </c>
      <c r="F358" t="inlineStr">
        <is>
          <t>Kommunal Boenhet</t>
        </is>
      </c>
      <c r="G358" t="n">
        <v>254</v>
      </c>
      <c r="H358" t="inlineStr">
        <is>
          <t>Helse og mestring</t>
        </is>
      </c>
      <c r="I358" t="inlineStr">
        <is>
          <t>1 Lønn</t>
        </is>
      </c>
      <c r="J358" t="inlineStr">
        <is>
          <t>10 Lønn</t>
        </is>
      </c>
      <c r="K358" t="n">
        <v>1099</v>
      </c>
      <c r="L358" t="n">
        <v>109999</v>
      </c>
      <c r="M358" t="inlineStr">
        <is>
          <t>Arbeidsgiveravgift</t>
        </is>
      </c>
      <c r="N358" s="98" t="n">
        <v>190113</v>
      </c>
      <c r="O358" s="98" t="n">
        <v>0</v>
      </c>
      <c r="P358" s="98" t="n">
        <v>0</v>
      </c>
      <c r="Q358" s="98" t="n">
        <v>-190113</v>
      </c>
    </row>
    <row r="359">
      <c r="A359" t="inlineStr">
        <is>
          <t>2024-10</t>
        </is>
      </c>
      <c r="B359" t="inlineStr">
        <is>
          <t>Oktober</t>
        </is>
      </c>
      <c r="C359" t="n">
        <v>10</v>
      </c>
      <c r="D359" t="inlineStr">
        <is>
          <t>T3</t>
        </is>
      </c>
      <c r="E359" t="inlineStr">
        <is>
          <t>Gjenstående budsjett</t>
        </is>
      </c>
      <c r="F359" t="inlineStr">
        <is>
          <t>Kommunal Boenhet</t>
        </is>
      </c>
      <c r="G359" t="n">
        <v>254</v>
      </c>
      <c r="H359" t="inlineStr">
        <is>
          <t>Helse og mestring</t>
        </is>
      </c>
      <c r="I359" t="inlineStr">
        <is>
          <t>1 Lønn</t>
        </is>
      </c>
      <c r="J359" t="inlineStr">
        <is>
          <t>10 Lønn</t>
        </is>
      </c>
      <c r="K359" t="n">
        <v>1099</v>
      </c>
      <c r="L359" t="n">
        <v>109999</v>
      </c>
      <c r="M359" t="inlineStr">
        <is>
          <t>Arbeidsgiveravgift</t>
        </is>
      </c>
      <c r="N359" s="98" t="n">
        <v>190115</v>
      </c>
      <c r="O359" s="98" t="n">
        <v>0</v>
      </c>
      <c r="P359" s="98" t="n">
        <v>0</v>
      </c>
      <c r="Q359" s="98" t="n">
        <v>-190115</v>
      </c>
    </row>
    <row r="360">
      <c r="A360" t="inlineStr">
        <is>
          <t>2024-11</t>
        </is>
      </c>
      <c r="B360" t="inlineStr">
        <is>
          <t>November</t>
        </is>
      </c>
      <c r="C360" t="n">
        <v>11</v>
      </c>
      <c r="D360" t="inlineStr">
        <is>
          <t>T3</t>
        </is>
      </c>
      <c r="E360" t="inlineStr">
        <is>
          <t>Gjenstående budsjett</t>
        </is>
      </c>
      <c r="F360" t="inlineStr">
        <is>
          <t>Kommunal Boenhet</t>
        </is>
      </c>
      <c r="G360" t="n">
        <v>254</v>
      </c>
      <c r="H360" t="inlineStr">
        <is>
          <t>Helse og mestring</t>
        </is>
      </c>
      <c r="I360" t="inlineStr">
        <is>
          <t>1 Lønn</t>
        </is>
      </c>
      <c r="J360" t="inlineStr">
        <is>
          <t>10 Lønn</t>
        </is>
      </c>
      <c r="K360" t="n">
        <v>1099</v>
      </c>
      <c r="L360" t="n">
        <v>109999</v>
      </c>
      <c r="M360" t="inlineStr">
        <is>
          <t>Arbeidsgiveravgift</t>
        </is>
      </c>
      <c r="N360" s="98" t="n">
        <v>190111</v>
      </c>
      <c r="O360" s="98" t="n">
        <v>0</v>
      </c>
      <c r="P360" s="98" t="n">
        <v>0</v>
      </c>
      <c r="Q360" s="98" t="n">
        <v>-190111</v>
      </c>
    </row>
    <row r="361">
      <c r="A361" t="inlineStr">
        <is>
          <t>2024-12</t>
        </is>
      </c>
      <c r="B361" t="inlineStr">
        <is>
          <t>Desember</t>
        </is>
      </c>
      <c r="C361" t="n">
        <v>12</v>
      </c>
      <c r="D361" t="inlineStr">
        <is>
          <t>T3</t>
        </is>
      </c>
      <c r="E361" t="inlineStr">
        <is>
          <t>Gjenstående budsjett</t>
        </is>
      </c>
      <c r="F361" t="inlineStr">
        <is>
          <t>Kommunal Boenhet</t>
        </is>
      </c>
      <c r="G361" t="n">
        <v>254</v>
      </c>
      <c r="H361" t="inlineStr">
        <is>
          <t>Helse og mestring</t>
        </is>
      </c>
      <c r="I361" t="inlineStr">
        <is>
          <t>1 Lønn</t>
        </is>
      </c>
      <c r="J361" t="inlineStr">
        <is>
          <t>10 Lønn</t>
        </is>
      </c>
      <c r="K361" t="n">
        <v>1099</v>
      </c>
      <c r="L361" t="n">
        <v>109999</v>
      </c>
      <c r="M361" t="inlineStr">
        <is>
          <t>Arbeidsgiveravgift</t>
        </is>
      </c>
      <c r="N361" s="98" t="n">
        <v>207011</v>
      </c>
      <c r="O361" s="98" t="n">
        <v>0</v>
      </c>
      <c r="P361" s="98" t="n">
        <v>0</v>
      </c>
      <c r="Q361" s="98" t="n">
        <v>-207011</v>
      </c>
    </row>
    <row r="362">
      <c r="A362" t="inlineStr">
        <is>
          <t>2024-01</t>
        </is>
      </c>
      <c r="B362" t="inlineStr">
        <is>
          <t>Januar</t>
        </is>
      </c>
      <c r="C362" t="n">
        <v>1</v>
      </c>
      <c r="D362" t="inlineStr">
        <is>
          <t>T1</t>
        </is>
      </c>
      <c r="E362" t="inlineStr">
        <is>
          <t>Bokført</t>
        </is>
      </c>
      <c r="F362" t="inlineStr">
        <is>
          <t>Kommunal Boenhet</t>
        </is>
      </c>
      <c r="G362" t="n">
        <v>254</v>
      </c>
      <c r="H362" t="inlineStr">
        <is>
          <t>Helse og mestring</t>
        </is>
      </c>
      <c r="I362" t="inlineStr">
        <is>
          <t>1 Lønn</t>
        </is>
      </c>
      <c r="J362" t="inlineStr">
        <is>
          <t>11 Refusjon lønn</t>
        </is>
      </c>
      <c r="K362" t="n">
        <v>1710</v>
      </c>
      <c r="L362" t="n">
        <v>171000</v>
      </c>
      <c r="M362" t="inlineStr">
        <is>
          <t>Refusjon sykepenger</t>
        </is>
      </c>
      <c r="N362" s="98" t="n">
        <v>-45399</v>
      </c>
      <c r="O362" s="98" t="n">
        <v>-5370</v>
      </c>
      <c r="P362" s="98" t="n">
        <v>-40029</v>
      </c>
      <c r="Q362" s="98" t="n">
        <v>40029</v>
      </c>
    </row>
    <row r="363">
      <c r="A363" t="inlineStr">
        <is>
          <t>2024-02</t>
        </is>
      </c>
      <c r="B363" t="inlineStr">
        <is>
          <t>Februar</t>
        </is>
      </c>
      <c r="C363" t="n">
        <v>2</v>
      </c>
      <c r="D363" t="inlineStr">
        <is>
          <t>T1</t>
        </is>
      </c>
      <c r="E363" t="inlineStr">
        <is>
          <t>Bokført</t>
        </is>
      </c>
      <c r="F363" t="inlineStr">
        <is>
          <t>Kommunal Boenhet</t>
        </is>
      </c>
      <c r="G363" t="n">
        <v>254</v>
      </c>
      <c r="H363" t="inlineStr">
        <is>
          <t>Helse og mestring</t>
        </is>
      </c>
      <c r="I363" t="inlineStr">
        <is>
          <t>1 Lønn</t>
        </is>
      </c>
      <c r="J363" t="inlineStr">
        <is>
          <t>11 Refusjon lønn</t>
        </is>
      </c>
      <c r="K363" t="n">
        <v>1710</v>
      </c>
      <c r="L363" t="n">
        <v>171000</v>
      </c>
      <c r="M363" t="inlineStr">
        <is>
          <t>Refusjon sykepenger</t>
        </is>
      </c>
      <c r="N363" s="98" t="n">
        <v>-45399</v>
      </c>
      <c r="O363" s="98" t="n">
        <v>-80559</v>
      </c>
      <c r="P363" s="98" t="n">
        <v>35160</v>
      </c>
      <c r="Q363" s="98" t="n">
        <v>-35160</v>
      </c>
    </row>
    <row r="364">
      <c r="A364" t="inlineStr">
        <is>
          <t>2024-03</t>
        </is>
      </c>
      <c r="B364" t="inlineStr">
        <is>
          <t>Mars</t>
        </is>
      </c>
      <c r="C364" t="n">
        <v>3</v>
      </c>
      <c r="D364" t="inlineStr">
        <is>
          <t>T1</t>
        </is>
      </c>
      <c r="E364" t="inlineStr">
        <is>
          <t>Bokført</t>
        </is>
      </c>
      <c r="F364" t="inlineStr">
        <is>
          <t>Kommunal Boenhet</t>
        </is>
      </c>
      <c r="G364" t="n">
        <v>254</v>
      </c>
      <c r="H364" t="inlineStr">
        <is>
          <t>Helse og mestring</t>
        </is>
      </c>
      <c r="I364" t="inlineStr">
        <is>
          <t>1 Lønn</t>
        </is>
      </c>
      <c r="J364" t="inlineStr">
        <is>
          <t>11 Refusjon lønn</t>
        </is>
      </c>
      <c r="K364" t="n">
        <v>1710</v>
      </c>
      <c r="L364" t="n">
        <v>171000</v>
      </c>
      <c r="M364" t="inlineStr">
        <is>
          <t>Refusjon sykepenger</t>
        </is>
      </c>
      <c r="N364" s="98" t="n">
        <v>-45399</v>
      </c>
      <c r="O364" s="98" t="n">
        <v>-45142</v>
      </c>
      <c r="P364" s="98" t="n">
        <v>-257</v>
      </c>
      <c r="Q364" s="98" t="n">
        <v>257</v>
      </c>
    </row>
    <row r="365">
      <c r="A365" t="inlineStr">
        <is>
          <t>2024-04</t>
        </is>
      </c>
      <c r="B365" t="inlineStr">
        <is>
          <t>April</t>
        </is>
      </c>
      <c r="C365" t="n">
        <v>4</v>
      </c>
      <c r="D365" t="inlineStr">
        <is>
          <t>T1</t>
        </is>
      </c>
      <c r="E365" t="inlineStr">
        <is>
          <t>Bokført</t>
        </is>
      </c>
      <c r="F365" t="inlineStr">
        <is>
          <t>Kommunal Boenhet</t>
        </is>
      </c>
      <c r="G365" t="n">
        <v>254</v>
      </c>
      <c r="H365" t="inlineStr">
        <is>
          <t>Helse og mestring</t>
        </is>
      </c>
      <c r="I365" t="inlineStr">
        <is>
          <t>1 Lønn</t>
        </is>
      </c>
      <c r="J365" t="inlineStr">
        <is>
          <t>11 Refusjon lønn</t>
        </is>
      </c>
      <c r="K365" t="n">
        <v>1710</v>
      </c>
      <c r="L365" t="n">
        <v>171000</v>
      </c>
      <c r="M365" t="inlineStr">
        <is>
          <t>Refusjon sykepenger</t>
        </is>
      </c>
      <c r="N365" s="98" t="n">
        <v>-45399</v>
      </c>
      <c r="O365" s="98" t="n">
        <v>-73049</v>
      </c>
      <c r="P365" s="98" t="n">
        <v>27650</v>
      </c>
      <c r="Q365" s="98" t="n">
        <v>-27650</v>
      </c>
    </row>
    <row r="366">
      <c r="A366" t="inlineStr">
        <is>
          <t>2024-05</t>
        </is>
      </c>
      <c r="B366" t="inlineStr">
        <is>
          <t>Mai</t>
        </is>
      </c>
      <c r="C366" t="n">
        <v>5</v>
      </c>
      <c r="D366" t="inlineStr">
        <is>
          <t>T2</t>
        </is>
      </c>
      <c r="E366" t="inlineStr">
        <is>
          <t>Bokført</t>
        </is>
      </c>
      <c r="F366" t="inlineStr">
        <is>
          <t>Kommunal Boenhet</t>
        </is>
      </c>
      <c r="G366" t="n">
        <v>254</v>
      </c>
      <c r="H366" t="inlineStr">
        <is>
          <t>Helse og mestring</t>
        </is>
      </c>
      <c r="I366" t="inlineStr">
        <is>
          <t>1 Lønn</t>
        </is>
      </c>
      <c r="J366" t="inlineStr">
        <is>
          <t>11 Refusjon lønn</t>
        </is>
      </c>
      <c r="K366" t="n">
        <v>1710</v>
      </c>
      <c r="L366" t="n">
        <v>171000</v>
      </c>
      <c r="M366" t="inlineStr">
        <is>
          <t>Refusjon sykepenger</t>
        </is>
      </c>
      <c r="N366" s="98" t="n">
        <v>-45399</v>
      </c>
      <c r="O366" s="98" t="n">
        <v>-1975</v>
      </c>
      <c r="P366" s="98" t="n">
        <v>-43424</v>
      </c>
      <c r="Q366" s="98" t="n">
        <v>43424</v>
      </c>
    </row>
    <row r="367">
      <c r="A367" t="inlineStr">
        <is>
          <t>2024-06</t>
        </is>
      </c>
      <c r="B367" t="inlineStr">
        <is>
          <t>Juni</t>
        </is>
      </c>
      <c r="C367" t="n">
        <v>6</v>
      </c>
      <c r="D367" t="inlineStr">
        <is>
          <t>T2</t>
        </is>
      </c>
      <c r="E367" t="inlineStr">
        <is>
          <t>Bokført</t>
        </is>
      </c>
      <c r="F367" t="inlineStr">
        <is>
          <t>Kommunal Boenhet</t>
        </is>
      </c>
      <c r="G367" t="n">
        <v>254</v>
      </c>
      <c r="H367" t="inlineStr">
        <is>
          <t>Helse og mestring</t>
        </is>
      </c>
      <c r="I367" t="inlineStr">
        <is>
          <t>1 Lønn</t>
        </is>
      </c>
      <c r="J367" t="inlineStr">
        <is>
          <t>11 Refusjon lønn</t>
        </is>
      </c>
      <c r="K367" t="n">
        <v>1710</v>
      </c>
      <c r="L367" t="n">
        <v>171000</v>
      </c>
      <c r="M367" t="inlineStr">
        <is>
          <t>Refusjon sykepenger</t>
        </is>
      </c>
      <c r="N367" s="98" t="n">
        <v>-45399</v>
      </c>
      <c r="O367" s="98" t="n">
        <v>-62611</v>
      </c>
      <c r="P367" s="98" t="n">
        <v>17212</v>
      </c>
      <c r="Q367" s="98" t="n">
        <v>-17212</v>
      </c>
    </row>
    <row r="368">
      <c r="A368" t="inlineStr">
        <is>
          <t>2024-07</t>
        </is>
      </c>
      <c r="B368" t="inlineStr">
        <is>
          <t>Juli</t>
        </is>
      </c>
      <c r="C368" t="n">
        <v>7</v>
      </c>
      <c r="D368" t="inlineStr">
        <is>
          <t>T2</t>
        </is>
      </c>
      <c r="E368" t="inlineStr">
        <is>
          <t>Bokført</t>
        </is>
      </c>
      <c r="F368" t="inlineStr">
        <is>
          <t>Kommunal Boenhet</t>
        </is>
      </c>
      <c r="G368" t="n">
        <v>254</v>
      </c>
      <c r="H368" t="inlineStr">
        <is>
          <t>Helse og mestring</t>
        </is>
      </c>
      <c r="I368" t="inlineStr">
        <is>
          <t>1 Lønn</t>
        </is>
      </c>
      <c r="J368" t="inlineStr">
        <is>
          <t>11 Refusjon lønn</t>
        </is>
      </c>
      <c r="K368" t="n">
        <v>1710</v>
      </c>
      <c r="L368" t="n">
        <v>171000</v>
      </c>
      <c r="M368" t="inlineStr">
        <is>
          <t>Refusjon sykepenger</t>
        </is>
      </c>
      <c r="N368" s="98" t="n">
        <v>-45399</v>
      </c>
      <c r="O368" s="98" t="n">
        <v>-66066</v>
      </c>
      <c r="P368" s="98" t="n">
        <v>20667</v>
      </c>
      <c r="Q368" s="98" t="n">
        <v>-20667</v>
      </c>
    </row>
    <row r="369">
      <c r="A369" t="inlineStr">
        <is>
          <t>2024-08</t>
        </is>
      </c>
      <c r="B369" t="inlineStr">
        <is>
          <t>August</t>
        </is>
      </c>
      <c r="C369" t="n">
        <v>8</v>
      </c>
      <c r="D369" t="inlineStr">
        <is>
          <t>T2</t>
        </is>
      </c>
      <c r="E369" t="inlineStr">
        <is>
          <t>Bokført</t>
        </is>
      </c>
      <c r="F369" t="inlineStr">
        <is>
          <t>Kommunal Boenhet</t>
        </is>
      </c>
      <c r="G369" t="n">
        <v>254</v>
      </c>
      <c r="H369" t="inlineStr">
        <is>
          <t>Helse og mestring</t>
        </is>
      </c>
      <c r="I369" t="inlineStr">
        <is>
          <t>1 Lønn</t>
        </is>
      </c>
      <c r="J369" t="inlineStr">
        <is>
          <t>11 Refusjon lønn</t>
        </is>
      </c>
      <c r="K369" t="n">
        <v>1710</v>
      </c>
      <c r="L369" t="n">
        <v>171000</v>
      </c>
      <c r="M369" t="inlineStr">
        <is>
          <t>Refusjon sykepenger</t>
        </is>
      </c>
      <c r="N369" s="98" t="n">
        <v>-45399</v>
      </c>
      <c r="O369" s="98" t="n">
        <v>-36621</v>
      </c>
      <c r="P369" s="98" t="n">
        <v>-8778</v>
      </c>
      <c r="Q369" s="98" t="n">
        <v>8778</v>
      </c>
    </row>
    <row r="370">
      <c r="A370" t="inlineStr">
        <is>
          <t>2024-09</t>
        </is>
      </c>
      <c r="B370" t="inlineStr">
        <is>
          <t>September</t>
        </is>
      </c>
      <c r="C370" t="n">
        <v>9</v>
      </c>
      <c r="D370" t="inlineStr">
        <is>
          <t>T3</t>
        </is>
      </c>
      <c r="E370" t="inlineStr">
        <is>
          <t>Gjenstående budsjett</t>
        </is>
      </c>
      <c r="F370" t="inlineStr">
        <is>
          <t>Kommunal Boenhet</t>
        </is>
      </c>
      <c r="G370" t="n">
        <v>254</v>
      </c>
      <c r="H370" t="inlineStr">
        <is>
          <t>Helse og mestring</t>
        </is>
      </c>
      <c r="I370" t="inlineStr">
        <is>
          <t>1 Lønn</t>
        </is>
      </c>
      <c r="J370" t="inlineStr">
        <is>
          <t>11 Refusjon lønn</t>
        </is>
      </c>
      <c r="K370" t="n">
        <v>1710</v>
      </c>
      <c r="L370" t="n">
        <v>171000</v>
      </c>
      <c r="M370" t="inlineStr">
        <is>
          <t>Refusjon sykepenger</t>
        </is>
      </c>
      <c r="N370" s="98" t="n">
        <v>-45399</v>
      </c>
      <c r="O370" s="98" t="n">
        <v>0</v>
      </c>
      <c r="P370" s="98" t="n">
        <v>0</v>
      </c>
      <c r="Q370" s="98" t="n">
        <v>45399</v>
      </c>
    </row>
    <row r="371">
      <c r="A371" t="inlineStr">
        <is>
          <t>2024-10</t>
        </is>
      </c>
      <c r="B371" t="inlineStr">
        <is>
          <t>Oktober</t>
        </is>
      </c>
      <c r="C371" t="n">
        <v>10</v>
      </c>
      <c r="D371" t="inlineStr">
        <is>
          <t>T3</t>
        </is>
      </c>
      <c r="E371" t="inlineStr">
        <is>
          <t>Gjenstående budsjett</t>
        </is>
      </c>
      <c r="F371" t="inlineStr">
        <is>
          <t>Kommunal Boenhet</t>
        </is>
      </c>
      <c r="G371" t="n">
        <v>254</v>
      </c>
      <c r="H371" t="inlineStr">
        <is>
          <t>Helse og mestring</t>
        </is>
      </c>
      <c r="I371" t="inlineStr">
        <is>
          <t>1 Lønn</t>
        </is>
      </c>
      <c r="J371" t="inlineStr">
        <is>
          <t>11 Refusjon lønn</t>
        </is>
      </c>
      <c r="K371" t="n">
        <v>1710</v>
      </c>
      <c r="L371" t="n">
        <v>171000</v>
      </c>
      <c r="M371" t="inlineStr">
        <is>
          <t>Refusjon sykepenger</t>
        </is>
      </c>
      <c r="N371" s="98" t="n">
        <v>-45399</v>
      </c>
      <c r="O371" s="98" t="n">
        <v>0</v>
      </c>
      <c r="P371" s="98" t="n">
        <v>0</v>
      </c>
      <c r="Q371" s="98" t="n">
        <v>45399</v>
      </c>
    </row>
    <row r="372">
      <c r="A372" t="inlineStr">
        <is>
          <t>2024-11</t>
        </is>
      </c>
      <c r="B372" t="inlineStr">
        <is>
          <t>November</t>
        </is>
      </c>
      <c r="C372" t="n">
        <v>11</v>
      </c>
      <c r="D372" t="inlineStr">
        <is>
          <t>T3</t>
        </is>
      </c>
      <c r="E372" t="inlineStr">
        <is>
          <t>Gjenstående budsjett</t>
        </is>
      </c>
      <c r="F372" t="inlineStr">
        <is>
          <t>Kommunal Boenhet</t>
        </is>
      </c>
      <c r="G372" t="n">
        <v>254</v>
      </c>
      <c r="H372" t="inlineStr">
        <is>
          <t>Helse og mestring</t>
        </is>
      </c>
      <c r="I372" t="inlineStr">
        <is>
          <t>1 Lønn</t>
        </is>
      </c>
      <c r="J372" t="inlineStr">
        <is>
          <t>11 Refusjon lønn</t>
        </is>
      </c>
      <c r="K372" t="n">
        <v>1710</v>
      </c>
      <c r="L372" t="n">
        <v>171000</v>
      </c>
      <c r="M372" t="inlineStr">
        <is>
          <t>Refusjon sykepenger</t>
        </is>
      </c>
      <c r="N372" s="98" t="n">
        <v>-45399</v>
      </c>
      <c r="O372" s="98" t="n">
        <v>0</v>
      </c>
      <c r="P372" s="98" t="n">
        <v>0</v>
      </c>
      <c r="Q372" s="98" t="n">
        <v>45399</v>
      </c>
    </row>
    <row r="373">
      <c r="A373" t="inlineStr">
        <is>
          <t>2024-12</t>
        </is>
      </c>
      <c r="B373" t="inlineStr">
        <is>
          <t>Desember</t>
        </is>
      </c>
      <c r="C373" t="n">
        <v>12</v>
      </c>
      <c r="D373" t="inlineStr">
        <is>
          <t>T3</t>
        </is>
      </c>
      <c r="E373" t="inlineStr">
        <is>
          <t>Gjenstående budsjett</t>
        </is>
      </c>
      <c r="F373" t="inlineStr">
        <is>
          <t>Kommunal Boenhet</t>
        </is>
      </c>
      <c r="G373" t="n">
        <v>254</v>
      </c>
      <c r="H373" t="inlineStr">
        <is>
          <t>Helse og mestring</t>
        </is>
      </c>
      <c r="I373" t="inlineStr">
        <is>
          <t>1 Lønn</t>
        </is>
      </c>
      <c r="J373" t="inlineStr">
        <is>
          <t>11 Refusjon lønn</t>
        </is>
      </c>
      <c r="K373" t="n">
        <v>1710</v>
      </c>
      <c r="L373" t="n">
        <v>171000</v>
      </c>
      <c r="M373" t="inlineStr">
        <is>
          <t>Refusjon sykepenger</t>
        </is>
      </c>
      <c r="N373" s="98" t="n">
        <v>-45611</v>
      </c>
      <c r="O373" s="98" t="n">
        <v>0</v>
      </c>
      <c r="P373" s="98" t="n">
        <v>0</v>
      </c>
      <c r="Q373" s="98" t="n">
        <v>45611</v>
      </c>
    </row>
    <row r="374">
      <c r="A374" t="inlineStr">
        <is>
          <t>2024-01</t>
        </is>
      </c>
      <c r="B374" t="inlineStr">
        <is>
          <t>Januar</t>
        </is>
      </c>
      <c r="C374" t="n">
        <v>1</v>
      </c>
      <c r="D374" t="inlineStr">
        <is>
          <t>T1</t>
        </is>
      </c>
      <c r="E374" t="inlineStr">
        <is>
          <t>Bokført</t>
        </is>
      </c>
      <c r="F374" t="inlineStr">
        <is>
          <t>Kommunal Boenhet</t>
        </is>
      </c>
      <c r="G374" t="n">
        <v>254</v>
      </c>
      <c r="H374" t="inlineStr">
        <is>
          <t>Helse og mestring</t>
        </is>
      </c>
      <c r="I374" t="inlineStr">
        <is>
          <t>1 Lønn</t>
        </is>
      </c>
      <c r="J374" t="inlineStr">
        <is>
          <t>11 Refusjon lønn</t>
        </is>
      </c>
      <c r="K374" t="n">
        <v>1710</v>
      </c>
      <c r="L374" t="n">
        <v>171005</v>
      </c>
      <c r="M374" t="inlineStr">
        <is>
          <t>Refusjon foreldrepenger</t>
        </is>
      </c>
      <c r="N374" s="98" t="n">
        <v>-44149</v>
      </c>
      <c r="O374" s="98" t="n">
        <v>0</v>
      </c>
      <c r="P374" s="98" t="n">
        <v>-44149</v>
      </c>
      <c r="Q374" s="98" t="n">
        <v>44149</v>
      </c>
    </row>
    <row r="375">
      <c r="A375" t="inlineStr">
        <is>
          <t>2024-02</t>
        </is>
      </c>
      <c r="B375" t="inlineStr">
        <is>
          <t>Februar</t>
        </is>
      </c>
      <c r="C375" t="n">
        <v>2</v>
      </c>
      <c r="D375" t="inlineStr">
        <is>
          <t>T1</t>
        </is>
      </c>
      <c r="E375" t="inlineStr">
        <is>
          <t>Bokført</t>
        </is>
      </c>
      <c r="F375" t="inlineStr">
        <is>
          <t>Kommunal Boenhet</t>
        </is>
      </c>
      <c r="G375" t="n">
        <v>254</v>
      </c>
      <c r="H375" t="inlineStr">
        <is>
          <t>Helse og mestring</t>
        </is>
      </c>
      <c r="I375" t="inlineStr">
        <is>
          <t>1 Lønn</t>
        </is>
      </c>
      <c r="J375" t="inlineStr">
        <is>
          <t>11 Refusjon lønn</t>
        </is>
      </c>
      <c r="K375" t="n">
        <v>1710</v>
      </c>
      <c r="L375" t="n">
        <v>171005</v>
      </c>
      <c r="M375" t="inlineStr">
        <is>
          <t>Refusjon foreldrepenger</t>
        </is>
      </c>
      <c r="N375" s="98" t="n">
        <v>-44149</v>
      </c>
      <c r="O375" s="98" t="n">
        <v>-3928</v>
      </c>
      <c r="P375" s="98" t="n">
        <v>-40221</v>
      </c>
      <c r="Q375" s="98" t="n">
        <v>40221</v>
      </c>
    </row>
    <row r="376">
      <c r="A376" t="inlineStr">
        <is>
          <t>2024-03</t>
        </is>
      </c>
      <c r="B376" t="inlineStr">
        <is>
          <t>Mars</t>
        </is>
      </c>
      <c r="C376" t="n">
        <v>3</v>
      </c>
      <c r="D376" t="inlineStr">
        <is>
          <t>T1</t>
        </is>
      </c>
      <c r="E376" t="inlineStr">
        <is>
          <t>Bokført</t>
        </is>
      </c>
      <c r="F376" t="inlineStr">
        <is>
          <t>Kommunal Boenhet</t>
        </is>
      </c>
      <c r="G376" t="n">
        <v>254</v>
      </c>
      <c r="H376" t="inlineStr">
        <is>
          <t>Helse og mestring</t>
        </is>
      </c>
      <c r="I376" t="inlineStr">
        <is>
          <t>1 Lønn</t>
        </is>
      </c>
      <c r="J376" t="inlineStr">
        <is>
          <t>11 Refusjon lønn</t>
        </is>
      </c>
      <c r="K376" t="n">
        <v>1710</v>
      </c>
      <c r="L376" t="n">
        <v>171005</v>
      </c>
      <c r="M376" t="inlineStr">
        <is>
          <t>Refusjon foreldrepenger</t>
        </is>
      </c>
      <c r="N376" s="98" t="n">
        <v>-44149</v>
      </c>
      <c r="O376" s="98" t="n">
        <v>-72352</v>
      </c>
      <c r="P376" s="98" t="n">
        <v>28203</v>
      </c>
      <c r="Q376" s="98" t="n">
        <v>-28203</v>
      </c>
    </row>
    <row r="377">
      <c r="A377" t="inlineStr">
        <is>
          <t>2024-04</t>
        </is>
      </c>
      <c r="B377" t="inlineStr">
        <is>
          <t>April</t>
        </is>
      </c>
      <c r="C377" t="n">
        <v>4</v>
      </c>
      <c r="D377" t="inlineStr">
        <is>
          <t>T1</t>
        </is>
      </c>
      <c r="E377" t="inlineStr">
        <is>
          <t>Bokført</t>
        </is>
      </c>
      <c r="F377" t="inlineStr">
        <is>
          <t>Kommunal Boenhet</t>
        </is>
      </c>
      <c r="G377" t="n">
        <v>254</v>
      </c>
      <c r="H377" t="inlineStr">
        <is>
          <t>Helse og mestring</t>
        </is>
      </c>
      <c r="I377" t="inlineStr">
        <is>
          <t>1 Lønn</t>
        </is>
      </c>
      <c r="J377" t="inlineStr">
        <is>
          <t>11 Refusjon lønn</t>
        </is>
      </c>
      <c r="K377" t="n">
        <v>1710</v>
      </c>
      <c r="L377" t="n">
        <v>171005</v>
      </c>
      <c r="M377" t="inlineStr">
        <is>
          <t>Refusjon foreldrepenger</t>
        </is>
      </c>
      <c r="N377" s="98" t="n">
        <v>-44149</v>
      </c>
      <c r="O377" s="98" t="n">
        <v>-34750</v>
      </c>
      <c r="P377" s="98" t="n">
        <v>-9399</v>
      </c>
      <c r="Q377" s="98" t="n">
        <v>9399</v>
      </c>
    </row>
    <row r="378">
      <c r="A378" t="inlineStr">
        <is>
          <t>2024-05</t>
        </is>
      </c>
      <c r="B378" t="inlineStr">
        <is>
          <t>Mai</t>
        </is>
      </c>
      <c r="C378" t="n">
        <v>5</v>
      </c>
      <c r="D378" t="inlineStr">
        <is>
          <t>T2</t>
        </is>
      </c>
      <c r="E378" t="inlineStr">
        <is>
          <t>Bokført</t>
        </is>
      </c>
      <c r="F378" t="inlineStr">
        <is>
          <t>Kommunal Boenhet</t>
        </is>
      </c>
      <c r="G378" t="n">
        <v>254</v>
      </c>
      <c r="H378" t="inlineStr">
        <is>
          <t>Helse og mestring</t>
        </is>
      </c>
      <c r="I378" t="inlineStr">
        <is>
          <t>1 Lønn</t>
        </is>
      </c>
      <c r="J378" t="inlineStr">
        <is>
          <t>11 Refusjon lønn</t>
        </is>
      </c>
      <c r="K378" t="n">
        <v>1710</v>
      </c>
      <c r="L378" t="n">
        <v>171005</v>
      </c>
      <c r="M378" t="inlineStr">
        <is>
          <t>Refusjon foreldrepenger</t>
        </is>
      </c>
      <c r="N378" s="98" t="n">
        <v>-44149</v>
      </c>
      <c r="O378" s="98" t="n">
        <v>-91375</v>
      </c>
      <c r="P378" s="98" t="n">
        <v>47226</v>
      </c>
      <c r="Q378" s="98" t="n">
        <v>-47226</v>
      </c>
    </row>
    <row r="379">
      <c r="A379" t="inlineStr">
        <is>
          <t>2024-06</t>
        </is>
      </c>
      <c r="B379" t="inlineStr">
        <is>
          <t>Juni</t>
        </is>
      </c>
      <c r="C379" t="n">
        <v>6</v>
      </c>
      <c r="D379" t="inlineStr">
        <is>
          <t>T2</t>
        </is>
      </c>
      <c r="E379" t="inlineStr">
        <is>
          <t>Bokført</t>
        </is>
      </c>
      <c r="F379" t="inlineStr">
        <is>
          <t>Kommunal Boenhet</t>
        </is>
      </c>
      <c r="G379" t="n">
        <v>254</v>
      </c>
      <c r="H379" t="inlineStr">
        <is>
          <t>Helse og mestring</t>
        </is>
      </c>
      <c r="I379" t="inlineStr">
        <is>
          <t>1 Lønn</t>
        </is>
      </c>
      <c r="J379" t="inlineStr">
        <is>
          <t>11 Refusjon lønn</t>
        </is>
      </c>
      <c r="K379" t="n">
        <v>1710</v>
      </c>
      <c r="L379" t="n">
        <v>171005</v>
      </c>
      <c r="M379" t="inlineStr">
        <is>
          <t>Refusjon foreldrepenger</t>
        </is>
      </c>
      <c r="N379" s="98" t="n">
        <v>-44150</v>
      </c>
      <c r="O379" s="98" t="n">
        <v>-49830</v>
      </c>
      <c r="P379" s="98" t="n">
        <v>5680</v>
      </c>
      <c r="Q379" s="98" t="n">
        <v>-5680</v>
      </c>
    </row>
    <row r="380">
      <c r="A380" t="inlineStr">
        <is>
          <t>2024-07</t>
        </is>
      </c>
      <c r="B380" t="inlineStr">
        <is>
          <t>Juli</t>
        </is>
      </c>
      <c r="C380" t="n">
        <v>7</v>
      </c>
      <c r="D380" t="inlineStr">
        <is>
          <t>T2</t>
        </is>
      </c>
      <c r="E380" t="inlineStr">
        <is>
          <t>Bokført</t>
        </is>
      </c>
      <c r="F380" t="inlineStr">
        <is>
          <t>Kommunal Boenhet</t>
        </is>
      </c>
      <c r="G380" t="n">
        <v>254</v>
      </c>
      <c r="H380" t="inlineStr">
        <is>
          <t>Helse og mestring</t>
        </is>
      </c>
      <c r="I380" t="inlineStr">
        <is>
          <t>1 Lønn</t>
        </is>
      </c>
      <c r="J380" t="inlineStr">
        <is>
          <t>11 Refusjon lønn</t>
        </is>
      </c>
      <c r="K380" t="n">
        <v>1710</v>
      </c>
      <c r="L380" t="n">
        <v>171005</v>
      </c>
      <c r="M380" t="inlineStr">
        <is>
          <t>Refusjon foreldrepenger</t>
        </is>
      </c>
      <c r="N380" s="98" t="n">
        <v>-44149</v>
      </c>
      <c r="O380" s="98" t="n">
        <v>-49529</v>
      </c>
      <c r="P380" s="98" t="n">
        <v>5380</v>
      </c>
      <c r="Q380" s="98" t="n">
        <v>-5380</v>
      </c>
    </row>
    <row r="381">
      <c r="A381" t="inlineStr">
        <is>
          <t>2024-08</t>
        </is>
      </c>
      <c r="B381" t="inlineStr">
        <is>
          <t>August</t>
        </is>
      </c>
      <c r="C381" t="n">
        <v>8</v>
      </c>
      <c r="D381" t="inlineStr">
        <is>
          <t>T2</t>
        </is>
      </c>
      <c r="E381" t="inlineStr">
        <is>
          <t>Bokført</t>
        </is>
      </c>
      <c r="F381" t="inlineStr">
        <is>
          <t>Kommunal Boenhet</t>
        </is>
      </c>
      <c r="G381" t="n">
        <v>254</v>
      </c>
      <c r="H381" t="inlineStr">
        <is>
          <t>Helse og mestring</t>
        </is>
      </c>
      <c r="I381" t="inlineStr">
        <is>
          <t>1 Lønn</t>
        </is>
      </c>
      <c r="J381" t="inlineStr">
        <is>
          <t>11 Refusjon lønn</t>
        </is>
      </c>
      <c r="K381" t="n">
        <v>1710</v>
      </c>
      <c r="L381" t="n">
        <v>171005</v>
      </c>
      <c r="M381" t="inlineStr">
        <is>
          <t>Refusjon foreldrepenger</t>
        </is>
      </c>
      <c r="N381" s="98" t="n">
        <v>-44149</v>
      </c>
      <c r="O381" s="98" t="n">
        <v>-59548</v>
      </c>
      <c r="P381" s="98" t="n">
        <v>15399</v>
      </c>
      <c r="Q381" s="98" t="n">
        <v>-15399</v>
      </c>
    </row>
    <row r="382">
      <c r="A382" t="inlineStr">
        <is>
          <t>2024-09</t>
        </is>
      </c>
      <c r="B382" t="inlineStr">
        <is>
          <t>September</t>
        </is>
      </c>
      <c r="C382" t="n">
        <v>9</v>
      </c>
      <c r="D382" t="inlineStr">
        <is>
          <t>T3</t>
        </is>
      </c>
      <c r="E382" t="inlineStr">
        <is>
          <t>Gjenstående budsjett</t>
        </is>
      </c>
      <c r="F382" t="inlineStr">
        <is>
          <t>Kommunal Boenhet</t>
        </is>
      </c>
      <c r="G382" t="n">
        <v>254</v>
      </c>
      <c r="H382" t="inlineStr">
        <is>
          <t>Helse og mestring</t>
        </is>
      </c>
      <c r="I382" t="inlineStr">
        <is>
          <t>1 Lønn</t>
        </is>
      </c>
      <c r="J382" t="inlineStr">
        <is>
          <t>11 Refusjon lønn</t>
        </is>
      </c>
      <c r="K382" t="n">
        <v>1710</v>
      </c>
      <c r="L382" t="n">
        <v>171005</v>
      </c>
      <c r="M382" t="inlineStr">
        <is>
          <t>Refusjon foreldrepenger</t>
        </is>
      </c>
      <c r="N382" s="98" t="n">
        <v>-44149</v>
      </c>
      <c r="O382" s="98" t="n">
        <v>0</v>
      </c>
      <c r="P382" s="98" t="n">
        <v>0</v>
      </c>
      <c r="Q382" s="98" t="n">
        <v>44149</v>
      </c>
    </row>
    <row r="383">
      <c r="A383" t="inlineStr">
        <is>
          <t>2024-10</t>
        </is>
      </c>
      <c r="B383" t="inlineStr">
        <is>
          <t>Oktober</t>
        </is>
      </c>
      <c r="C383" t="n">
        <v>10</v>
      </c>
      <c r="D383" t="inlineStr">
        <is>
          <t>T3</t>
        </is>
      </c>
      <c r="E383" t="inlineStr">
        <is>
          <t>Gjenstående budsjett</t>
        </is>
      </c>
      <c r="F383" t="inlineStr">
        <is>
          <t>Kommunal Boenhet</t>
        </is>
      </c>
      <c r="G383" t="n">
        <v>254</v>
      </c>
      <c r="H383" t="inlineStr">
        <is>
          <t>Helse og mestring</t>
        </is>
      </c>
      <c r="I383" t="inlineStr">
        <is>
          <t>1 Lønn</t>
        </is>
      </c>
      <c r="J383" t="inlineStr">
        <is>
          <t>11 Refusjon lønn</t>
        </is>
      </c>
      <c r="K383" t="n">
        <v>1710</v>
      </c>
      <c r="L383" t="n">
        <v>171005</v>
      </c>
      <c r="M383" t="inlineStr">
        <is>
          <t>Refusjon foreldrepenger</t>
        </is>
      </c>
      <c r="N383" s="98" t="n">
        <v>-44149</v>
      </c>
      <c r="O383" s="98" t="n">
        <v>0</v>
      </c>
      <c r="P383" s="98" t="n">
        <v>0</v>
      </c>
      <c r="Q383" s="98" t="n">
        <v>44149</v>
      </c>
    </row>
    <row r="384">
      <c r="A384" t="inlineStr">
        <is>
          <t>2024-11</t>
        </is>
      </c>
      <c r="B384" t="inlineStr">
        <is>
          <t>November</t>
        </is>
      </c>
      <c r="C384" t="n">
        <v>11</v>
      </c>
      <c r="D384" t="inlineStr">
        <is>
          <t>T3</t>
        </is>
      </c>
      <c r="E384" t="inlineStr">
        <is>
          <t>Gjenstående budsjett</t>
        </is>
      </c>
      <c r="F384" t="inlineStr">
        <is>
          <t>Kommunal Boenhet</t>
        </is>
      </c>
      <c r="G384" t="n">
        <v>254</v>
      </c>
      <c r="H384" t="inlineStr">
        <is>
          <t>Helse og mestring</t>
        </is>
      </c>
      <c r="I384" t="inlineStr">
        <is>
          <t>1 Lønn</t>
        </is>
      </c>
      <c r="J384" t="inlineStr">
        <is>
          <t>11 Refusjon lønn</t>
        </is>
      </c>
      <c r="K384" t="n">
        <v>1710</v>
      </c>
      <c r="L384" t="n">
        <v>171005</v>
      </c>
      <c r="M384" t="inlineStr">
        <is>
          <t>Refusjon foreldrepenger</t>
        </is>
      </c>
      <c r="N384" s="98" t="n">
        <v>-44149</v>
      </c>
      <c r="O384" s="98" t="n">
        <v>0</v>
      </c>
      <c r="P384" s="98" t="n">
        <v>0</v>
      </c>
      <c r="Q384" s="98" t="n">
        <v>44149</v>
      </c>
    </row>
    <row r="385">
      <c r="A385" t="inlineStr">
        <is>
          <t>2024-12</t>
        </is>
      </c>
      <c r="B385" t="inlineStr">
        <is>
          <t>Desember</t>
        </is>
      </c>
      <c r="C385" t="n">
        <v>12</v>
      </c>
      <c r="D385" t="inlineStr">
        <is>
          <t>T3</t>
        </is>
      </c>
      <c r="E385" t="inlineStr">
        <is>
          <t>Gjenstående budsjett</t>
        </is>
      </c>
      <c r="F385" t="inlineStr">
        <is>
          <t>Kommunal Boenhet</t>
        </is>
      </c>
      <c r="G385" t="n">
        <v>254</v>
      </c>
      <c r="H385" t="inlineStr">
        <is>
          <t>Helse og mestring</t>
        </is>
      </c>
      <c r="I385" t="inlineStr">
        <is>
          <t>1 Lønn</t>
        </is>
      </c>
      <c r="J385" t="inlineStr">
        <is>
          <t>11 Refusjon lønn</t>
        </is>
      </c>
      <c r="K385" t="n">
        <v>1710</v>
      </c>
      <c r="L385" t="n">
        <v>171005</v>
      </c>
      <c r="M385" t="inlineStr">
        <is>
          <t>Refusjon foreldrepenger</t>
        </is>
      </c>
      <c r="N385" s="98" t="n">
        <v>-44360</v>
      </c>
      <c r="O385" s="98" t="n">
        <v>0</v>
      </c>
      <c r="P385" s="98" t="n">
        <v>0</v>
      </c>
      <c r="Q385" s="98" t="n">
        <v>44360</v>
      </c>
    </row>
    <row r="386">
      <c r="A386" t="inlineStr">
        <is>
          <t>2024-01</t>
        </is>
      </c>
      <c r="B386" t="inlineStr">
        <is>
          <t>Januar</t>
        </is>
      </c>
      <c r="C386" t="n">
        <v>1</v>
      </c>
      <c r="D386" t="inlineStr">
        <is>
          <t>T1</t>
        </is>
      </c>
      <c r="E386" t="inlineStr">
        <is>
          <t>Bokført</t>
        </is>
      </c>
      <c r="F386" t="inlineStr">
        <is>
          <t>Kommunal Boenhet</t>
        </is>
      </c>
      <c r="G386" t="n">
        <v>254</v>
      </c>
      <c r="H386" t="inlineStr">
        <is>
          <t>Helse og mestring</t>
        </is>
      </c>
      <c r="I386" t="inlineStr">
        <is>
          <t>2 Utgifter</t>
        </is>
      </c>
      <c r="J386" t="inlineStr">
        <is>
          <t>11 Refusjon lønn</t>
        </is>
      </c>
      <c r="K386" t="n">
        <v>1100</v>
      </c>
      <c r="L386" t="n">
        <v>110000</v>
      </c>
      <c r="M386" t="inlineStr">
        <is>
          <t>Kontormateriell / rekvisita</t>
        </is>
      </c>
      <c r="N386" s="98" t="n">
        <v>1000</v>
      </c>
      <c r="O386" s="98" t="n">
        <v>412.8</v>
      </c>
      <c r="P386" s="98" t="n">
        <v>587.2</v>
      </c>
      <c r="Q386" s="98" t="n">
        <v>-587.2</v>
      </c>
    </row>
    <row r="387">
      <c r="A387" t="inlineStr">
        <is>
          <t>2024-02</t>
        </is>
      </c>
      <c r="B387" t="inlineStr">
        <is>
          <t>Februar</t>
        </is>
      </c>
      <c r="C387" t="n">
        <v>2</v>
      </c>
      <c r="D387" t="inlineStr">
        <is>
          <t>T1</t>
        </is>
      </c>
      <c r="E387" t="inlineStr">
        <is>
          <t>Bokført</t>
        </is>
      </c>
      <c r="F387" t="inlineStr">
        <is>
          <t>Kommunal Boenhet</t>
        </is>
      </c>
      <c r="G387" t="n">
        <v>254</v>
      </c>
      <c r="H387" t="inlineStr">
        <is>
          <t>Helse og mestring</t>
        </is>
      </c>
      <c r="I387" t="inlineStr">
        <is>
          <t>2 Utgifter</t>
        </is>
      </c>
      <c r="J387" t="inlineStr">
        <is>
          <t>11 Refusjon lønn</t>
        </is>
      </c>
      <c r="K387" t="n">
        <v>1100</v>
      </c>
      <c r="L387" t="n">
        <v>110000</v>
      </c>
      <c r="M387" t="inlineStr">
        <is>
          <t>Kontormateriell / rekvisita</t>
        </is>
      </c>
      <c r="N387" s="98" t="n">
        <v>1000</v>
      </c>
      <c r="O387" s="98" t="n">
        <v>609.3099999999999</v>
      </c>
      <c r="P387" s="98" t="n">
        <v>390.69</v>
      </c>
      <c r="Q387" s="98" t="n">
        <v>-390.69</v>
      </c>
    </row>
    <row r="388">
      <c r="A388" t="inlineStr">
        <is>
          <t>2024-03</t>
        </is>
      </c>
      <c r="B388" t="inlineStr">
        <is>
          <t>Mars</t>
        </is>
      </c>
      <c r="C388" t="n">
        <v>3</v>
      </c>
      <c r="D388" t="inlineStr">
        <is>
          <t>T1</t>
        </is>
      </c>
      <c r="E388" t="inlineStr">
        <is>
          <t>Bokført</t>
        </is>
      </c>
      <c r="F388" t="inlineStr">
        <is>
          <t>Kommunal Boenhet</t>
        </is>
      </c>
      <c r="G388" t="n">
        <v>254</v>
      </c>
      <c r="H388" t="inlineStr">
        <is>
          <t>Helse og mestring</t>
        </is>
      </c>
      <c r="I388" t="inlineStr">
        <is>
          <t>2 Utgifter</t>
        </is>
      </c>
      <c r="J388" t="inlineStr">
        <is>
          <t>11 Refusjon lønn</t>
        </is>
      </c>
      <c r="K388" t="n">
        <v>1100</v>
      </c>
      <c r="L388" t="n">
        <v>110000</v>
      </c>
      <c r="M388" t="inlineStr">
        <is>
          <t>Kontormateriell / rekvisita</t>
        </is>
      </c>
      <c r="N388" s="98" t="n">
        <v>1000</v>
      </c>
      <c r="O388" s="98" t="n">
        <v>1262.18</v>
      </c>
      <c r="P388" s="98" t="n">
        <v>-262.18</v>
      </c>
      <c r="Q388" s="98" t="n">
        <v>262.18</v>
      </c>
    </row>
    <row r="389">
      <c r="A389" t="inlineStr">
        <is>
          <t>2024-04</t>
        </is>
      </c>
      <c r="B389" t="inlineStr">
        <is>
          <t>April</t>
        </is>
      </c>
      <c r="C389" t="n">
        <v>4</v>
      </c>
      <c r="D389" t="inlineStr">
        <is>
          <t>T1</t>
        </is>
      </c>
      <c r="E389" t="inlineStr">
        <is>
          <t>Bokført</t>
        </is>
      </c>
      <c r="F389" t="inlineStr">
        <is>
          <t>Kommunal Boenhet</t>
        </is>
      </c>
      <c r="G389" t="n">
        <v>254</v>
      </c>
      <c r="H389" t="inlineStr">
        <is>
          <t>Helse og mestring</t>
        </is>
      </c>
      <c r="I389" t="inlineStr">
        <is>
          <t>2 Utgifter</t>
        </is>
      </c>
      <c r="J389" t="inlineStr">
        <is>
          <t>11 Refusjon lønn</t>
        </is>
      </c>
      <c r="K389" t="n">
        <v>1100</v>
      </c>
      <c r="L389" t="n">
        <v>110000</v>
      </c>
      <c r="M389" t="inlineStr">
        <is>
          <t>Kontormateriell / rekvisita</t>
        </is>
      </c>
      <c r="N389" s="98" t="n">
        <v>1000</v>
      </c>
      <c r="O389" s="98" t="n">
        <v>564.9</v>
      </c>
      <c r="P389" s="98" t="n">
        <v>435.1</v>
      </c>
      <c r="Q389" s="98" t="n">
        <v>-435.1</v>
      </c>
    </row>
    <row r="390">
      <c r="A390" t="inlineStr">
        <is>
          <t>2024-05</t>
        </is>
      </c>
      <c r="B390" t="inlineStr">
        <is>
          <t>Mai</t>
        </is>
      </c>
      <c r="C390" t="n">
        <v>5</v>
      </c>
      <c r="D390" t="inlineStr">
        <is>
          <t>T2</t>
        </is>
      </c>
      <c r="E390" t="inlineStr">
        <is>
          <t>Bokført</t>
        </is>
      </c>
      <c r="F390" t="inlineStr">
        <is>
          <t>Kommunal Boenhet</t>
        </is>
      </c>
      <c r="G390" t="n">
        <v>254</v>
      </c>
      <c r="H390" t="inlineStr">
        <is>
          <t>Helse og mestring</t>
        </is>
      </c>
      <c r="I390" t="inlineStr">
        <is>
          <t>2 Utgifter</t>
        </is>
      </c>
      <c r="J390" t="inlineStr">
        <is>
          <t>11 Refusjon lønn</t>
        </is>
      </c>
      <c r="K390" t="n">
        <v>1100</v>
      </c>
      <c r="L390" t="n">
        <v>110000</v>
      </c>
      <c r="M390" t="inlineStr">
        <is>
          <t>Kontormateriell / rekvisita</t>
        </is>
      </c>
      <c r="N390" s="98" t="n">
        <v>1000</v>
      </c>
      <c r="O390" s="98" t="n">
        <v>0</v>
      </c>
      <c r="P390" s="98" t="n">
        <v>1000</v>
      </c>
      <c r="Q390" s="98" t="n">
        <v>-1000</v>
      </c>
    </row>
    <row r="391">
      <c r="A391" t="inlineStr">
        <is>
          <t>2024-06</t>
        </is>
      </c>
      <c r="B391" t="inlineStr">
        <is>
          <t>Juni</t>
        </is>
      </c>
      <c r="C391" t="n">
        <v>6</v>
      </c>
      <c r="D391" t="inlineStr">
        <is>
          <t>T2</t>
        </is>
      </c>
      <c r="E391" t="inlineStr">
        <is>
          <t>Bokført</t>
        </is>
      </c>
      <c r="F391" t="inlineStr">
        <is>
          <t>Kommunal Boenhet</t>
        </is>
      </c>
      <c r="G391" t="n">
        <v>254</v>
      </c>
      <c r="H391" t="inlineStr">
        <is>
          <t>Helse og mestring</t>
        </is>
      </c>
      <c r="I391" t="inlineStr">
        <is>
          <t>2 Utgifter</t>
        </is>
      </c>
      <c r="J391" t="inlineStr">
        <is>
          <t>11 Refusjon lønn</t>
        </is>
      </c>
      <c r="K391" t="n">
        <v>1100</v>
      </c>
      <c r="L391" t="n">
        <v>110000</v>
      </c>
      <c r="M391" t="inlineStr">
        <is>
          <t>Kontormateriell / rekvisita</t>
        </is>
      </c>
      <c r="N391" s="98" t="n">
        <v>1000</v>
      </c>
      <c r="O391" s="98" t="n">
        <v>813.95</v>
      </c>
      <c r="P391" s="98" t="n">
        <v>186.05</v>
      </c>
      <c r="Q391" s="98" t="n">
        <v>-186.05</v>
      </c>
    </row>
    <row r="392">
      <c r="A392" t="inlineStr">
        <is>
          <t>2024-07</t>
        </is>
      </c>
      <c r="B392" t="inlineStr">
        <is>
          <t>Juli</t>
        </is>
      </c>
      <c r="C392" t="n">
        <v>7</v>
      </c>
      <c r="D392" t="inlineStr">
        <is>
          <t>T2</t>
        </is>
      </c>
      <c r="E392" t="inlineStr">
        <is>
          <t>Bokført</t>
        </is>
      </c>
      <c r="F392" t="inlineStr">
        <is>
          <t>Kommunal Boenhet</t>
        </is>
      </c>
      <c r="G392" t="n">
        <v>254</v>
      </c>
      <c r="H392" t="inlineStr">
        <is>
          <t>Helse og mestring</t>
        </is>
      </c>
      <c r="I392" t="inlineStr">
        <is>
          <t>2 Utgifter</t>
        </is>
      </c>
      <c r="J392" t="inlineStr">
        <is>
          <t>11 Refusjon lønn</t>
        </is>
      </c>
      <c r="K392" t="n">
        <v>1100</v>
      </c>
      <c r="L392" t="n">
        <v>110000</v>
      </c>
      <c r="M392" t="inlineStr">
        <is>
          <t>Kontormateriell / rekvisita</t>
        </is>
      </c>
      <c r="N392" s="98" t="n">
        <v>1000</v>
      </c>
      <c r="O392" s="98" t="n">
        <v>0</v>
      </c>
      <c r="P392" s="98" t="n">
        <v>1000</v>
      </c>
      <c r="Q392" s="98" t="n">
        <v>-1000</v>
      </c>
    </row>
    <row r="393">
      <c r="A393" t="inlineStr">
        <is>
          <t>2024-08</t>
        </is>
      </c>
      <c r="B393" t="inlineStr">
        <is>
          <t>August</t>
        </is>
      </c>
      <c r="C393" t="n">
        <v>8</v>
      </c>
      <c r="D393" t="inlineStr">
        <is>
          <t>T2</t>
        </is>
      </c>
      <c r="E393" t="inlineStr">
        <is>
          <t>Bokført</t>
        </is>
      </c>
      <c r="F393" t="inlineStr">
        <is>
          <t>Kommunal Boenhet</t>
        </is>
      </c>
      <c r="G393" t="n">
        <v>254</v>
      </c>
      <c r="H393" t="inlineStr">
        <is>
          <t>Helse og mestring</t>
        </is>
      </c>
      <c r="I393" t="inlineStr">
        <is>
          <t>2 Utgifter</t>
        </is>
      </c>
      <c r="J393" t="inlineStr">
        <is>
          <t>11 Refusjon lønn</t>
        </is>
      </c>
      <c r="K393" t="n">
        <v>1100</v>
      </c>
      <c r="L393" t="n">
        <v>110000</v>
      </c>
      <c r="M393" t="inlineStr">
        <is>
          <t>Kontormateriell / rekvisita</t>
        </is>
      </c>
      <c r="N393" s="98" t="n">
        <v>1000</v>
      </c>
      <c r="O393" s="98" t="n">
        <v>295.07</v>
      </c>
      <c r="P393" s="98" t="n">
        <v>704.9299999999999</v>
      </c>
      <c r="Q393" s="98" t="n">
        <v>-704.9299999999999</v>
      </c>
    </row>
    <row r="394">
      <c r="A394" t="inlineStr">
        <is>
          <t>2024-09</t>
        </is>
      </c>
      <c r="B394" t="inlineStr">
        <is>
          <t>September</t>
        </is>
      </c>
      <c r="C394" t="n">
        <v>9</v>
      </c>
      <c r="D394" t="inlineStr">
        <is>
          <t>T3</t>
        </is>
      </c>
      <c r="E394" t="inlineStr">
        <is>
          <t>Gjenstående budsjett</t>
        </is>
      </c>
      <c r="F394" t="inlineStr">
        <is>
          <t>Kommunal Boenhet</t>
        </is>
      </c>
      <c r="G394" t="n">
        <v>254</v>
      </c>
      <c r="H394" t="inlineStr">
        <is>
          <t>Helse og mestring</t>
        </is>
      </c>
      <c r="I394" t="inlineStr">
        <is>
          <t>2 Utgifter</t>
        </is>
      </c>
      <c r="J394" t="inlineStr">
        <is>
          <t>11 Refusjon lønn</t>
        </is>
      </c>
      <c r="K394" t="n">
        <v>1100</v>
      </c>
      <c r="L394" t="n">
        <v>110000</v>
      </c>
      <c r="M394" t="inlineStr">
        <is>
          <t>Kontormateriell / rekvisita</t>
        </is>
      </c>
      <c r="N394" s="98" t="n">
        <v>1000</v>
      </c>
      <c r="O394" s="98" t="n">
        <v>0</v>
      </c>
      <c r="P394" s="98" t="n">
        <v>0</v>
      </c>
      <c r="Q394" s="98" t="n">
        <v>-1000</v>
      </c>
    </row>
    <row r="395">
      <c r="A395" t="inlineStr">
        <is>
          <t>2024-10</t>
        </is>
      </c>
      <c r="B395" t="inlineStr">
        <is>
          <t>Oktober</t>
        </is>
      </c>
      <c r="C395" t="n">
        <v>10</v>
      </c>
      <c r="D395" t="inlineStr">
        <is>
          <t>T3</t>
        </is>
      </c>
      <c r="E395" t="inlineStr">
        <is>
          <t>Gjenstående budsjett</t>
        </is>
      </c>
      <c r="F395" t="inlineStr">
        <is>
          <t>Kommunal Boenhet</t>
        </is>
      </c>
      <c r="G395" t="n">
        <v>254</v>
      </c>
      <c r="H395" t="inlineStr">
        <is>
          <t>Helse og mestring</t>
        </is>
      </c>
      <c r="I395" t="inlineStr">
        <is>
          <t>2 Utgifter</t>
        </is>
      </c>
      <c r="J395" t="inlineStr">
        <is>
          <t>11 Refusjon lønn</t>
        </is>
      </c>
      <c r="K395" t="n">
        <v>1100</v>
      </c>
      <c r="L395" t="n">
        <v>110000</v>
      </c>
      <c r="M395" t="inlineStr">
        <is>
          <t>Kontormateriell / rekvisita</t>
        </is>
      </c>
      <c r="N395" s="98" t="n">
        <v>1000</v>
      </c>
      <c r="O395" s="98" t="n">
        <v>0</v>
      </c>
      <c r="P395" s="98" t="n">
        <v>0</v>
      </c>
      <c r="Q395" s="98" t="n">
        <v>-1000</v>
      </c>
    </row>
    <row r="396">
      <c r="A396" t="inlineStr">
        <is>
          <t>2024-11</t>
        </is>
      </c>
      <c r="B396" t="inlineStr">
        <is>
          <t>November</t>
        </is>
      </c>
      <c r="C396" t="n">
        <v>11</v>
      </c>
      <c r="D396" t="inlineStr">
        <is>
          <t>T3</t>
        </is>
      </c>
      <c r="E396" t="inlineStr">
        <is>
          <t>Gjenstående budsjett</t>
        </is>
      </c>
      <c r="F396" t="inlineStr">
        <is>
          <t>Kommunal Boenhet</t>
        </is>
      </c>
      <c r="G396" t="n">
        <v>254</v>
      </c>
      <c r="H396" t="inlineStr">
        <is>
          <t>Helse og mestring</t>
        </is>
      </c>
      <c r="I396" t="inlineStr">
        <is>
          <t>2 Utgifter</t>
        </is>
      </c>
      <c r="J396" t="inlineStr">
        <is>
          <t>11 Refusjon lønn</t>
        </is>
      </c>
      <c r="K396" t="n">
        <v>1100</v>
      </c>
      <c r="L396" t="n">
        <v>110000</v>
      </c>
      <c r="M396" t="inlineStr">
        <is>
          <t>Kontormateriell / rekvisita</t>
        </is>
      </c>
      <c r="N396" s="98" t="n">
        <v>1000</v>
      </c>
      <c r="O396" s="98" t="n">
        <v>0</v>
      </c>
      <c r="P396" s="98" t="n">
        <v>0</v>
      </c>
      <c r="Q396" s="98" t="n">
        <v>-1000</v>
      </c>
    </row>
    <row r="397">
      <c r="A397" t="inlineStr">
        <is>
          <t>2024-12</t>
        </is>
      </c>
      <c r="B397" t="inlineStr">
        <is>
          <t>Desember</t>
        </is>
      </c>
      <c r="C397" t="n">
        <v>12</v>
      </c>
      <c r="D397" t="inlineStr">
        <is>
          <t>T3</t>
        </is>
      </c>
      <c r="E397" t="inlineStr">
        <is>
          <t>Gjenstående budsjett</t>
        </is>
      </c>
      <c r="F397" t="inlineStr">
        <is>
          <t>Kommunal Boenhet</t>
        </is>
      </c>
      <c r="G397" t="n">
        <v>254</v>
      </c>
      <c r="H397" t="inlineStr">
        <is>
          <t>Helse og mestring</t>
        </is>
      </c>
      <c r="I397" t="inlineStr">
        <is>
          <t>2 Utgifter</t>
        </is>
      </c>
      <c r="J397" t="inlineStr">
        <is>
          <t>11 Refusjon lønn</t>
        </is>
      </c>
      <c r="K397" t="n">
        <v>1100</v>
      </c>
      <c r="L397" t="n">
        <v>110000</v>
      </c>
      <c r="M397" t="inlineStr">
        <is>
          <t>Kontormateriell / rekvisita</t>
        </is>
      </c>
      <c r="N397" s="98" t="n">
        <v>1000</v>
      </c>
      <c r="O397" s="98" t="n">
        <v>0</v>
      </c>
      <c r="P397" s="98" t="n">
        <v>0</v>
      </c>
      <c r="Q397" s="98" t="n">
        <v>-1000</v>
      </c>
    </row>
    <row r="398">
      <c r="A398" t="inlineStr">
        <is>
          <t>2024-01</t>
        </is>
      </c>
      <c r="B398" t="inlineStr">
        <is>
          <t>Januar</t>
        </is>
      </c>
      <c r="C398" t="n">
        <v>1</v>
      </c>
      <c r="D398" t="inlineStr">
        <is>
          <t>T1</t>
        </is>
      </c>
      <c r="E398" t="inlineStr">
        <is>
          <t>Bokført</t>
        </is>
      </c>
      <c r="F398" t="inlineStr">
        <is>
          <t>Kommunal Boenhet</t>
        </is>
      </c>
      <c r="G398" t="n">
        <v>254</v>
      </c>
      <c r="H398" t="inlineStr">
        <is>
          <t>Helse og mestring</t>
        </is>
      </c>
      <c r="I398" t="inlineStr">
        <is>
          <t>2 Utgifter</t>
        </is>
      </c>
      <c r="J398" t="inlineStr">
        <is>
          <t>11 Refusjon lønn</t>
        </is>
      </c>
      <c r="K398" t="n">
        <v>1100</v>
      </c>
      <c r="L398" t="n">
        <v>110020</v>
      </c>
      <c r="M398" t="inlineStr">
        <is>
          <t>Kopieringsmatriell - papir / toner (ikke leie)</t>
        </is>
      </c>
      <c r="N398" s="98" t="n">
        <v>270</v>
      </c>
      <c r="O398" s="98" t="n">
        <v>0</v>
      </c>
      <c r="P398" s="98" t="n">
        <v>270</v>
      </c>
      <c r="Q398" s="98" t="n">
        <v>-270</v>
      </c>
    </row>
    <row r="399">
      <c r="A399" t="inlineStr">
        <is>
          <t>2024-02</t>
        </is>
      </c>
      <c r="B399" t="inlineStr">
        <is>
          <t>Februar</t>
        </is>
      </c>
      <c r="C399" t="n">
        <v>2</v>
      </c>
      <c r="D399" t="inlineStr">
        <is>
          <t>T1</t>
        </is>
      </c>
      <c r="E399" t="inlineStr">
        <is>
          <t>Bokført</t>
        </is>
      </c>
      <c r="F399" t="inlineStr">
        <is>
          <t>Kommunal Boenhet</t>
        </is>
      </c>
      <c r="G399" t="n">
        <v>254</v>
      </c>
      <c r="H399" t="inlineStr">
        <is>
          <t>Helse og mestring</t>
        </is>
      </c>
      <c r="I399" t="inlineStr">
        <is>
          <t>2 Utgifter</t>
        </is>
      </c>
      <c r="J399" t="inlineStr">
        <is>
          <t>11 Refusjon lønn</t>
        </is>
      </c>
      <c r="K399" t="n">
        <v>1100</v>
      </c>
      <c r="L399" t="n">
        <v>110020</v>
      </c>
      <c r="M399" t="inlineStr">
        <is>
          <t>Kopieringsmatriell - papir / toner (ikke leie)</t>
        </is>
      </c>
      <c r="N399" s="98" t="n">
        <v>270</v>
      </c>
      <c r="O399" s="98" t="n">
        <v>0</v>
      </c>
      <c r="P399" s="98" t="n">
        <v>270</v>
      </c>
      <c r="Q399" s="98" t="n">
        <v>-270</v>
      </c>
    </row>
    <row r="400">
      <c r="A400" t="inlineStr">
        <is>
          <t>2024-03</t>
        </is>
      </c>
      <c r="B400" t="inlineStr">
        <is>
          <t>Mars</t>
        </is>
      </c>
      <c r="C400" t="n">
        <v>3</v>
      </c>
      <c r="D400" t="inlineStr">
        <is>
          <t>T1</t>
        </is>
      </c>
      <c r="E400" t="inlineStr">
        <is>
          <t>Bokført</t>
        </is>
      </c>
      <c r="F400" t="inlineStr">
        <is>
          <t>Kommunal Boenhet</t>
        </is>
      </c>
      <c r="G400" t="n">
        <v>254</v>
      </c>
      <c r="H400" t="inlineStr">
        <is>
          <t>Helse og mestring</t>
        </is>
      </c>
      <c r="I400" t="inlineStr">
        <is>
          <t>2 Utgifter</t>
        </is>
      </c>
      <c r="J400" t="inlineStr">
        <is>
          <t>11 Refusjon lønn</t>
        </is>
      </c>
      <c r="K400" t="n">
        <v>1100</v>
      </c>
      <c r="L400" t="n">
        <v>110020</v>
      </c>
      <c r="M400" t="inlineStr">
        <is>
          <t>Kopieringsmatriell - papir / toner (ikke leie)</t>
        </is>
      </c>
      <c r="N400" s="98" t="n">
        <v>270</v>
      </c>
      <c r="O400" s="98" t="n">
        <v>0</v>
      </c>
      <c r="P400" s="98" t="n">
        <v>270</v>
      </c>
      <c r="Q400" s="98" t="n">
        <v>-270</v>
      </c>
    </row>
    <row r="401">
      <c r="A401" t="inlineStr">
        <is>
          <t>2024-04</t>
        </is>
      </c>
      <c r="B401" t="inlineStr">
        <is>
          <t>April</t>
        </is>
      </c>
      <c r="C401" t="n">
        <v>4</v>
      </c>
      <c r="D401" t="inlineStr">
        <is>
          <t>T1</t>
        </is>
      </c>
      <c r="E401" t="inlineStr">
        <is>
          <t>Bokført</t>
        </is>
      </c>
      <c r="F401" t="inlineStr">
        <is>
          <t>Kommunal Boenhet</t>
        </is>
      </c>
      <c r="G401" t="n">
        <v>254</v>
      </c>
      <c r="H401" t="inlineStr">
        <is>
          <t>Helse og mestring</t>
        </is>
      </c>
      <c r="I401" t="inlineStr">
        <is>
          <t>2 Utgifter</t>
        </is>
      </c>
      <c r="J401" t="inlineStr">
        <is>
          <t>11 Refusjon lønn</t>
        </is>
      </c>
      <c r="K401" t="n">
        <v>1100</v>
      </c>
      <c r="L401" t="n">
        <v>110020</v>
      </c>
      <c r="M401" t="inlineStr">
        <is>
          <t>Kopieringsmatriell - papir / toner (ikke leie)</t>
        </is>
      </c>
      <c r="N401" s="98" t="n">
        <v>270</v>
      </c>
      <c r="O401" s="98" t="n">
        <v>0</v>
      </c>
      <c r="P401" s="98" t="n">
        <v>270</v>
      </c>
      <c r="Q401" s="98" t="n">
        <v>-270</v>
      </c>
    </row>
    <row r="402">
      <c r="A402" t="inlineStr">
        <is>
          <t>2024-05</t>
        </is>
      </c>
      <c r="B402" t="inlineStr">
        <is>
          <t>Mai</t>
        </is>
      </c>
      <c r="C402" t="n">
        <v>5</v>
      </c>
      <c r="D402" t="inlineStr">
        <is>
          <t>T2</t>
        </is>
      </c>
      <c r="E402" t="inlineStr">
        <is>
          <t>Bokført</t>
        </is>
      </c>
      <c r="F402" t="inlineStr">
        <is>
          <t>Kommunal Boenhet</t>
        </is>
      </c>
      <c r="G402" t="n">
        <v>254</v>
      </c>
      <c r="H402" t="inlineStr">
        <is>
          <t>Helse og mestring</t>
        </is>
      </c>
      <c r="I402" t="inlineStr">
        <is>
          <t>2 Utgifter</t>
        </is>
      </c>
      <c r="J402" t="inlineStr">
        <is>
          <t>11 Refusjon lønn</t>
        </is>
      </c>
      <c r="K402" t="n">
        <v>1100</v>
      </c>
      <c r="L402" t="n">
        <v>110020</v>
      </c>
      <c r="M402" t="inlineStr">
        <is>
          <t>Kopieringsmatriell - papir / toner (ikke leie)</t>
        </is>
      </c>
      <c r="N402" s="98" t="n">
        <v>270</v>
      </c>
      <c r="O402" s="98" t="n">
        <v>0</v>
      </c>
      <c r="P402" s="98" t="n">
        <v>270</v>
      </c>
      <c r="Q402" s="98" t="n">
        <v>-270</v>
      </c>
    </row>
    <row r="403">
      <c r="A403" t="inlineStr">
        <is>
          <t>2024-06</t>
        </is>
      </c>
      <c r="B403" t="inlineStr">
        <is>
          <t>Juni</t>
        </is>
      </c>
      <c r="C403" t="n">
        <v>6</v>
      </c>
      <c r="D403" t="inlineStr">
        <is>
          <t>T2</t>
        </is>
      </c>
      <c r="E403" t="inlineStr">
        <is>
          <t>Bokført</t>
        </is>
      </c>
      <c r="F403" t="inlineStr">
        <is>
          <t>Kommunal Boenhet</t>
        </is>
      </c>
      <c r="G403" t="n">
        <v>254</v>
      </c>
      <c r="H403" t="inlineStr">
        <is>
          <t>Helse og mestring</t>
        </is>
      </c>
      <c r="I403" t="inlineStr">
        <is>
          <t>2 Utgifter</t>
        </is>
      </c>
      <c r="J403" t="inlineStr">
        <is>
          <t>11 Refusjon lønn</t>
        </is>
      </c>
      <c r="K403" t="n">
        <v>1100</v>
      </c>
      <c r="L403" t="n">
        <v>110020</v>
      </c>
      <c r="M403" t="inlineStr">
        <is>
          <t>Kopieringsmatriell - papir / toner (ikke leie)</t>
        </is>
      </c>
      <c r="N403" s="98" t="n">
        <v>270</v>
      </c>
      <c r="O403" s="98" t="n">
        <v>0</v>
      </c>
      <c r="P403" s="98" t="n">
        <v>270</v>
      </c>
      <c r="Q403" s="98" t="n">
        <v>-270</v>
      </c>
    </row>
    <row r="404">
      <c r="A404" t="inlineStr">
        <is>
          <t>2024-07</t>
        </is>
      </c>
      <c r="B404" t="inlineStr">
        <is>
          <t>Juli</t>
        </is>
      </c>
      <c r="C404" t="n">
        <v>7</v>
      </c>
      <c r="D404" t="inlineStr">
        <is>
          <t>T2</t>
        </is>
      </c>
      <c r="E404" t="inlineStr">
        <is>
          <t>Bokført</t>
        </is>
      </c>
      <c r="F404" t="inlineStr">
        <is>
          <t>Kommunal Boenhet</t>
        </is>
      </c>
      <c r="G404" t="n">
        <v>254</v>
      </c>
      <c r="H404" t="inlineStr">
        <is>
          <t>Helse og mestring</t>
        </is>
      </c>
      <c r="I404" t="inlineStr">
        <is>
          <t>2 Utgifter</t>
        </is>
      </c>
      <c r="J404" t="inlineStr">
        <is>
          <t>11 Refusjon lønn</t>
        </is>
      </c>
      <c r="K404" t="n">
        <v>1100</v>
      </c>
      <c r="L404" t="n">
        <v>110020</v>
      </c>
      <c r="M404" t="inlineStr">
        <is>
          <t>Kopieringsmatriell - papir / toner (ikke leie)</t>
        </is>
      </c>
      <c r="N404" s="98" t="n">
        <v>270</v>
      </c>
      <c r="O404" s="98" t="n">
        <v>0</v>
      </c>
      <c r="P404" s="98" t="n">
        <v>270</v>
      </c>
      <c r="Q404" s="98" t="n">
        <v>-270</v>
      </c>
    </row>
    <row r="405">
      <c r="A405" t="inlineStr">
        <is>
          <t>2024-08</t>
        </is>
      </c>
      <c r="B405" t="inlineStr">
        <is>
          <t>August</t>
        </is>
      </c>
      <c r="C405" t="n">
        <v>8</v>
      </c>
      <c r="D405" t="inlineStr">
        <is>
          <t>T2</t>
        </is>
      </c>
      <c r="E405" t="inlineStr">
        <is>
          <t>Bokført</t>
        </is>
      </c>
      <c r="F405" t="inlineStr">
        <is>
          <t>Kommunal Boenhet</t>
        </is>
      </c>
      <c r="G405" t="n">
        <v>254</v>
      </c>
      <c r="H405" t="inlineStr">
        <is>
          <t>Helse og mestring</t>
        </is>
      </c>
      <c r="I405" t="inlineStr">
        <is>
          <t>2 Utgifter</t>
        </is>
      </c>
      <c r="J405" t="inlineStr">
        <is>
          <t>11 Refusjon lønn</t>
        </is>
      </c>
      <c r="K405" t="n">
        <v>1100</v>
      </c>
      <c r="L405" t="n">
        <v>110020</v>
      </c>
      <c r="M405" t="inlineStr">
        <is>
          <t>Kopieringsmatriell - papir / toner (ikke leie)</t>
        </is>
      </c>
      <c r="N405" s="98" t="n">
        <v>270</v>
      </c>
      <c r="O405" s="98" t="n">
        <v>0</v>
      </c>
      <c r="P405" s="98" t="n">
        <v>270</v>
      </c>
      <c r="Q405" s="98" t="n">
        <v>-270</v>
      </c>
    </row>
    <row r="406">
      <c r="A406" t="inlineStr">
        <is>
          <t>2024-09</t>
        </is>
      </c>
      <c r="B406" t="inlineStr">
        <is>
          <t>September</t>
        </is>
      </c>
      <c r="C406" t="n">
        <v>9</v>
      </c>
      <c r="D406" t="inlineStr">
        <is>
          <t>T3</t>
        </is>
      </c>
      <c r="E406" t="inlineStr">
        <is>
          <t>Gjenstående budsjett</t>
        </is>
      </c>
      <c r="F406" t="inlineStr">
        <is>
          <t>Kommunal Boenhet</t>
        </is>
      </c>
      <c r="G406" t="n">
        <v>254</v>
      </c>
      <c r="H406" t="inlineStr">
        <is>
          <t>Helse og mestring</t>
        </is>
      </c>
      <c r="I406" t="inlineStr">
        <is>
          <t>2 Utgifter</t>
        </is>
      </c>
      <c r="J406" t="inlineStr">
        <is>
          <t>11 Refusjon lønn</t>
        </is>
      </c>
      <c r="K406" t="n">
        <v>1100</v>
      </c>
      <c r="L406" t="n">
        <v>110020</v>
      </c>
      <c r="M406" t="inlineStr">
        <is>
          <t>Kopieringsmatriell - papir / toner (ikke leie)</t>
        </is>
      </c>
      <c r="N406" s="98" t="n">
        <v>270</v>
      </c>
      <c r="O406" s="98" t="n">
        <v>0</v>
      </c>
      <c r="P406" s="98" t="n">
        <v>0</v>
      </c>
      <c r="Q406" s="98" t="n">
        <v>-270</v>
      </c>
    </row>
    <row r="407">
      <c r="A407" t="inlineStr">
        <is>
          <t>2024-10</t>
        </is>
      </c>
      <c r="B407" t="inlineStr">
        <is>
          <t>Oktober</t>
        </is>
      </c>
      <c r="C407" t="n">
        <v>10</v>
      </c>
      <c r="D407" t="inlineStr">
        <is>
          <t>T3</t>
        </is>
      </c>
      <c r="E407" t="inlineStr">
        <is>
          <t>Gjenstående budsjett</t>
        </is>
      </c>
      <c r="F407" t="inlineStr">
        <is>
          <t>Kommunal Boenhet</t>
        </is>
      </c>
      <c r="G407" t="n">
        <v>254</v>
      </c>
      <c r="H407" t="inlineStr">
        <is>
          <t>Helse og mestring</t>
        </is>
      </c>
      <c r="I407" t="inlineStr">
        <is>
          <t>2 Utgifter</t>
        </is>
      </c>
      <c r="J407" t="inlineStr">
        <is>
          <t>11 Refusjon lønn</t>
        </is>
      </c>
      <c r="K407" t="n">
        <v>1100</v>
      </c>
      <c r="L407" t="n">
        <v>110020</v>
      </c>
      <c r="M407" t="inlineStr">
        <is>
          <t>Kopieringsmatriell - papir / toner (ikke leie)</t>
        </is>
      </c>
      <c r="N407" s="98" t="n">
        <v>270</v>
      </c>
      <c r="O407" s="98" t="n">
        <v>0</v>
      </c>
      <c r="P407" s="98" t="n">
        <v>0</v>
      </c>
      <c r="Q407" s="98" t="n">
        <v>-270</v>
      </c>
    </row>
    <row r="408">
      <c r="A408" t="inlineStr">
        <is>
          <t>2024-11</t>
        </is>
      </c>
      <c r="B408" t="inlineStr">
        <is>
          <t>November</t>
        </is>
      </c>
      <c r="C408" t="n">
        <v>11</v>
      </c>
      <c r="D408" t="inlineStr">
        <is>
          <t>T3</t>
        </is>
      </c>
      <c r="E408" t="inlineStr">
        <is>
          <t>Gjenstående budsjett</t>
        </is>
      </c>
      <c r="F408" t="inlineStr">
        <is>
          <t>Kommunal Boenhet</t>
        </is>
      </c>
      <c r="G408" t="n">
        <v>254</v>
      </c>
      <c r="H408" t="inlineStr">
        <is>
          <t>Helse og mestring</t>
        </is>
      </c>
      <c r="I408" t="inlineStr">
        <is>
          <t>2 Utgifter</t>
        </is>
      </c>
      <c r="J408" t="inlineStr">
        <is>
          <t>11 Refusjon lønn</t>
        </is>
      </c>
      <c r="K408" t="n">
        <v>1100</v>
      </c>
      <c r="L408" t="n">
        <v>110020</v>
      </c>
      <c r="M408" t="inlineStr">
        <is>
          <t>Kopieringsmatriell - papir / toner (ikke leie)</t>
        </is>
      </c>
      <c r="N408" s="98" t="n">
        <v>270</v>
      </c>
      <c r="O408" s="98" t="n">
        <v>0</v>
      </c>
      <c r="P408" s="98" t="n">
        <v>0</v>
      </c>
      <c r="Q408" s="98" t="n">
        <v>-270</v>
      </c>
    </row>
    <row r="409">
      <c r="A409" t="inlineStr">
        <is>
          <t>2024-12</t>
        </is>
      </c>
      <c r="B409" t="inlineStr">
        <is>
          <t>Desember</t>
        </is>
      </c>
      <c r="C409" t="n">
        <v>12</v>
      </c>
      <c r="D409" t="inlineStr">
        <is>
          <t>T3</t>
        </is>
      </c>
      <c r="E409" t="inlineStr">
        <is>
          <t>Gjenstående budsjett</t>
        </is>
      </c>
      <c r="F409" t="inlineStr">
        <is>
          <t>Kommunal Boenhet</t>
        </is>
      </c>
      <c r="G409" t="n">
        <v>254</v>
      </c>
      <c r="H409" t="inlineStr">
        <is>
          <t>Helse og mestring</t>
        </is>
      </c>
      <c r="I409" t="inlineStr">
        <is>
          <t>2 Utgifter</t>
        </is>
      </c>
      <c r="J409" t="inlineStr">
        <is>
          <t>11 Refusjon lønn</t>
        </is>
      </c>
      <c r="K409" t="n">
        <v>1100</v>
      </c>
      <c r="L409" t="n">
        <v>110020</v>
      </c>
      <c r="M409" t="inlineStr">
        <is>
          <t>Kopieringsmatriell - papir / toner (ikke leie)</t>
        </is>
      </c>
      <c r="N409" s="98" t="n">
        <v>30</v>
      </c>
      <c r="O409" s="98" t="n">
        <v>0</v>
      </c>
      <c r="P409" s="98" t="n">
        <v>0</v>
      </c>
      <c r="Q409" s="98" t="n">
        <v>-30</v>
      </c>
    </row>
    <row r="410">
      <c r="A410" t="inlineStr">
        <is>
          <t>2024-01</t>
        </is>
      </c>
      <c r="B410" t="inlineStr">
        <is>
          <t>Januar</t>
        </is>
      </c>
      <c r="C410" t="n">
        <v>1</v>
      </c>
      <c r="D410" t="inlineStr">
        <is>
          <t>T1</t>
        </is>
      </c>
      <c r="E410" t="inlineStr">
        <is>
          <t>Bokført</t>
        </is>
      </c>
      <c r="F410" t="inlineStr">
        <is>
          <t>Kommunal Boenhet</t>
        </is>
      </c>
      <c r="G410" t="n">
        <v>254</v>
      </c>
      <c r="H410" t="inlineStr">
        <is>
          <t>Helse og mestring</t>
        </is>
      </c>
      <c r="I410" t="inlineStr">
        <is>
          <t>2 Utgifter</t>
        </is>
      </c>
      <c r="J410" t="inlineStr">
        <is>
          <t>11 Refusjon lønn</t>
        </is>
      </c>
      <c r="K410" t="n">
        <v>1110</v>
      </c>
      <c r="L410" t="n">
        <v>111000</v>
      </c>
      <c r="M410" t="inlineStr">
        <is>
          <t>Medisinsk forbruksmateriell</t>
        </is>
      </c>
      <c r="N410" s="98" t="n">
        <v>2210</v>
      </c>
      <c r="O410" s="98" t="n">
        <v>2238.74</v>
      </c>
      <c r="P410" s="98" t="n">
        <v>-28.74</v>
      </c>
      <c r="Q410" s="98" t="n">
        <v>28.74</v>
      </c>
    </row>
    <row r="411">
      <c r="A411" t="inlineStr">
        <is>
          <t>2024-02</t>
        </is>
      </c>
      <c r="B411" t="inlineStr">
        <is>
          <t>Februar</t>
        </is>
      </c>
      <c r="C411" t="n">
        <v>2</v>
      </c>
      <c r="D411" t="inlineStr">
        <is>
          <t>T1</t>
        </is>
      </c>
      <c r="E411" t="inlineStr">
        <is>
          <t>Bokført</t>
        </is>
      </c>
      <c r="F411" t="inlineStr">
        <is>
          <t>Kommunal Boenhet</t>
        </is>
      </c>
      <c r="G411" t="n">
        <v>254</v>
      </c>
      <c r="H411" t="inlineStr">
        <is>
          <t>Helse og mestring</t>
        </is>
      </c>
      <c r="I411" t="inlineStr">
        <is>
          <t>2 Utgifter</t>
        </is>
      </c>
      <c r="J411" t="inlineStr">
        <is>
          <t>11 Refusjon lønn</t>
        </is>
      </c>
      <c r="K411" t="n">
        <v>1110</v>
      </c>
      <c r="L411" t="n">
        <v>111000</v>
      </c>
      <c r="M411" t="inlineStr">
        <is>
          <t>Medisinsk forbruksmateriell</t>
        </is>
      </c>
      <c r="N411" s="98" t="n">
        <v>2210</v>
      </c>
      <c r="O411" s="98" t="n">
        <v>3843.9</v>
      </c>
      <c r="P411" s="98" t="n">
        <v>-1633.9</v>
      </c>
      <c r="Q411" s="98" t="n">
        <v>1633.9</v>
      </c>
    </row>
    <row r="412">
      <c r="A412" t="inlineStr">
        <is>
          <t>2024-03</t>
        </is>
      </c>
      <c r="B412" t="inlineStr">
        <is>
          <t>Mars</t>
        </is>
      </c>
      <c r="C412" t="n">
        <v>3</v>
      </c>
      <c r="D412" t="inlineStr">
        <is>
          <t>T1</t>
        </is>
      </c>
      <c r="E412" t="inlineStr">
        <is>
          <t>Bokført</t>
        </is>
      </c>
      <c r="F412" t="inlineStr">
        <is>
          <t>Kommunal Boenhet</t>
        </is>
      </c>
      <c r="G412" t="n">
        <v>254</v>
      </c>
      <c r="H412" t="inlineStr">
        <is>
          <t>Helse og mestring</t>
        </is>
      </c>
      <c r="I412" t="inlineStr">
        <is>
          <t>2 Utgifter</t>
        </is>
      </c>
      <c r="J412" t="inlineStr">
        <is>
          <t>11 Refusjon lønn</t>
        </is>
      </c>
      <c r="K412" t="n">
        <v>1110</v>
      </c>
      <c r="L412" t="n">
        <v>111000</v>
      </c>
      <c r="M412" t="inlineStr">
        <is>
          <t>Medisinsk forbruksmateriell</t>
        </is>
      </c>
      <c r="N412" s="98" t="n">
        <v>2210</v>
      </c>
      <c r="O412" s="98" t="n">
        <v>0</v>
      </c>
      <c r="P412" s="98" t="n">
        <v>2210</v>
      </c>
      <c r="Q412" s="98" t="n">
        <v>-2210</v>
      </c>
    </row>
    <row r="413">
      <c r="A413" t="inlineStr">
        <is>
          <t>2024-04</t>
        </is>
      </c>
      <c r="B413" t="inlineStr">
        <is>
          <t>April</t>
        </is>
      </c>
      <c r="C413" t="n">
        <v>4</v>
      </c>
      <c r="D413" t="inlineStr">
        <is>
          <t>T1</t>
        </is>
      </c>
      <c r="E413" t="inlineStr">
        <is>
          <t>Bokført</t>
        </is>
      </c>
      <c r="F413" t="inlineStr">
        <is>
          <t>Kommunal Boenhet</t>
        </is>
      </c>
      <c r="G413" t="n">
        <v>254</v>
      </c>
      <c r="H413" t="inlineStr">
        <is>
          <t>Helse og mestring</t>
        </is>
      </c>
      <c r="I413" t="inlineStr">
        <is>
          <t>2 Utgifter</t>
        </is>
      </c>
      <c r="J413" t="inlineStr">
        <is>
          <t>11 Refusjon lønn</t>
        </is>
      </c>
      <c r="K413" t="n">
        <v>1110</v>
      </c>
      <c r="L413" t="n">
        <v>111000</v>
      </c>
      <c r="M413" t="inlineStr">
        <is>
          <t>Medisinsk forbruksmateriell</t>
        </is>
      </c>
      <c r="N413" s="98" t="n">
        <v>2210</v>
      </c>
      <c r="O413" s="98" t="n">
        <v>2060.1</v>
      </c>
      <c r="P413" s="98" t="n">
        <v>149.9</v>
      </c>
      <c r="Q413" s="98" t="n">
        <v>-149.9</v>
      </c>
    </row>
    <row r="414">
      <c r="A414" t="inlineStr">
        <is>
          <t>2024-05</t>
        </is>
      </c>
      <c r="B414" t="inlineStr">
        <is>
          <t>Mai</t>
        </is>
      </c>
      <c r="C414" t="n">
        <v>5</v>
      </c>
      <c r="D414" t="inlineStr">
        <is>
          <t>T2</t>
        </is>
      </c>
      <c r="E414" t="inlineStr">
        <is>
          <t>Bokført</t>
        </is>
      </c>
      <c r="F414" t="inlineStr">
        <is>
          <t>Kommunal Boenhet</t>
        </is>
      </c>
      <c r="G414" t="n">
        <v>254</v>
      </c>
      <c r="H414" t="inlineStr">
        <is>
          <t>Helse og mestring</t>
        </is>
      </c>
      <c r="I414" t="inlineStr">
        <is>
          <t>2 Utgifter</t>
        </is>
      </c>
      <c r="J414" t="inlineStr">
        <is>
          <t>11 Refusjon lønn</t>
        </is>
      </c>
      <c r="K414" t="n">
        <v>1110</v>
      </c>
      <c r="L414" t="n">
        <v>111000</v>
      </c>
      <c r="M414" t="inlineStr">
        <is>
          <t>Medisinsk forbruksmateriell</t>
        </is>
      </c>
      <c r="N414" s="98" t="n">
        <v>2210</v>
      </c>
      <c r="O414" s="98" t="n">
        <v>553.2</v>
      </c>
      <c r="P414" s="98" t="n">
        <v>1656.8</v>
      </c>
      <c r="Q414" s="98" t="n">
        <v>-1656.8</v>
      </c>
    </row>
    <row r="415">
      <c r="A415" t="inlineStr">
        <is>
          <t>2024-06</t>
        </is>
      </c>
      <c r="B415" t="inlineStr">
        <is>
          <t>Juni</t>
        </is>
      </c>
      <c r="C415" t="n">
        <v>6</v>
      </c>
      <c r="D415" t="inlineStr">
        <is>
          <t>T2</t>
        </is>
      </c>
      <c r="E415" t="inlineStr">
        <is>
          <t>Bokført</t>
        </is>
      </c>
      <c r="F415" t="inlineStr">
        <is>
          <t>Kommunal Boenhet</t>
        </is>
      </c>
      <c r="G415" t="n">
        <v>254</v>
      </c>
      <c r="H415" t="inlineStr">
        <is>
          <t>Helse og mestring</t>
        </is>
      </c>
      <c r="I415" t="inlineStr">
        <is>
          <t>2 Utgifter</t>
        </is>
      </c>
      <c r="J415" t="inlineStr">
        <is>
          <t>11 Refusjon lønn</t>
        </is>
      </c>
      <c r="K415" t="n">
        <v>1110</v>
      </c>
      <c r="L415" t="n">
        <v>111000</v>
      </c>
      <c r="M415" t="inlineStr">
        <is>
          <t>Medisinsk forbruksmateriell</t>
        </is>
      </c>
      <c r="N415" s="98" t="n">
        <v>2210</v>
      </c>
      <c r="O415" s="98" t="n">
        <v>2296.35</v>
      </c>
      <c r="P415" s="98" t="n">
        <v>-86.34999999999999</v>
      </c>
      <c r="Q415" s="98" t="n">
        <v>86.34999999999999</v>
      </c>
    </row>
    <row r="416">
      <c r="A416" t="inlineStr">
        <is>
          <t>2024-07</t>
        </is>
      </c>
      <c r="B416" t="inlineStr">
        <is>
          <t>Juli</t>
        </is>
      </c>
      <c r="C416" t="n">
        <v>7</v>
      </c>
      <c r="D416" t="inlineStr">
        <is>
          <t>T2</t>
        </is>
      </c>
      <c r="E416" t="inlineStr">
        <is>
          <t>Bokført</t>
        </is>
      </c>
      <c r="F416" t="inlineStr">
        <is>
          <t>Kommunal Boenhet</t>
        </is>
      </c>
      <c r="G416" t="n">
        <v>254</v>
      </c>
      <c r="H416" t="inlineStr">
        <is>
          <t>Helse og mestring</t>
        </is>
      </c>
      <c r="I416" t="inlineStr">
        <is>
          <t>2 Utgifter</t>
        </is>
      </c>
      <c r="J416" t="inlineStr">
        <is>
          <t>11 Refusjon lønn</t>
        </is>
      </c>
      <c r="K416" t="n">
        <v>1110</v>
      </c>
      <c r="L416" t="n">
        <v>111000</v>
      </c>
      <c r="M416" t="inlineStr">
        <is>
          <t>Medisinsk forbruksmateriell</t>
        </is>
      </c>
      <c r="N416" s="98" t="n">
        <v>2210</v>
      </c>
      <c r="O416" s="98" t="n">
        <v>0</v>
      </c>
      <c r="P416" s="98" t="n">
        <v>2210</v>
      </c>
      <c r="Q416" s="98" t="n">
        <v>-2210</v>
      </c>
    </row>
    <row r="417">
      <c r="A417" t="inlineStr">
        <is>
          <t>2024-08</t>
        </is>
      </c>
      <c r="B417" t="inlineStr">
        <is>
          <t>August</t>
        </is>
      </c>
      <c r="C417" t="n">
        <v>8</v>
      </c>
      <c r="D417" t="inlineStr">
        <is>
          <t>T2</t>
        </is>
      </c>
      <c r="E417" t="inlineStr">
        <is>
          <t>Bokført</t>
        </is>
      </c>
      <c r="F417" t="inlineStr">
        <is>
          <t>Kommunal Boenhet</t>
        </is>
      </c>
      <c r="G417" t="n">
        <v>254</v>
      </c>
      <c r="H417" t="inlineStr">
        <is>
          <t>Helse og mestring</t>
        </is>
      </c>
      <c r="I417" t="inlineStr">
        <is>
          <t>2 Utgifter</t>
        </is>
      </c>
      <c r="J417" t="inlineStr">
        <is>
          <t>11 Refusjon lønn</t>
        </is>
      </c>
      <c r="K417" t="n">
        <v>1110</v>
      </c>
      <c r="L417" t="n">
        <v>111000</v>
      </c>
      <c r="M417" t="inlineStr">
        <is>
          <t>Medisinsk forbruksmateriell</t>
        </is>
      </c>
      <c r="N417" s="98" t="n">
        <v>2210</v>
      </c>
      <c r="O417" s="98" t="n">
        <v>881</v>
      </c>
      <c r="P417" s="98" t="n">
        <v>1329</v>
      </c>
      <c r="Q417" s="98" t="n">
        <v>-1329</v>
      </c>
    </row>
    <row r="418">
      <c r="A418" t="inlineStr">
        <is>
          <t>2024-09</t>
        </is>
      </c>
      <c r="B418" t="inlineStr">
        <is>
          <t>September</t>
        </is>
      </c>
      <c r="C418" t="n">
        <v>9</v>
      </c>
      <c r="D418" t="inlineStr">
        <is>
          <t>T3</t>
        </is>
      </c>
      <c r="E418" t="inlineStr">
        <is>
          <t>Gjenstående budsjett</t>
        </is>
      </c>
      <c r="F418" t="inlineStr">
        <is>
          <t>Kommunal Boenhet</t>
        </is>
      </c>
      <c r="G418" t="n">
        <v>254</v>
      </c>
      <c r="H418" t="inlineStr">
        <is>
          <t>Helse og mestring</t>
        </is>
      </c>
      <c r="I418" t="inlineStr">
        <is>
          <t>2 Utgifter</t>
        </is>
      </c>
      <c r="J418" t="inlineStr">
        <is>
          <t>11 Refusjon lønn</t>
        </is>
      </c>
      <c r="K418" t="n">
        <v>1110</v>
      </c>
      <c r="L418" t="n">
        <v>111000</v>
      </c>
      <c r="M418" t="inlineStr">
        <is>
          <t>Medisinsk forbruksmateriell</t>
        </is>
      </c>
      <c r="N418" s="98" t="n">
        <v>2210</v>
      </c>
      <c r="O418" s="98" t="n">
        <v>0</v>
      </c>
      <c r="P418" s="98" t="n">
        <v>0</v>
      </c>
      <c r="Q418" s="98" t="n">
        <v>-2210</v>
      </c>
    </row>
    <row r="419">
      <c r="A419" t="inlineStr">
        <is>
          <t>2024-10</t>
        </is>
      </c>
      <c r="B419" t="inlineStr">
        <is>
          <t>Oktober</t>
        </is>
      </c>
      <c r="C419" t="n">
        <v>10</v>
      </c>
      <c r="D419" t="inlineStr">
        <is>
          <t>T3</t>
        </is>
      </c>
      <c r="E419" t="inlineStr">
        <is>
          <t>Gjenstående budsjett</t>
        </is>
      </c>
      <c r="F419" t="inlineStr">
        <is>
          <t>Kommunal Boenhet</t>
        </is>
      </c>
      <c r="G419" t="n">
        <v>254</v>
      </c>
      <c r="H419" t="inlineStr">
        <is>
          <t>Helse og mestring</t>
        </is>
      </c>
      <c r="I419" t="inlineStr">
        <is>
          <t>2 Utgifter</t>
        </is>
      </c>
      <c r="J419" t="inlineStr">
        <is>
          <t>11 Refusjon lønn</t>
        </is>
      </c>
      <c r="K419" t="n">
        <v>1110</v>
      </c>
      <c r="L419" t="n">
        <v>111000</v>
      </c>
      <c r="M419" t="inlineStr">
        <is>
          <t>Medisinsk forbruksmateriell</t>
        </is>
      </c>
      <c r="N419" s="98" t="n">
        <v>2210</v>
      </c>
      <c r="O419" s="98" t="n">
        <v>0</v>
      </c>
      <c r="P419" s="98" t="n">
        <v>0</v>
      </c>
      <c r="Q419" s="98" t="n">
        <v>-2210</v>
      </c>
    </row>
    <row r="420">
      <c r="A420" t="inlineStr">
        <is>
          <t>2024-11</t>
        </is>
      </c>
      <c r="B420" t="inlineStr">
        <is>
          <t>November</t>
        </is>
      </c>
      <c r="C420" t="n">
        <v>11</v>
      </c>
      <c r="D420" t="inlineStr">
        <is>
          <t>T3</t>
        </is>
      </c>
      <c r="E420" t="inlineStr">
        <is>
          <t>Gjenstående budsjett</t>
        </is>
      </c>
      <c r="F420" t="inlineStr">
        <is>
          <t>Kommunal Boenhet</t>
        </is>
      </c>
      <c r="G420" t="n">
        <v>254</v>
      </c>
      <c r="H420" t="inlineStr">
        <is>
          <t>Helse og mestring</t>
        </is>
      </c>
      <c r="I420" t="inlineStr">
        <is>
          <t>2 Utgifter</t>
        </is>
      </c>
      <c r="J420" t="inlineStr">
        <is>
          <t>11 Refusjon lønn</t>
        </is>
      </c>
      <c r="K420" t="n">
        <v>1110</v>
      </c>
      <c r="L420" t="n">
        <v>111000</v>
      </c>
      <c r="M420" t="inlineStr">
        <is>
          <t>Medisinsk forbruksmateriell</t>
        </is>
      </c>
      <c r="N420" s="98" t="n">
        <v>2210</v>
      </c>
      <c r="O420" s="98" t="n">
        <v>0</v>
      </c>
      <c r="P420" s="98" t="n">
        <v>0</v>
      </c>
      <c r="Q420" s="98" t="n">
        <v>-2210</v>
      </c>
    </row>
    <row r="421">
      <c r="A421" t="inlineStr">
        <is>
          <t>2024-12</t>
        </is>
      </c>
      <c r="B421" t="inlineStr">
        <is>
          <t>Desember</t>
        </is>
      </c>
      <c r="C421" t="n">
        <v>12</v>
      </c>
      <c r="D421" t="inlineStr">
        <is>
          <t>T3</t>
        </is>
      </c>
      <c r="E421" t="inlineStr">
        <is>
          <t>Gjenstående budsjett</t>
        </is>
      </c>
      <c r="F421" t="inlineStr">
        <is>
          <t>Kommunal Boenhet</t>
        </is>
      </c>
      <c r="G421" t="n">
        <v>254</v>
      </c>
      <c r="H421" t="inlineStr">
        <is>
          <t>Helse og mestring</t>
        </is>
      </c>
      <c r="I421" t="inlineStr">
        <is>
          <t>2 Utgifter</t>
        </is>
      </c>
      <c r="J421" t="inlineStr">
        <is>
          <t>11 Refusjon lønn</t>
        </is>
      </c>
      <c r="K421" t="n">
        <v>1110</v>
      </c>
      <c r="L421" t="n">
        <v>111000</v>
      </c>
      <c r="M421" t="inlineStr">
        <is>
          <t>Medisinsk forbruksmateriell</t>
        </is>
      </c>
      <c r="N421" s="98" t="n">
        <v>2690</v>
      </c>
      <c r="O421" s="98" t="n">
        <v>0</v>
      </c>
      <c r="P421" s="98" t="n">
        <v>0</v>
      </c>
      <c r="Q421" s="98" t="n">
        <v>-2690</v>
      </c>
    </row>
    <row r="422">
      <c r="A422" t="inlineStr">
        <is>
          <t>2024-01</t>
        </is>
      </c>
      <c r="B422" t="inlineStr">
        <is>
          <t>Januar</t>
        </is>
      </c>
      <c r="C422" t="n">
        <v>1</v>
      </c>
      <c r="D422" t="inlineStr">
        <is>
          <t>T1</t>
        </is>
      </c>
      <c r="E422" t="inlineStr">
        <is>
          <t>Bokført</t>
        </is>
      </c>
      <c r="F422" t="inlineStr">
        <is>
          <t>Kommunal Boenhet</t>
        </is>
      </c>
      <c r="G422" t="n">
        <v>254</v>
      </c>
      <c r="H422" t="inlineStr">
        <is>
          <t>Helse og mestring</t>
        </is>
      </c>
      <c r="I422" t="inlineStr">
        <is>
          <t>2 Utgifter</t>
        </is>
      </c>
      <c r="J422" t="inlineStr">
        <is>
          <t>11 Refusjon lønn</t>
        </is>
      </c>
      <c r="K422" t="n">
        <v>1114</v>
      </c>
      <c r="L422" t="n">
        <v>111400</v>
      </c>
      <c r="M422" t="inlineStr">
        <is>
          <t>Medisiner</t>
        </is>
      </c>
      <c r="N422" s="98" t="n">
        <v>850</v>
      </c>
      <c r="O422" s="98" t="n">
        <v>0</v>
      </c>
      <c r="P422" s="98" t="n">
        <v>850</v>
      </c>
      <c r="Q422" s="98" t="n">
        <v>-850</v>
      </c>
    </row>
    <row r="423">
      <c r="A423" t="inlineStr">
        <is>
          <t>2024-02</t>
        </is>
      </c>
      <c r="B423" t="inlineStr">
        <is>
          <t>Februar</t>
        </is>
      </c>
      <c r="C423" t="n">
        <v>2</v>
      </c>
      <c r="D423" t="inlineStr">
        <is>
          <t>T1</t>
        </is>
      </c>
      <c r="E423" t="inlineStr">
        <is>
          <t>Bokført</t>
        </is>
      </c>
      <c r="F423" t="inlineStr">
        <is>
          <t>Kommunal Boenhet</t>
        </is>
      </c>
      <c r="G423" t="n">
        <v>254</v>
      </c>
      <c r="H423" t="inlineStr">
        <is>
          <t>Helse og mestring</t>
        </is>
      </c>
      <c r="I423" t="inlineStr">
        <is>
          <t>2 Utgifter</t>
        </is>
      </c>
      <c r="J423" t="inlineStr">
        <is>
          <t>11 Refusjon lønn</t>
        </is>
      </c>
      <c r="K423" t="n">
        <v>1114</v>
      </c>
      <c r="L423" t="n">
        <v>111400</v>
      </c>
      <c r="M423" t="inlineStr">
        <is>
          <t>Medisiner</t>
        </is>
      </c>
      <c r="N423" s="98" t="n">
        <v>850</v>
      </c>
      <c r="O423" s="98" t="n">
        <v>0</v>
      </c>
      <c r="P423" s="98" t="n">
        <v>850</v>
      </c>
      <c r="Q423" s="98" t="n">
        <v>-850</v>
      </c>
    </row>
    <row r="424">
      <c r="A424" t="inlineStr">
        <is>
          <t>2024-03</t>
        </is>
      </c>
      <c r="B424" t="inlineStr">
        <is>
          <t>Mars</t>
        </is>
      </c>
      <c r="C424" t="n">
        <v>3</v>
      </c>
      <c r="D424" t="inlineStr">
        <is>
          <t>T1</t>
        </is>
      </c>
      <c r="E424" t="inlineStr">
        <is>
          <t>Bokført</t>
        </is>
      </c>
      <c r="F424" t="inlineStr">
        <is>
          <t>Kommunal Boenhet</t>
        </is>
      </c>
      <c r="G424" t="n">
        <v>254</v>
      </c>
      <c r="H424" t="inlineStr">
        <is>
          <t>Helse og mestring</t>
        </is>
      </c>
      <c r="I424" t="inlineStr">
        <is>
          <t>2 Utgifter</t>
        </is>
      </c>
      <c r="J424" t="inlineStr">
        <is>
          <t>11 Refusjon lønn</t>
        </is>
      </c>
      <c r="K424" t="n">
        <v>1114</v>
      </c>
      <c r="L424" t="n">
        <v>111400</v>
      </c>
      <c r="M424" t="inlineStr">
        <is>
          <t>Medisiner</t>
        </is>
      </c>
      <c r="N424" s="98" t="n">
        <v>850</v>
      </c>
      <c r="O424" s="98" t="n">
        <v>0</v>
      </c>
      <c r="P424" s="98" t="n">
        <v>850</v>
      </c>
      <c r="Q424" s="98" t="n">
        <v>-850</v>
      </c>
    </row>
    <row r="425">
      <c r="A425" t="inlineStr">
        <is>
          <t>2024-04</t>
        </is>
      </c>
      <c r="B425" t="inlineStr">
        <is>
          <t>April</t>
        </is>
      </c>
      <c r="C425" t="n">
        <v>4</v>
      </c>
      <c r="D425" t="inlineStr">
        <is>
          <t>T1</t>
        </is>
      </c>
      <c r="E425" t="inlineStr">
        <is>
          <t>Bokført</t>
        </is>
      </c>
      <c r="F425" t="inlineStr">
        <is>
          <t>Kommunal Boenhet</t>
        </is>
      </c>
      <c r="G425" t="n">
        <v>254</v>
      </c>
      <c r="H425" t="inlineStr">
        <is>
          <t>Helse og mestring</t>
        </is>
      </c>
      <c r="I425" t="inlineStr">
        <is>
          <t>2 Utgifter</t>
        </is>
      </c>
      <c r="J425" t="inlineStr">
        <is>
          <t>11 Refusjon lønn</t>
        </is>
      </c>
      <c r="K425" t="n">
        <v>1114</v>
      </c>
      <c r="L425" t="n">
        <v>111400</v>
      </c>
      <c r="M425" t="inlineStr">
        <is>
          <t>Medisiner</t>
        </is>
      </c>
      <c r="N425" s="98" t="n">
        <v>850</v>
      </c>
      <c r="O425" s="98" t="n">
        <v>2562.05</v>
      </c>
      <c r="P425" s="98" t="n">
        <v>-1712.05</v>
      </c>
      <c r="Q425" s="98" t="n">
        <v>1712.05</v>
      </c>
    </row>
    <row r="426">
      <c r="A426" t="inlineStr">
        <is>
          <t>2024-05</t>
        </is>
      </c>
      <c r="B426" t="inlineStr">
        <is>
          <t>Mai</t>
        </is>
      </c>
      <c r="C426" t="n">
        <v>5</v>
      </c>
      <c r="D426" t="inlineStr">
        <is>
          <t>T2</t>
        </is>
      </c>
      <c r="E426" t="inlineStr">
        <is>
          <t>Bokført</t>
        </is>
      </c>
      <c r="F426" t="inlineStr">
        <is>
          <t>Kommunal Boenhet</t>
        </is>
      </c>
      <c r="G426" t="n">
        <v>254</v>
      </c>
      <c r="H426" t="inlineStr">
        <is>
          <t>Helse og mestring</t>
        </is>
      </c>
      <c r="I426" t="inlineStr">
        <is>
          <t>2 Utgifter</t>
        </is>
      </c>
      <c r="J426" t="inlineStr">
        <is>
          <t>11 Refusjon lønn</t>
        </is>
      </c>
      <c r="K426" t="n">
        <v>1114</v>
      </c>
      <c r="L426" t="n">
        <v>111400</v>
      </c>
      <c r="M426" t="inlineStr">
        <is>
          <t>Medisiner</t>
        </is>
      </c>
      <c r="N426" s="98" t="n">
        <v>850</v>
      </c>
      <c r="O426" s="98" t="n">
        <v>0</v>
      </c>
      <c r="P426" s="98" t="n">
        <v>850</v>
      </c>
      <c r="Q426" s="98" t="n">
        <v>-850</v>
      </c>
    </row>
    <row r="427">
      <c r="A427" t="inlineStr">
        <is>
          <t>2024-06</t>
        </is>
      </c>
      <c r="B427" t="inlineStr">
        <is>
          <t>Juni</t>
        </is>
      </c>
      <c r="C427" t="n">
        <v>6</v>
      </c>
      <c r="D427" t="inlineStr">
        <is>
          <t>T2</t>
        </is>
      </c>
      <c r="E427" t="inlineStr">
        <is>
          <t>Bokført</t>
        </is>
      </c>
      <c r="F427" t="inlineStr">
        <is>
          <t>Kommunal Boenhet</t>
        </is>
      </c>
      <c r="G427" t="n">
        <v>254</v>
      </c>
      <c r="H427" t="inlineStr">
        <is>
          <t>Helse og mestring</t>
        </is>
      </c>
      <c r="I427" t="inlineStr">
        <is>
          <t>2 Utgifter</t>
        </is>
      </c>
      <c r="J427" t="inlineStr">
        <is>
          <t>11 Refusjon lønn</t>
        </is>
      </c>
      <c r="K427" t="n">
        <v>1114</v>
      </c>
      <c r="L427" t="n">
        <v>111400</v>
      </c>
      <c r="M427" t="inlineStr">
        <is>
          <t>Medisiner</t>
        </is>
      </c>
      <c r="N427" s="98" t="n">
        <v>850</v>
      </c>
      <c r="O427" s="98" t="n">
        <v>0</v>
      </c>
      <c r="P427" s="98" t="n">
        <v>850</v>
      </c>
      <c r="Q427" s="98" t="n">
        <v>-850</v>
      </c>
    </row>
    <row r="428">
      <c r="A428" t="inlineStr">
        <is>
          <t>2024-07</t>
        </is>
      </c>
      <c r="B428" t="inlineStr">
        <is>
          <t>Juli</t>
        </is>
      </c>
      <c r="C428" t="n">
        <v>7</v>
      </c>
      <c r="D428" t="inlineStr">
        <is>
          <t>T2</t>
        </is>
      </c>
      <c r="E428" t="inlineStr">
        <is>
          <t>Bokført</t>
        </is>
      </c>
      <c r="F428" t="inlineStr">
        <is>
          <t>Kommunal Boenhet</t>
        </is>
      </c>
      <c r="G428" t="n">
        <v>254</v>
      </c>
      <c r="H428" t="inlineStr">
        <is>
          <t>Helse og mestring</t>
        </is>
      </c>
      <c r="I428" t="inlineStr">
        <is>
          <t>2 Utgifter</t>
        </is>
      </c>
      <c r="J428" t="inlineStr">
        <is>
          <t>11 Refusjon lønn</t>
        </is>
      </c>
      <c r="K428" t="n">
        <v>1114</v>
      </c>
      <c r="L428" t="n">
        <v>111400</v>
      </c>
      <c r="M428" t="inlineStr">
        <is>
          <t>Medisiner</t>
        </is>
      </c>
      <c r="N428" s="98" t="n">
        <v>850</v>
      </c>
      <c r="O428" s="98" t="n">
        <v>0</v>
      </c>
      <c r="P428" s="98" t="n">
        <v>850</v>
      </c>
      <c r="Q428" s="98" t="n">
        <v>-850</v>
      </c>
    </row>
    <row r="429">
      <c r="A429" t="inlineStr">
        <is>
          <t>2024-08</t>
        </is>
      </c>
      <c r="B429" t="inlineStr">
        <is>
          <t>August</t>
        </is>
      </c>
      <c r="C429" t="n">
        <v>8</v>
      </c>
      <c r="D429" t="inlineStr">
        <is>
          <t>T2</t>
        </is>
      </c>
      <c r="E429" t="inlineStr">
        <is>
          <t>Bokført</t>
        </is>
      </c>
      <c r="F429" t="inlineStr">
        <is>
          <t>Kommunal Boenhet</t>
        </is>
      </c>
      <c r="G429" t="n">
        <v>254</v>
      </c>
      <c r="H429" t="inlineStr">
        <is>
          <t>Helse og mestring</t>
        </is>
      </c>
      <c r="I429" t="inlineStr">
        <is>
          <t>2 Utgifter</t>
        </is>
      </c>
      <c r="J429" t="inlineStr">
        <is>
          <t>11 Refusjon lønn</t>
        </is>
      </c>
      <c r="K429" t="n">
        <v>1114</v>
      </c>
      <c r="L429" t="n">
        <v>111400</v>
      </c>
      <c r="M429" t="inlineStr">
        <is>
          <t>Medisiner</t>
        </is>
      </c>
      <c r="N429" s="98" t="n">
        <v>850</v>
      </c>
      <c r="O429" s="98" t="n">
        <v>0</v>
      </c>
      <c r="P429" s="98" t="n">
        <v>850</v>
      </c>
      <c r="Q429" s="98" t="n">
        <v>-850</v>
      </c>
    </row>
    <row r="430">
      <c r="A430" t="inlineStr">
        <is>
          <t>2024-09</t>
        </is>
      </c>
      <c r="B430" t="inlineStr">
        <is>
          <t>September</t>
        </is>
      </c>
      <c r="C430" t="n">
        <v>9</v>
      </c>
      <c r="D430" t="inlineStr">
        <is>
          <t>T3</t>
        </is>
      </c>
      <c r="E430" t="inlineStr">
        <is>
          <t>Gjenstående budsjett</t>
        </is>
      </c>
      <c r="F430" t="inlineStr">
        <is>
          <t>Kommunal Boenhet</t>
        </is>
      </c>
      <c r="G430" t="n">
        <v>254</v>
      </c>
      <c r="H430" t="inlineStr">
        <is>
          <t>Helse og mestring</t>
        </is>
      </c>
      <c r="I430" t="inlineStr">
        <is>
          <t>2 Utgifter</t>
        </is>
      </c>
      <c r="J430" t="inlineStr">
        <is>
          <t>11 Refusjon lønn</t>
        </is>
      </c>
      <c r="K430" t="n">
        <v>1114</v>
      </c>
      <c r="L430" t="n">
        <v>111400</v>
      </c>
      <c r="M430" t="inlineStr">
        <is>
          <t>Medisiner</t>
        </is>
      </c>
      <c r="N430" s="98" t="n">
        <v>850</v>
      </c>
      <c r="O430" s="98" t="n">
        <v>0</v>
      </c>
      <c r="P430" s="98" t="n">
        <v>0</v>
      </c>
      <c r="Q430" s="98" t="n">
        <v>-850</v>
      </c>
    </row>
    <row r="431">
      <c r="A431" t="inlineStr">
        <is>
          <t>2024-10</t>
        </is>
      </c>
      <c r="B431" t="inlineStr">
        <is>
          <t>Oktober</t>
        </is>
      </c>
      <c r="C431" t="n">
        <v>10</v>
      </c>
      <c r="D431" t="inlineStr">
        <is>
          <t>T3</t>
        </is>
      </c>
      <c r="E431" t="inlineStr">
        <is>
          <t>Gjenstående budsjett</t>
        </is>
      </c>
      <c r="F431" t="inlineStr">
        <is>
          <t>Kommunal Boenhet</t>
        </is>
      </c>
      <c r="G431" t="n">
        <v>254</v>
      </c>
      <c r="H431" t="inlineStr">
        <is>
          <t>Helse og mestring</t>
        </is>
      </c>
      <c r="I431" t="inlineStr">
        <is>
          <t>2 Utgifter</t>
        </is>
      </c>
      <c r="J431" t="inlineStr">
        <is>
          <t>11 Refusjon lønn</t>
        </is>
      </c>
      <c r="K431" t="n">
        <v>1114</v>
      </c>
      <c r="L431" t="n">
        <v>111400</v>
      </c>
      <c r="M431" t="inlineStr">
        <is>
          <t>Medisiner</t>
        </is>
      </c>
      <c r="N431" s="98" t="n">
        <v>850</v>
      </c>
      <c r="O431" s="98" t="n">
        <v>0</v>
      </c>
      <c r="P431" s="98" t="n">
        <v>0</v>
      </c>
      <c r="Q431" s="98" t="n">
        <v>-850</v>
      </c>
    </row>
    <row r="432">
      <c r="A432" t="inlineStr">
        <is>
          <t>2024-11</t>
        </is>
      </c>
      <c r="B432" t="inlineStr">
        <is>
          <t>November</t>
        </is>
      </c>
      <c r="C432" t="n">
        <v>11</v>
      </c>
      <c r="D432" t="inlineStr">
        <is>
          <t>T3</t>
        </is>
      </c>
      <c r="E432" t="inlineStr">
        <is>
          <t>Gjenstående budsjett</t>
        </is>
      </c>
      <c r="F432" t="inlineStr">
        <is>
          <t>Kommunal Boenhet</t>
        </is>
      </c>
      <c r="G432" t="n">
        <v>254</v>
      </c>
      <c r="H432" t="inlineStr">
        <is>
          <t>Helse og mestring</t>
        </is>
      </c>
      <c r="I432" t="inlineStr">
        <is>
          <t>2 Utgifter</t>
        </is>
      </c>
      <c r="J432" t="inlineStr">
        <is>
          <t>11 Refusjon lønn</t>
        </is>
      </c>
      <c r="K432" t="n">
        <v>1114</v>
      </c>
      <c r="L432" t="n">
        <v>111400</v>
      </c>
      <c r="M432" t="inlineStr">
        <is>
          <t>Medisiner</t>
        </is>
      </c>
      <c r="N432" s="98" t="n">
        <v>850</v>
      </c>
      <c r="O432" s="98" t="n">
        <v>0</v>
      </c>
      <c r="P432" s="98" t="n">
        <v>0</v>
      </c>
      <c r="Q432" s="98" t="n">
        <v>-850</v>
      </c>
    </row>
    <row r="433">
      <c r="A433" t="inlineStr">
        <is>
          <t>2024-12</t>
        </is>
      </c>
      <c r="B433" t="inlineStr">
        <is>
          <t>Desember</t>
        </is>
      </c>
      <c r="C433" t="n">
        <v>12</v>
      </c>
      <c r="D433" t="inlineStr">
        <is>
          <t>T3</t>
        </is>
      </c>
      <c r="E433" t="inlineStr">
        <is>
          <t>Gjenstående budsjett</t>
        </is>
      </c>
      <c r="F433" t="inlineStr">
        <is>
          <t>Kommunal Boenhet</t>
        </is>
      </c>
      <c r="G433" t="n">
        <v>254</v>
      </c>
      <c r="H433" t="inlineStr">
        <is>
          <t>Helse og mestring</t>
        </is>
      </c>
      <c r="I433" t="inlineStr">
        <is>
          <t>2 Utgifter</t>
        </is>
      </c>
      <c r="J433" t="inlineStr">
        <is>
          <t>11 Refusjon lønn</t>
        </is>
      </c>
      <c r="K433" t="n">
        <v>1114</v>
      </c>
      <c r="L433" t="n">
        <v>111400</v>
      </c>
      <c r="M433" t="inlineStr">
        <is>
          <t>Medisiner</t>
        </is>
      </c>
      <c r="N433" s="98" t="n">
        <v>650</v>
      </c>
      <c r="O433" s="98" t="n">
        <v>0</v>
      </c>
      <c r="P433" s="98" t="n">
        <v>0</v>
      </c>
      <c r="Q433" s="98" t="n">
        <v>-650</v>
      </c>
    </row>
    <row r="434">
      <c r="A434" t="inlineStr">
        <is>
          <t>2024-01</t>
        </is>
      </c>
      <c r="B434" t="inlineStr">
        <is>
          <t>Januar</t>
        </is>
      </c>
      <c r="C434" t="n">
        <v>1</v>
      </c>
      <c r="D434" t="inlineStr">
        <is>
          <t>T1</t>
        </is>
      </c>
      <c r="E434" t="inlineStr">
        <is>
          <t>Bokført</t>
        </is>
      </c>
      <c r="F434" t="inlineStr">
        <is>
          <t>Kommunal Boenhet</t>
        </is>
      </c>
      <c r="G434" t="n">
        <v>254</v>
      </c>
      <c r="H434" t="inlineStr">
        <is>
          <t>Helse og mestring</t>
        </is>
      </c>
      <c r="I434" t="inlineStr">
        <is>
          <t>2 Utgifter</t>
        </is>
      </c>
      <c r="J434" t="inlineStr">
        <is>
          <t>11 Refusjon lønn</t>
        </is>
      </c>
      <c r="K434" t="n">
        <v>1115</v>
      </c>
      <c r="L434" t="n">
        <v>111500</v>
      </c>
      <c r="M434" t="inlineStr">
        <is>
          <t>Matvarer / drikke - ikke møtevirksomhet</t>
        </is>
      </c>
      <c r="N434" s="98" t="n">
        <v>0</v>
      </c>
      <c r="O434" s="98" t="n">
        <v>222.23</v>
      </c>
      <c r="P434" s="98" t="n">
        <v>-222.23</v>
      </c>
      <c r="Q434" s="98" t="n">
        <v>222.23</v>
      </c>
    </row>
    <row r="435">
      <c r="A435" t="inlineStr">
        <is>
          <t>2024-02</t>
        </is>
      </c>
      <c r="B435" t="inlineStr">
        <is>
          <t>Februar</t>
        </is>
      </c>
      <c r="C435" t="n">
        <v>2</v>
      </c>
      <c r="D435" t="inlineStr">
        <is>
          <t>T1</t>
        </is>
      </c>
      <c r="E435" t="inlineStr">
        <is>
          <t>Bokført</t>
        </is>
      </c>
      <c r="F435" t="inlineStr">
        <is>
          <t>Kommunal Boenhet</t>
        </is>
      </c>
      <c r="G435" t="n">
        <v>254</v>
      </c>
      <c r="H435" t="inlineStr">
        <is>
          <t>Helse og mestring</t>
        </is>
      </c>
      <c r="I435" t="inlineStr">
        <is>
          <t>2 Utgifter</t>
        </is>
      </c>
      <c r="J435" t="inlineStr">
        <is>
          <t>11 Refusjon lønn</t>
        </is>
      </c>
      <c r="K435" t="n">
        <v>1115</v>
      </c>
      <c r="L435" t="n">
        <v>111500</v>
      </c>
      <c r="M435" t="inlineStr">
        <is>
          <t>Matvarer / drikke - ikke møtevirksomhet</t>
        </is>
      </c>
      <c r="N435" s="98" t="n">
        <v>0</v>
      </c>
      <c r="O435" s="98" t="n">
        <v>0</v>
      </c>
      <c r="P435" s="98" t="n">
        <v>0</v>
      </c>
      <c r="Q435" s="98" t="n">
        <v>0</v>
      </c>
    </row>
    <row r="436">
      <c r="A436" t="inlineStr">
        <is>
          <t>2024-03</t>
        </is>
      </c>
      <c r="B436" t="inlineStr">
        <is>
          <t>Mars</t>
        </is>
      </c>
      <c r="C436" t="n">
        <v>3</v>
      </c>
      <c r="D436" t="inlineStr">
        <is>
          <t>T1</t>
        </is>
      </c>
      <c r="E436" t="inlineStr">
        <is>
          <t>Bokført</t>
        </is>
      </c>
      <c r="F436" t="inlineStr">
        <is>
          <t>Kommunal Boenhet</t>
        </is>
      </c>
      <c r="G436" t="n">
        <v>254</v>
      </c>
      <c r="H436" t="inlineStr">
        <is>
          <t>Helse og mestring</t>
        </is>
      </c>
      <c r="I436" t="inlineStr">
        <is>
          <t>2 Utgifter</t>
        </is>
      </c>
      <c r="J436" t="inlineStr">
        <is>
          <t>11 Refusjon lønn</t>
        </is>
      </c>
      <c r="K436" t="n">
        <v>1115</v>
      </c>
      <c r="L436" t="n">
        <v>111500</v>
      </c>
      <c r="M436" t="inlineStr">
        <is>
          <t>Matvarer / drikke - ikke møtevirksomhet</t>
        </is>
      </c>
      <c r="N436" s="98" t="n">
        <v>0</v>
      </c>
      <c r="O436" s="98" t="n">
        <v>585.89</v>
      </c>
      <c r="P436" s="98" t="n">
        <v>-585.89</v>
      </c>
      <c r="Q436" s="98" t="n">
        <v>585.89</v>
      </c>
    </row>
    <row r="437">
      <c r="A437" t="inlineStr">
        <is>
          <t>2024-04</t>
        </is>
      </c>
      <c r="B437" t="inlineStr">
        <is>
          <t>April</t>
        </is>
      </c>
      <c r="C437" t="n">
        <v>4</v>
      </c>
      <c r="D437" t="inlineStr">
        <is>
          <t>T1</t>
        </is>
      </c>
      <c r="E437" t="inlineStr">
        <is>
          <t>Bokført</t>
        </is>
      </c>
      <c r="F437" t="inlineStr">
        <is>
          <t>Kommunal Boenhet</t>
        </is>
      </c>
      <c r="G437" t="n">
        <v>254</v>
      </c>
      <c r="H437" t="inlineStr">
        <is>
          <t>Helse og mestring</t>
        </is>
      </c>
      <c r="I437" t="inlineStr">
        <is>
          <t>2 Utgifter</t>
        </is>
      </c>
      <c r="J437" t="inlineStr">
        <is>
          <t>11 Refusjon lønn</t>
        </is>
      </c>
      <c r="K437" t="n">
        <v>1115</v>
      </c>
      <c r="L437" t="n">
        <v>111500</v>
      </c>
      <c r="M437" t="inlineStr">
        <is>
          <t>Matvarer / drikke - ikke møtevirksomhet</t>
        </is>
      </c>
      <c r="N437" s="98" t="n">
        <v>0</v>
      </c>
      <c r="O437" s="98" t="n">
        <v>0</v>
      </c>
      <c r="P437" s="98" t="n">
        <v>0</v>
      </c>
      <c r="Q437" s="98" t="n">
        <v>0</v>
      </c>
    </row>
    <row r="438">
      <c r="A438" t="inlineStr">
        <is>
          <t>2024-05</t>
        </is>
      </c>
      <c r="B438" t="inlineStr">
        <is>
          <t>Mai</t>
        </is>
      </c>
      <c r="C438" t="n">
        <v>5</v>
      </c>
      <c r="D438" t="inlineStr">
        <is>
          <t>T2</t>
        </is>
      </c>
      <c r="E438" t="inlineStr">
        <is>
          <t>Bokført</t>
        </is>
      </c>
      <c r="F438" t="inlineStr">
        <is>
          <t>Kommunal Boenhet</t>
        </is>
      </c>
      <c r="G438" t="n">
        <v>254</v>
      </c>
      <c r="H438" t="inlineStr">
        <is>
          <t>Helse og mestring</t>
        </is>
      </c>
      <c r="I438" t="inlineStr">
        <is>
          <t>2 Utgifter</t>
        </is>
      </c>
      <c r="J438" t="inlineStr">
        <is>
          <t>11 Refusjon lønn</t>
        </is>
      </c>
      <c r="K438" t="n">
        <v>1115</v>
      </c>
      <c r="L438" t="n">
        <v>111500</v>
      </c>
      <c r="M438" t="inlineStr">
        <is>
          <t>Matvarer / drikke - ikke møtevirksomhet</t>
        </is>
      </c>
      <c r="N438" s="98" t="n">
        <v>0</v>
      </c>
      <c r="O438" s="98" t="n">
        <v>630.59</v>
      </c>
      <c r="P438" s="98" t="n">
        <v>-630.59</v>
      </c>
      <c r="Q438" s="98" t="n">
        <v>630.59</v>
      </c>
    </row>
    <row r="439">
      <c r="A439" t="inlineStr">
        <is>
          <t>2024-06</t>
        </is>
      </c>
      <c r="B439" t="inlineStr">
        <is>
          <t>Juni</t>
        </is>
      </c>
      <c r="C439" t="n">
        <v>6</v>
      </c>
      <c r="D439" t="inlineStr">
        <is>
          <t>T2</t>
        </is>
      </c>
      <c r="E439" t="inlineStr">
        <is>
          <t>Bokført</t>
        </is>
      </c>
      <c r="F439" t="inlineStr">
        <is>
          <t>Kommunal Boenhet</t>
        </is>
      </c>
      <c r="G439" t="n">
        <v>254</v>
      </c>
      <c r="H439" t="inlineStr">
        <is>
          <t>Helse og mestring</t>
        </is>
      </c>
      <c r="I439" t="inlineStr">
        <is>
          <t>2 Utgifter</t>
        </is>
      </c>
      <c r="J439" t="inlineStr">
        <is>
          <t>11 Refusjon lønn</t>
        </is>
      </c>
      <c r="K439" t="n">
        <v>1115</v>
      </c>
      <c r="L439" t="n">
        <v>111500</v>
      </c>
      <c r="M439" t="inlineStr">
        <is>
          <t>Matvarer / drikke - ikke møtevirksomhet</t>
        </is>
      </c>
      <c r="N439" s="98" t="n">
        <v>0</v>
      </c>
      <c r="O439" s="98" t="n">
        <v>716.97</v>
      </c>
      <c r="P439" s="98" t="n">
        <v>-716.97</v>
      </c>
      <c r="Q439" s="98" t="n">
        <v>716.97</v>
      </c>
    </row>
    <row r="440">
      <c r="A440" t="inlineStr">
        <is>
          <t>2024-07</t>
        </is>
      </c>
      <c r="B440" t="inlineStr">
        <is>
          <t>Juli</t>
        </is>
      </c>
      <c r="C440" t="n">
        <v>7</v>
      </c>
      <c r="D440" t="inlineStr">
        <is>
          <t>T2</t>
        </is>
      </c>
      <c r="E440" t="inlineStr">
        <is>
          <t>Bokført</t>
        </is>
      </c>
      <c r="F440" t="inlineStr">
        <is>
          <t>Kommunal Boenhet</t>
        </is>
      </c>
      <c r="G440" t="n">
        <v>254</v>
      </c>
      <c r="H440" t="inlineStr">
        <is>
          <t>Helse og mestring</t>
        </is>
      </c>
      <c r="I440" t="inlineStr">
        <is>
          <t>2 Utgifter</t>
        </is>
      </c>
      <c r="J440" t="inlineStr">
        <is>
          <t>11 Refusjon lønn</t>
        </is>
      </c>
      <c r="K440" t="n">
        <v>1115</v>
      </c>
      <c r="L440" t="n">
        <v>111500</v>
      </c>
      <c r="M440" t="inlineStr">
        <is>
          <t>Matvarer / drikke - ikke møtevirksomhet</t>
        </is>
      </c>
      <c r="N440" s="98" t="n">
        <v>0</v>
      </c>
      <c r="O440" s="98" t="n">
        <v>0</v>
      </c>
      <c r="P440" s="98" t="n">
        <v>0</v>
      </c>
      <c r="Q440" s="98" t="n">
        <v>0</v>
      </c>
    </row>
    <row r="441">
      <c r="A441" t="inlineStr">
        <is>
          <t>2024-08</t>
        </is>
      </c>
      <c r="B441" t="inlineStr">
        <is>
          <t>August</t>
        </is>
      </c>
      <c r="C441" t="n">
        <v>8</v>
      </c>
      <c r="D441" t="inlineStr">
        <is>
          <t>T2</t>
        </is>
      </c>
      <c r="E441" t="inlineStr">
        <is>
          <t>Bokført</t>
        </is>
      </c>
      <c r="F441" t="inlineStr">
        <is>
          <t>Kommunal Boenhet</t>
        </is>
      </c>
      <c r="G441" t="n">
        <v>254</v>
      </c>
      <c r="H441" t="inlineStr">
        <is>
          <t>Helse og mestring</t>
        </is>
      </c>
      <c r="I441" t="inlineStr">
        <is>
          <t>2 Utgifter</t>
        </is>
      </c>
      <c r="J441" t="inlineStr">
        <is>
          <t>11 Refusjon lønn</t>
        </is>
      </c>
      <c r="K441" t="n">
        <v>1115</v>
      </c>
      <c r="L441" t="n">
        <v>111500</v>
      </c>
      <c r="M441" t="inlineStr">
        <is>
          <t>Matvarer / drikke - ikke møtevirksomhet</t>
        </is>
      </c>
      <c r="N441" s="98" t="n">
        <v>0</v>
      </c>
      <c r="O441" s="98" t="n">
        <v>130.44</v>
      </c>
      <c r="P441" s="98" t="n">
        <v>-130.44</v>
      </c>
      <c r="Q441" s="98" t="n">
        <v>130.44</v>
      </c>
    </row>
    <row r="442">
      <c r="A442" t="inlineStr">
        <is>
          <t>2024-09</t>
        </is>
      </c>
      <c r="B442" t="inlineStr">
        <is>
          <t>September</t>
        </is>
      </c>
      <c r="C442" t="n">
        <v>9</v>
      </c>
      <c r="D442" t="inlineStr">
        <is>
          <t>T3</t>
        </is>
      </c>
      <c r="E442" t="inlineStr">
        <is>
          <t>Gjenstående budsjett</t>
        </is>
      </c>
      <c r="F442" t="inlineStr">
        <is>
          <t>Kommunal Boenhet</t>
        </is>
      </c>
      <c r="G442" t="n">
        <v>254</v>
      </c>
      <c r="H442" t="inlineStr">
        <is>
          <t>Helse og mestring</t>
        </is>
      </c>
      <c r="I442" t="inlineStr">
        <is>
          <t>2 Utgifter</t>
        </is>
      </c>
      <c r="J442" t="inlineStr">
        <is>
          <t>11 Refusjon lønn</t>
        </is>
      </c>
      <c r="K442" t="n">
        <v>1115</v>
      </c>
      <c r="L442" t="n">
        <v>111500</v>
      </c>
      <c r="M442" t="inlineStr">
        <is>
          <t>Matvarer / drikke - ikke møtevirksomhet</t>
        </is>
      </c>
      <c r="N442" s="98" t="n">
        <v>0</v>
      </c>
      <c r="O442" s="98" t="n">
        <v>0</v>
      </c>
      <c r="P442" s="98" t="n">
        <v>0</v>
      </c>
      <c r="Q442" s="98" t="n">
        <v>0</v>
      </c>
    </row>
    <row r="443">
      <c r="A443" t="inlineStr">
        <is>
          <t>2024-10</t>
        </is>
      </c>
      <c r="B443" t="inlineStr">
        <is>
          <t>Oktober</t>
        </is>
      </c>
      <c r="C443" t="n">
        <v>10</v>
      </c>
      <c r="D443" t="inlineStr">
        <is>
          <t>T3</t>
        </is>
      </c>
      <c r="E443" t="inlineStr">
        <is>
          <t>Gjenstående budsjett</t>
        </is>
      </c>
      <c r="F443" t="inlineStr">
        <is>
          <t>Kommunal Boenhet</t>
        </is>
      </c>
      <c r="G443" t="n">
        <v>254</v>
      </c>
      <c r="H443" t="inlineStr">
        <is>
          <t>Helse og mestring</t>
        </is>
      </c>
      <c r="I443" t="inlineStr">
        <is>
          <t>2 Utgifter</t>
        </is>
      </c>
      <c r="J443" t="inlineStr">
        <is>
          <t>11 Refusjon lønn</t>
        </is>
      </c>
      <c r="K443" t="n">
        <v>1115</v>
      </c>
      <c r="L443" t="n">
        <v>111500</v>
      </c>
      <c r="M443" t="inlineStr">
        <is>
          <t>Matvarer / drikke - ikke møtevirksomhet</t>
        </is>
      </c>
      <c r="N443" s="98" t="n">
        <v>0</v>
      </c>
      <c r="O443" s="98" t="n">
        <v>0</v>
      </c>
      <c r="P443" s="98" t="n">
        <v>0</v>
      </c>
      <c r="Q443" s="98" t="n">
        <v>0</v>
      </c>
    </row>
    <row r="444">
      <c r="A444" t="inlineStr">
        <is>
          <t>2024-11</t>
        </is>
      </c>
      <c r="B444" t="inlineStr">
        <is>
          <t>November</t>
        </is>
      </c>
      <c r="C444" t="n">
        <v>11</v>
      </c>
      <c r="D444" t="inlineStr">
        <is>
          <t>T3</t>
        </is>
      </c>
      <c r="E444" t="inlineStr">
        <is>
          <t>Gjenstående budsjett</t>
        </is>
      </c>
      <c r="F444" t="inlineStr">
        <is>
          <t>Kommunal Boenhet</t>
        </is>
      </c>
      <c r="G444" t="n">
        <v>254</v>
      </c>
      <c r="H444" t="inlineStr">
        <is>
          <t>Helse og mestring</t>
        </is>
      </c>
      <c r="I444" t="inlineStr">
        <is>
          <t>2 Utgifter</t>
        </is>
      </c>
      <c r="J444" t="inlineStr">
        <is>
          <t>11 Refusjon lønn</t>
        </is>
      </c>
      <c r="K444" t="n">
        <v>1115</v>
      </c>
      <c r="L444" t="n">
        <v>111500</v>
      </c>
      <c r="M444" t="inlineStr">
        <is>
          <t>Matvarer / drikke - ikke møtevirksomhet</t>
        </is>
      </c>
      <c r="N444" s="98" t="n">
        <v>0</v>
      </c>
      <c r="O444" s="98" t="n">
        <v>0</v>
      </c>
      <c r="P444" s="98" t="n">
        <v>0</v>
      </c>
      <c r="Q444" s="98" t="n">
        <v>0</v>
      </c>
    </row>
    <row r="445">
      <c r="A445" t="inlineStr">
        <is>
          <t>2024-12</t>
        </is>
      </c>
      <c r="B445" t="inlineStr">
        <is>
          <t>Desember</t>
        </is>
      </c>
      <c r="C445" t="n">
        <v>12</v>
      </c>
      <c r="D445" t="inlineStr">
        <is>
          <t>T3</t>
        </is>
      </c>
      <c r="E445" t="inlineStr">
        <is>
          <t>Gjenstående budsjett</t>
        </is>
      </c>
      <c r="F445" t="inlineStr">
        <is>
          <t>Kommunal Boenhet</t>
        </is>
      </c>
      <c r="G445" t="n">
        <v>254</v>
      </c>
      <c r="H445" t="inlineStr">
        <is>
          <t>Helse og mestring</t>
        </is>
      </c>
      <c r="I445" t="inlineStr">
        <is>
          <t>2 Utgifter</t>
        </is>
      </c>
      <c r="J445" t="inlineStr">
        <is>
          <t>11 Refusjon lønn</t>
        </is>
      </c>
      <c r="K445" t="n">
        <v>1115</v>
      </c>
      <c r="L445" t="n">
        <v>111500</v>
      </c>
      <c r="M445" t="inlineStr">
        <is>
          <t>Matvarer / drikke - ikke møtevirksomhet</t>
        </is>
      </c>
      <c r="N445" s="98" t="n">
        <v>0</v>
      </c>
      <c r="O445" s="98" t="n">
        <v>0</v>
      </c>
      <c r="P445" s="98" t="n">
        <v>0</v>
      </c>
      <c r="Q445" s="98" t="n">
        <v>0</v>
      </c>
    </row>
    <row r="446">
      <c r="A446" t="inlineStr">
        <is>
          <t>2024-01</t>
        </is>
      </c>
      <c r="B446" t="inlineStr">
        <is>
          <t>Januar</t>
        </is>
      </c>
      <c r="C446" t="n">
        <v>1</v>
      </c>
      <c r="D446" t="inlineStr">
        <is>
          <t>T1</t>
        </is>
      </c>
      <c r="E446" t="inlineStr">
        <is>
          <t>Bokført</t>
        </is>
      </c>
      <c r="F446" t="inlineStr">
        <is>
          <t>Kommunal Boenhet</t>
        </is>
      </c>
      <c r="G446" t="n">
        <v>254</v>
      </c>
      <c r="H446" t="inlineStr">
        <is>
          <t>Helse og mestring</t>
        </is>
      </c>
      <c r="I446" t="inlineStr">
        <is>
          <t>2 Utgifter</t>
        </is>
      </c>
      <c r="J446" t="inlineStr">
        <is>
          <t>11 Refusjon lønn</t>
        </is>
      </c>
      <c r="K446" t="n">
        <v>1115</v>
      </c>
      <c r="L446" t="n">
        <v>111502</v>
      </c>
      <c r="M446" t="inlineStr">
        <is>
          <t>Bevertning møter / kurs / opplæring / overtidsmat</t>
        </is>
      </c>
      <c r="N446" s="98" t="n">
        <v>1868</v>
      </c>
      <c r="O446" s="98" t="n">
        <v>0</v>
      </c>
      <c r="P446" s="98" t="n">
        <v>1868</v>
      </c>
      <c r="Q446" s="98" t="n">
        <v>-1868</v>
      </c>
    </row>
    <row r="447">
      <c r="A447" t="inlineStr">
        <is>
          <t>2024-02</t>
        </is>
      </c>
      <c r="B447" t="inlineStr">
        <is>
          <t>Februar</t>
        </is>
      </c>
      <c r="C447" t="n">
        <v>2</v>
      </c>
      <c r="D447" t="inlineStr">
        <is>
          <t>T1</t>
        </is>
      </c>
      <c r="E447" t="inlineStr">
        <is>
          <t>Bokført</t>
        </is>
      </c>
      <c r="F447" t="inlineStr">
        <is>
          <t>Kommunal Boenhet</t>
        </is>
      </c>
      <c r="G447" t="n">
        <v>254</v>
      </c>
      <c r="H447" t="inlineStr">
        <is>
          <t>Helse og mestring</t>
        </is>
      </c>
      <c r="I447" t="inlineStr">
        <is>
          <t>2 Utgifter</t>
        </is>
      </c>
      <c r="J447" t="inlineStr">
        <is>
          <t>11 Refusjon lønn</t>
        </is>
      </c>
      <c r="K447" t="n">
        <v>1115</v>
      </c>
      <c r="L447" t="n">
        <v>111502</v>
      </c>
      <c r="M447" t="inlineStr">
        <is>
          <t>Bevertning møter / kurs / opplæring / overtidsmat</t>
        </is>
      </c>
      <c r="N447" s="98" t="n">
        <v>1868</v>
      </c>
      <c r="O447" s="98" t="n">
        <v>294.5</v>
      </c>
      <c r="P447" s="98" t="n">
        <v>1573.5</v>
      </c>
      <c r="Q447" s="98" t="n">
        <v>-1573.5</v>
      </c>
    </row>
    <row r="448">
      <c r="A448" t="inlineStr">
        <is>
          <t>2024-03</t>
        </is>
      </c>
      <c r="B448" t="inlineStr">
        <is>
          <t>Mars</t>
        </is>
      </c>
      <c r="C448" t="n">
        <v>3</v>
      </c>
      <c r="D448" t="inlineStr">
        <is>
          <t>T1</t>
        </is>
      </c>
      <c r="E448" t="inlineStr">
        <is>
          <t>Bokført</t>
        </is>
      </c>
      <c r="F448" t="inlineStr">
        <is>
          <t>Kommunal Boenhet</t>
        </is>
      </c>
      <c r="G448" t="n">
        <v>254</v>
      </c>
      <c r="H448" t="inlineStr">
        <is>
          <t>Helse og mestring</t>
        </is>
      </c>
      <c r="I448" t="inlineStr">
        <is>
          <t>2 Utgifter</t>
        </is>
      </c>
      <c r="J448" t="inlineStr">
        <is>
          <t>11 Refusjon lønn</t>
        </is>
      </c>
      <c r="K448" t="n">
        <v>1115</v>
      </c>
      <c r="L448" t="n">
        <v>111502</v>
      </c>
      <c r="M448" t="inlineStr">
        <is>
          <t>Bevertning møter / kurs / opplæring / overtidsmat</t>
        </is>
      </c>
      <c r="N448" s="98" t="n">
        <v>1868</v>
      </c>
      <c r="O448" s="98" t="n">
        <v>477.59</v>
      </c>
      <c r="P448" s="98" t="n">
        <v>1390.41</v>
      </c>
      <c r="Q448" s="98" t="n">
        <v>-1390.41</v>
      </c>
    </row>
    <row r="449">
      <c r="A449" t="inlineStr">
        <is>
          <t>2024-04</t>
        </is>
      </c>
      <c r="B449" t="inlineStr">
        <is>
          <t>April</t>
        </is>
      </c>
      <c r="C449" t="n">
        <v>4</v>
      </c>
      <c r="D449" t="inlineStr">
        <is>
          <t>T1</t>
        </is>
      </c>
      <c r="E449" t="inlineStr">
        <is>
          <t>Bokført</t>
        </is>
      </c>
      <c r="F449" t="inlineStr">
        <is>
          <t>Kommunal Boenhet</t>
        </is>
      </c>
      <c r="G449" t="n">
        <v>254</v>
      </c>
      <c r="H449" t="inlineStr">
        <is>
          <t>Helse og mestring</t>
        </is>
      </c>
      <c r="I449" t="inlineStr">
        <is>
          <t>2 Utgifter</t>
        </is>
      </c>
      <c r="J449" t="inlineStr">
        <is>
          <t>11 Refusjon lønn</t>
        </is>
      </c>
      <c r="K449" t="n">
        <v>1115</v>
      </c>
      <c r="L449" t="n">
        <v>111502</v>
      </c>
      <c r="M449" t="inlineStr">
        <is>
          <t>Bevertning møter / kurs / opplæring / overtidsmat</t>
        </is>
      </c>
      <c r="N449" s="98" t="n">
        <v>1868</v>
      </c>
      <c r="O449" s="98" t="n">
        <v>0</v>
      </c>
      <c r="P449" s="98" t="n">
        <v>1868</v>
      </c>
      <c r="Q449" s="98" t="n">
        <v>-1868</v>
      </c>
    </row>
    <row r="450">
      <c r="A450" t="inlineStr">
        <is>
          <t>2024-05</t>
        </is>
      </c>
      <c r="B450" t="inlineStr">
        <is>
          <t>Mai</t>
        </is>
      </c>
      <c r="C450" t="n">
        <v>5</v>
      </c>
      <c r="D450" t="inlineStr">
        <is>
          <t>T2</t>
        </is>
      </c>
      <c r="E450" t="inlineStr">
        <is>
          <t>Bokført</t>
        </is>
      </c>
      <c r="F450" t="inlineStr">
        <is>
          <t>Kommunal Boenhet</t>
        </is>
      </c>
      <c r="G450" t="n">
        <v>254</v>
      </c>
      <c r="H450" t="inlineStr">
        <is>
          <t>Helse og mestring</t>
        </is>
      </c>
      <c r="I450" t="inlineStr">
        <is>
          <t>2 Utgifter</t>
        </is>
      </c>
      <c r="J450" t="inlineStr">
        <is>
          <t>11 Refusjon lønn</t>
        </is>
      </c>
      <c r="K450" t="n">
        <v>1115</v>
      </c>
      <c r="L450" t="n">
        <v>111502</v>
      </c>
      <c r="M450" t="inlineStr">
        <is>
          <t>Bevertning møter / kurs / opplæring / overtidsmat</t>
        </is>
      </c>
      <c r="N450" s="98" t="n">
        <v>1868</v>
      </c>
      <c r="O450" s="98" t="n">
        <v>4957.78</v>
      </c>
      <c r="P450" s="98" t="n">
        <v>-3089.78</v>
      </c>
      <c r="Q450" s="98" t="n">
        <v>3089.78</v>
      </c>
    </row>
    <row r="451">
      <c r="A451" t="inlineStr">
        <is>
          <t>2024-06</t>
        </is>
      </c>
      <c r="B451" t="inlineStr">
        <is>
          <t>Juni</t>
        </is>
      </c>
      <c r="C451" t="n">
        <v>6</v>
      </c>
      <c r="D451" t="inlineStr">
        <is>
          <t>T2</t>
        </is>
      </c>
      <c r="E451" t="inlineStr">
        <is>
          <t>Bokført</t>
        </is>
      </c>
      <c r="F451" t="inlineStr">
        <is>
          <t>Kommunal Boenhet</t>
        </is>
      </c>
      <c r="G451" t="n">
        <v>254</v>
      </c>
      <c r="H451" t="inlineStr">
        <is>
          <t>Helse og mestring</t>
        </is>
      </c>
      <c r="I451" t="inlineStr">
        <is>
          <t>2 Utgifter</t>
        </is>
      </c>
      <c r="J451" t="inlineStr">
        <is>
          <t>11 Refusjon lønn</t>
        </is>
      </c>
      <c r="K451" t="n">
        <v>1115</v>
      </c>
      <c r="L451" t="n">
        <v>111502</v>
      </c>
      <c r="M451" t="inlineStr">
        <is>
          <t>Bevertning møter / kurs / opplæring / overtidsmat</t>
        </is>
      </c>
      <c r="N451" s="98" t="n">
        <v>1868</v>
      </c>
      <c r="O451" s="98" t="n">
        <v>0</v>
      </c>
      <c r="P451" s="98" t="n">
        <v>1868</v>
      </c>
      <c r="Q451" s="98" t="n">
        <v>-1868</v>
      </c>
    </row>
    <row r="452">
      <c r="A452" t="inlineStr">
        <is>
          <t>2024-07</t>
        </is>
      </c>
      <c r="B452" t="inlineStr">
        <is>
          <t>Juli</t>
        </is>
      </c>
      <c r="C452" t="n">
        <v>7</v>
      </c>
      <c r="D452" t="inlineStr">
        <is>
          <t>T2</t>
        </is>
      </c>
      <c r="E452" t="inlineStr">
        <is>
          <t>Bokført</t>
        </is>
      </c>
      <c r="F452" t="inlineStr">
        <is>
          <t>Kommunal Boenhet</t>
        </is>
      </c>
      <c r="G452" t="n">
        <v>254</v>
      </c>
      <c r="H452" t="inlineStr">
        <is>
          <t>Helse og mestring</t>
        </is>
      </c>
      <c r="I452" t="inlineStr">
        <is>
          <t>2 Utgifter</t>
        </is>
      </c>
      <c r="J452" t="inlineStr">
        <is>
          <t>11 Refusjon lønn</t>
        </is>
      </c>
      <c r="K452" t="n">
        <v>1115</v>
      </c>
      <c r="L452" t="n">
        <v>111502</v>
      </c>
      <c r="M452" t="inlineStr">
        <is>
          <t>Bevertning møter / kurs / opplæring / overtidsmat</t>
        </is>
      </c>
      <c r="N452" s="98" t="n">
        <v>1868</v>
      </c>
      <c r="O452" s="98" t="n">
        <v>0</v>
      </c>
      <c r="P452" s="98" t="n">
        <v>1868</v>
      </c>
      <c r="Q452" s="98" t="n">
        <v>-1868</v>
      </c>
    </row>
    <row r="453">
      <c r="A453" t="inlineStr">
        <is>
          <t>2024-08</t>
        </is>
      </c>
      <c r="B453" t="inlineStr">
        <is>
          <t>August</t>
        </is>
      </c>
      <c r="C453" t="n">
        <v>8</v>
      </c>
      <c r="D453" t="inlineStr">
        <is>
          <t>T2</t>
        </is>
      </c>
      <c r="E453" t="inlineStr">
        <is>
          <t>Bokført</t>
        </is>
      </c>
      <c r="F453" t="inlineStr">
        <is>
          <t>Kommunal Boenhet</t>
        </is>
      </c>
      <c r="G453" t="n">
        <v>254</v>
      </c>
      <c r="H453" t="inlineStr">
        <is>
          <t>Helse og mestring</t>
        </is>
      </c>
      <c r="I453" t="inlineStr">
        <is>
          <t>2 Utgifter</t>
        </is>
      </c>
      <c r="J453" t="inlineStr">
        <is>
          <t>11 Refusjon lønn</t>
        </is>
      </c>
      <c r="K453" t="n">
        <v>1115</v>
      </c>
      <c r="L453" t="n">
        <v>111502</v>
      </c>
      <c r="M453" t="inlineStr">
        <is>
          <t>Bevertning møter / kurs / opplæring / overtidsmat</t>
        </is>
      </c>
      <c r="N453" s="98" t="n">
        <v>1868</v>
      </c>
      <c r="O453" s="98" t="n">
        <v>0</v>
      </c>
      <c r="P453" s="98" t="n">
        <v>1868</v>
      </c>
      <c r="Q453" s="98" t="n">
        <v>-1868</v>
      </c>
    </row>
    <row r="454">
      <c r="A454" t="inlineStr">
        <is>
          <t>2024-09</t>
        </is>
      </c>
      <c r="B454" t="inlineStr">
        <is>
          <t>September</t>
        </is>
      </c>
      <c r="C454" t="n">
        <v>9</v>
      </c>
      <c r="D454" t="inlineStr">
        <is>
          <t>T3</t>
        </is>
      </c>
      <c r="E454" t="inlineStr">
        <is>
          <t>Gjenstående budsjett</t>
        </is>
      </c>
      <c r="F454" t="inlineStr">
        <is>
          <t>Kommunal Boenhet</t>
        </is>
      </c>
      <c r="G454" t="n">
        <v>254</v>
      </c>
      <c r="H454" t="inlineStr">
        <is>
          <t>Helse og mestring</t>
        </is>
      </c>
      <c r="I454" t="inlineStr">
        <is>
          <t>2 Utgifter</t>
        </is>
      </c>
      <c r="J454" t="inlineStr">
        <is>
          <t>11 Refusjon lønn</t>
        </is>
      </c>
      <c r="K454" t="n">
        <v>1115</v>
      </c>
      <c r="L454" t="n">
        <v>111502</v>
      </c>
      <c r="M454" t="inlineStr">
        <is>
          <t>Bevertning møter / kurs / opplæring / overtidsmat</t>
        </is>
      </c>
      <c r="N454" s="98" t="n">
        <v>1868</v>
      </c>
      <c r="O454" s="98" t="n">
        <v>0</v>
      </c>
      <c r="P454" s="98" t="n">
        <v>0</v>
      </c>
      <c r="Q454" s="98" t="n">
        <v>-1868</v>
      </c>
    </row>
    <row r="455">
      <c r="A455" t="inlineStr">
        <is>
          <t>2024-10</t>
        </is>
      </c>
      <c r="B455" t="inlineStr">
        <is>
          <t>Oktober</t>
        </is>
      </c>
      <c r="C455" t="n">
        <v>10</v>
      </c>
      <c r="D455" t="inlineStr">
        <is>
          <t>T3</t>
        </is>
      </c>
      <c r="E455" t="inlineStr">
        <is>
          <t>Gjenstående budsjett</t>
        </is>
      </c>
      <c r="F455" t="inlineStr">
        <is>
          <t>Kommunal Boenhet</t>
        </is>
      </c>
      <c r="G455" t="n">
        <v>254</v>
      </c>
      <c r="H455" t="inlineStr">
        <is>
          <t>Helse og mestring</t>
        </is>
      </c>
      <c r="I455" t="inlineStr">
        <is>
          <t>2 Utgifter</t>
        </is>
      </c>
      <c r="J455" t="inlineStr">
        <is>
          <t>11 Refusjon lønn</t>
        </is>
      </c>
      <c r="K455" t="n">
        <v>1115</v>
      </c>
      <c r="L455" t="n">
        <v>111502</v>
      </c>
      <c r="M455" t="inlineStr">
        <is>
          <t>Bevertning møter / kurs / opplæring / overtidsmat</t>
        </is>
      </c>
      <c r="N455" s="98" t="n">
        <v>1868</v>
      </c>
      <c r="O455" s="98" t="n">
        <v>0</v>
      </c>
      <c r="P455" s="98" t="n">
        <v>0</v>
      </c>
      <c r="Q455" s="98" t="n">
        <v>-1868</v>
      </c>
    </row>
    <row r="456">
      <c r="A456" t="inlineStr">
        <is>
          <t>2024-11</t>
        </is>
      </c>
      <c r="B456" t="inlineStr">
        <is>
          <t>November</t>
        </is>
      </c>
      <c r="C456" t="n">
        <v>11</v>
      </c>
      <c r="D456" t="inlineStr">
        <is>
          <t>T3</t>
        </is>
      </c>
      <c r="E456" t="inlineStr">
        <is>
          <t>Gjenstående budsjett</t>
        </is>
      </c>
      <c r="F456" t="inlineStr">
        <is>
          <t>Kommunal Boenhet</t>
        </is>
      </c>
      <c r="G456" t="n">
        <v>254</v>
      </c>
      <c r="H456" t="inlineStr">
        <is>
          <t>Helse og mestring</t>
        </is>
      </c>
      <c r="I456" t="inlineStr">
        <is>
          <t>2 Utgifter</t>
        </is>
      </c>
      <c r="J456" t="inlineStr">
        <is>
          <t>11 Refusjon lønn</t>
        </is>
      </c>
      <c r="K456" t="n">
        <v>1115</v>
      </c>
      <c r="L456" t="n">
        <v>111502</v>
      </c>
      <c r="M456" t="inlineStr">
        <is>
          <t>Bevertning møter / kurs / opplæring / overtidsmat</t>
        </is>
      </c>
      <c r="N456" s="98" t="n">
        <v>1868</v>
      </c>
      <c r="O456" s="98" t="n">
        <v>0</v>
      </c>
      <c r="P456" s="98" t="n">
        <v>0</v>
      </c>
      <c r="Q456" s="98" t="n">
        <v>-1868</v>
      </c>
    </row>
    <row r="457">
      <c r="A457" t="inlineStr">
        <is>
          <t>2024-12</t>
        </is>
      </c>
      <c r="B457" t="inlineStr">
        <is>
          <t>Desember</t>
        </is>
      </c>
      <c r="C457" t="n">
        <v>12</v>
      </c>
      <c r="D457" t="inlineStr">
        <is>
          <t>T3</t>
        </is>
      </c>
      <c r="E457" t="inlineStr">
        <is>
          <t>Gjenstående budsjett</t>
        </is>
      </c>
      <c r="F457" t="inlineStr">
        <is>
          <t>Kommunal Boenhet</t>
        </is>
      </c>
      <c r="G457" t="n">
        <v>254</v>
      </c>
      <c r="H457" t="inlineStr">
        <is>
          <t>Helse og mestring</t>
        </is>
      </c>
      <c r="I457" t="inlineStr">
        <is>
          <t>2 Utgifter</t>
        </is>
      </c>
      <c r="J457" t="inlineStr">
        <is>
          <t>11 Refusjon lønn</t>
        </is>
      </c>
      <c r="K457" t="n">
        <v>1115</v>
      </c>
      <c r="L457" t="n">
        <v>111502</v>
      </c>
      <c r="M457" t="inlineStr">
        <is>
          <t>Bevertning møter / kurs / opplæring / overtidsmat</t>
        </is>
      </c>
      <c r="N457" s="98" t="n">
        <v>1452</v>
      </c>
      <c r="O457" s="98" t="n">
        <v>0</v>
      </c>
      <c r="P457" s="98" t="n">
        <v>0</v>
      </c>
      <c r="Q457" s="98" t="n">
        <v>-1452</v>
      </c>
    </row>
    <row r="458">
      <c r="A458" t="inlineStr">
        <is>
          <t>2024-01</t>
        </is>
      </c>
      <c r="B458" t="inlineStr">
        <is>
          <t>Januar</t>
        </is>
      </c>
      <c r="C458" t="n">
        <v>1</v>
      </c>
      <c r="D458" t="inlineStr">
        <is>
          <t>T1</t>
        </is>
      </c>
      <c r="E458" t="inlineStr">
        <is>
          <t>Bokført</t>
        </is>
      </c>
      <c r="F458" t="inlineStr">
        <is>
          <t>Kommunal Boenhet</t>
        </is>
      </c>
      <c r="G458" t="n">
        <v>254</v>
      </c>
      <c r="H458" t="inlineStr">
        <is>
          <t>Helse og mestring</t>
        </is>
      </c>
      <c r="I458" t="inlineStr">
        <is>
          <t>2 Utgifter</t>
        </is>
      </c>
      <c r="J458" t="inlineStr">
        <is>
          <t>11 Refusjon lønn</t>
        </is>
      </c>
      <c r="K458" t="n">
        <v>1115</v>
      </c>
      <c r="L458" t="n">
        <v>111509</v>
      </c>
      <c r="M458" t="inlineStr">
        <is>
          <t>Pant</t>
        </is>
      </c>
      <c r="N458" s="98" t="n">
        <v>0</v>
      </c>
      <c r="O458" s="98" t="n">
        <v>0</v>
      </c>
      <c r="P458" s="98" t="n">
        <v>0</v>
      </c>
      <c r="Q458" s="98" t="n">
        <v>0</v>
      </c>
    </row>
    <row r="459">
      <c r="A459" t="inlineStr">
        <is>
          <t>2024-02</t>
        </is>
      </c>
      <c r="B459" t="inlineStr">
        <is>
          <t>Februar</t>
        </is>
      </c>
      <c r="C459" t="n">
        <v>2</v>
      </c>
      <c r="D459" t="inlineStr">
        <is>
          <t>T1</t>
        </is>
      </c>
      <c r="E459" t="inlineStr">
        <is>
          <t>Bokført</t>
        </is>
      </c>
      <c r="F459" t="inlineStr">
        <is>
          <t>Kommunal Boenhet</t>
        </is>
      </c>
      <c r="G459" t="n">
        <v>254</v>
      </c>
      <c r="H459" t="inlineStr">
        <is>
          <t>Helse og mestring</t>
        </is>
      </c>
      <c r="I459" t="inlineStr">
        <is>
          <t>2 Utgifter</t>
        </is>
      </c>
      <c r="J459" t="inlineStr">
        <is>
          <t>11 Refusjon lønn</t>
        </is>
      </c>
      <c r="K459" t="n">
        <v>1115</v>
      </c>
      <c r="L459" t="n">
        <v>111509</v>
      </c>
      <c r="M459" t="inlineStr">
        <is>
          <t>Pant</t>
        </is>
      </c>
      <c r="N459" s="98" t="n">
        <v>0</v>
      </c>
      <c r="O459" s="98" t="n">
        <v>12</v>
      </c>
      <c r="P459" s="98" t="n">
        <v>-12</v>
      </c>
      <c r="Q459" s="98" t="n">
        <v>12</v>
      </c>
    </row>
    <row r="460">
      <c r="A460" t="inlineStr">
        <is>
          <t>2024-03</t>
        </is>
      </c>
      <c r="B460" t="inlineStr">
        <is>
          <t>Mars</t>
        </is>
      </c>
      <c r="C460" t="n">
        <v>3</v>
      </c>
      <c r="D460" t="inlineStr">
        <is>
          <t>T1</t>
        </is>
      </c>
      <c r="E460" t="inlineStr">
        <is>
          <t>Bokført</t>
        </is>
      </c>
      <c r="F460" t="inlineStr">
        <is>
          <t>Kommunal Boenhet</t>
        </is>
      </c>
      <c r="G460" t="n">
        <v>254</v>
      </c>
      <c r="H460" t="inlineStr">
        <is>
          <t>Helse og mestring</t>
        </is>
      </c>
      <c r="I460" t="inlineStr">
        <is>
          <t>2 Utgifter</t>
        </is>
      </c>
      <c r="J460" t="inlineStr">
        <is>
          <t>11 Refusjon lønn</t>
        </is>
      </c>
      <c r="K460" t="n">
        <v>1115</v>
      </c>
      <c r="L460" t="n">
        <v>111509</v>
      </c>
      <c r="M460" t="inlineStr">
        <is>
          <t>Pant</t>
        </is>
      </c>
      <c r="N460" s="98" t="n">
        <v>0</v>
      </c>
      <c r="O460" s="98" t="n">
        <v>21</v>
      </c>
      <c r="P460" s="98" t="n">
        <v>-21</v>
      </c>
      <c r="Q460" s="98" t="n">
        <v>21</v>
      </c>
    </row>
    <row r="461">
      <c r="A461" t="inlineStr">
        <is>
          <t>2024-04</t>
        </is>
      </c>
      <c r="B461" t="inlineStr">
        <is>
          <t>April</t>
        </is>
      </c>
      <c r="C461" t="n">
        <v>4</v>
      </c>
      <c r="D461" t="inlineStr">
        <is>
          <t>T1</t>
        </is>
      </c>
      <c r="E461" t="inlineStr">
        <is>
          <t>Bokført</t>
        </is>
      </c>
      <c r="F461" t="inlineStr">
        <is>
          <t>Kommunal Boenhet</t>
        </is>
      </c>
      <c r="G461" t="n">
        <v>254</v>
      </c>
      <c r="H461" t="inlineStr">
        <is>
          <t>Helse og mestring</t>
        </is>
      </c>
      <c r="I461" t="inlineStr">
        <is>
          <t>2 Utgifter</t>
        </is>
      </c>
      <c r="J461" t="inlineStr">
        <is>
          <t>11 Refusjon lønn</t>
        </is>
      </c>
      <c r="K461" t="n">
        <v>1115</v>
      </c>
      <c r="L461" t="n">
        <v>111509</v>
      </c>
      <c r="M461" t="inlineStr">
        <is>
          <t>Pant</t>
        </is>
      </c>
      <c r="N461" s="98" t="n">
        <v>0</v>
      </c>
      <c r="O461" s="98" t="n">
        <v>0</v>
      </c>
      <c r="P461" s="98" t="n">
        <v>0</v>
      </c>
      <c r="Q461" s="98" t="n">
        <v>0</v>
      </c>
    </row>
    <row r="462">
      <c r="A462" t="inlineStr">
        <is>
          <t>2024-05</t>
        </is>
      </c>
      <c r="B462" t="inlineStr">
        <is>
          <t>Mai</t>
        </is>
      </c>
      <c r="C462" t="n">
        <v>5</v>
      </c>
      <c r="D462" t="inlineStr">
        <is>
          <t>T2</t>
        </is>
      </c>
      <c r="E462" t="inlineStr">
        <is>
          <t>Bokført</t>
        </is>
      </c>
      <c r="F462" t="inlineStr">
        <is>
          <t>Kommunal Boenhet</t>
        </is>
      </c>
      <c r="G462" t="n">
        <v>254</v>
      </c>
      <c r="H462" t="inlineStr">
        <is>
          <t>Helse og mestring</t>
        </is>
      </c>
      <c r="I462" t="inlineStr">
        <is>
          <t>2 Utgifter</t>
        </is>
      </c>
      <c r="J462" t="inlineStr">
        <is>
          <t>11 Refusjon lønn</t>
        </is>
      </c>
      <c r="K462" t="n">
        <v>1115</v>
      </c>
      <c r="L462" t="n">
        <v>111509</v>
      </c>
      <c r="M462" t="inlineStr">
        <is>
          <t>Pant</t>
        </is>
      </c>
      <c r="N462" s="98" t="n">
        <v>0</v>
      </c>
      <c r="O462" s="98" t="n">
        <v>24</v>
      </c>
      <c r="P462" s="98" t="n">
        <v>-24</v>
      </c>
      <c r="Q462" s="98" t="n">
        <v>24</v>
      </c>
    </row>
    <row r="463">
      <c r="A463" t="inlineStr">
        <is>
          <t>2024-06</t>
        </is>
      </c>
      <c r="B463" t="inlineStr">
        <is>
          <t>Juni</t>
        </is>
      </c>
      <c r="C463" t="n">
        <v>6</v>
      </c>
      <c r="D463" t="inlineStr">
        <is>
          <t>T2</t>
        </is>
      </c>
      <c r="E463" t="inlineStr">
        <is>
          <t>Bokført</t>
        </is>
      </c>
      <c r="F463" t="inlineStr">
        <is>
          <t>Kommunal Boenhet</t>
        </is>
      </c>
      <c r="G463" t="n">
        <v>254</v>
      </c>
      <c r="H463" t="inlineStr">
        <is>
          <t>Helse og mestring</t>
        </is>
      </c>
      <c r="I463" t="inlineStr">
        <is>
          <t>2 Utgifter</t>
        </is>
      </c>
      <c r="J463" t="inlineStr">
        <is>
          <t>11 Refusjon lønn</t>
        </is>
      </c>
      <c r="K463" t="n">
        <v>1115</v>
      </c>
      <c r="L463" t="n">
        <v>111509</v>
      </c>
      <c r="M463" t="inlineStr">
        <is>
          <t>Pant</t>
        </is>
      </c>
      <c r="N463" s="98" t="n">
        <v>0</v>
      </c>
      <c r="O463" s="98" t="n">
        <v>0</v>
      </c>
      <c r="P463" s="98" t="n">
        <v>0</v>
      </c>
      <c r="Q463" s="98" t="n">
        <v>0</v>
      </c>
    </row>
    <row r="464">
      <c r="A464" t="inlineStr">
        <is>
          <t>2024-07</t>
        </is>
      </c>
      <c r="B464" t="inlineStr">
        <is>
          <t>Juli</t>
        </is>
      </c>
      <c r="C464" t="n">
        <v>7</v>
      </c>
      <c r="D464" t="inlineStr">
        <is>
          <t>T2</t>
        </is>
      </c>
      <c r="E464" t="inlineStr">
        <is>
          <t>Bokført</t>
        </is>
      </c>
      <c r="F464" t="inlineStr">
        <is>
          <t>Kommunal Boenhet</t>
        </is>
      </c>
      <c r="G464" t="n">
        <v>254</v>
      </c>
      <c r="H464" t="inlineStr">
        <is>
          <t>Helse og mestring</t>
        </is>
      </c>
      <c r="I464" t="inlineStr">
        <is>
          <t>2 Utgifter</t>
        </is>
      </c>
      <c r="J464" t="inlineStr">
        <is>
          <t>11 Refusjon lønn</t>
        </is>
      </c>
      <c r="K464" t="n">
        <v>1115</v>
      </c>
      <c r="L464" t="n">
        <v>111509</v>
      </c>
      <c r="M464" t="inlineStr">
        <is>
          <t>Pant</t>
        </is>
      </c>
      <c r="N464" s="98" t="n">
        <v>0</v>
      </c>
      <c r="O464" s="98" t="n">
        <v>0</v>
      </c>
      <c r="P464" s="98" t="n">
        <v>0</v>
      </c>
      <c r="Q464" s="98" t="n">
        <v>0</v>
      </c>
    </row>
    <row r="465">
      <c r="A465" t="inlineStr">
        <is>
          <t>2024-08</t>
        </is>
      </c>
      <c r="B465" t="inlineStr">
        <is>
          <t>August</t>
        </is>
      </c>
      <c r="C465" t="n">
        <v>8</v>
      </c>
      <c r="D465" t="inlineStr">
        <is>
          <t>T2</t>
        </is>
      </c>
      <c r="E465" t="inlineStr">
        <is>
          <t>Bokført</t>
        </is>
      </c>
      <c r="F465" t="inlineStr">
        <is>
          <t>Kommunal Boenhet</t>
        </is>
      </c>
      <c r="G465" t="n">
        <v>254</v>
      </c>
      <c r="H465" t="inlineStr">
        <is>
          <t>Helse og mestring</t>
        </is>
      </c>
      <c r="I465" t="inlineStr">
        <is>
          <t>2 Utgifter</t>
        </is>
      </c>
      <c r="J465" t="inlineStr">
        <is>
          <t>11 Refusjon lønn</t>
        </is>
      </c>
      <c r="K465" t="n">
        <v>1115</v>
      </c>
      <c r="L465" t="n">
        <v>111509</v>
      </c>
      <c r="M465" t="inlineStr">
        <is>
          <t>Pant</t>
        </is>
      </c>
      <c r="N465" s="98" t="n">
        <v>0</v>
      </c>
      <c r="O465" s="98" t="n">
        <v>0</v>
      </c>
      <c r="P465" s="98" t="n">
        <v>0</v>
      </c>
      <c r="Q465" s="98" t="n">
        <v>0</v>
      </c>
    </row>
    <row r="466">
      <c r="A466" t="inlineStr">
        <is>
          <t>2024-09</t>
        </is>
      </c>
      <c r="B466" t="inlineStr">
        <is>
          <t>September</t>
        </is>
      </c>
      <c r="C466" t="n">
        <v>9</v>
      </c>
      <c r="D466" t="inlineStr">
        <is>
          <t>T3</t>
        </is>
      </c>
      <c r="E466" t="inlineStr">
        <is>
          <t>Gjenstående budsjett</t>
        </is>
      </c>
      <c r="F466" t="inlineStr">
        <is>
          <t>Kommunal Boenhet</t>
        </is>
      </c>
      <c r="G466" t="n">
        <v>254</v>
      </c>
      <c r="H466" t="inlineStr">
        <is>
          <t>Helse og mestring</t>
        </is>
      </c>
      <c r="I466" t="inlineStr">
        <is>
          <t>2 Utgifter</t>
        </is>
      </c>
      <c r="J466" t="inlineStr">
        <is>
          <t>11 Refusjon lønn</t>
        </is>
      </c>
      <c r="K466" t="n">
        <v>1115</v>
      </c>
      <c r="L466" t="n">
        <v>111509</v>
      </c>
      <c r="M466" t="inlineStr">
        <is>
          <t>Pant</t>
        </is>
      </c>
      <c r="N466" s="98" t="n">
        <v>0</v>
      </c>
      <c r="O466" s="98" t="n">
        <v>0</v>
      </c>
      <c r="P466" s="98" t="n">
        <v>0</v>
      </c>
      <c r="Q466" s="98" t="n">
        <v>0</v>
      </c>
    </row>
    <row r="467">
      <c r="A467" t="inlineStr">
        <is>
          <t>2024-10</t>
        </is>
      </c>
      <c r="B467" t="inlineStr">
        <is>
          <t>Oktober</t>
        </is>
      </c>
      <c r="C467" t="n">
        <v>10</v>
      </c>
      <c r="D467" t="inlineStr">
        <is>
          <t>T3</t>
        </is>
      </c>
      <c r="E467" t="inlineStr">
        <is>
          <t>Gjenstående budsjett</t>
        </is>
      </c>
      <c r="F467" t="inlineStr">
        <is>
          <t>Kommunal Boenhet</t>
        </is>
      </c>
      <c r="G467" t="n">
        <v>254</v>
      </c>
      <c r="H467" t="inlineStr">
        <is>
          <t>Helse og mestring</t>
        </is>
      </c>
      <c r="I467" t="inlineStr">
        <is>
          <t>2 Utgifter</t>
        </is>
      </c>
      <c r="J467" t="inlineStr">
        <is>
          <t>11 Refusjon lønn</t>
        </is>
      </c>
      <c r="K467" t="n">
        <v>1115</v>
      </c>
      <c r="L467" t="n">
        <v>111509</v>
      </c>
      <c r="M467" t="inlineStr">
        <is>
          <t>Pant</t>
        </is>
      </c>
      <c r="N467" s="98" t="n">
        <v>0</v>
      </c>
      <c r="O467" s="98" t="n">
        <v>0</v>
      </c>
      <c r="P467" s="98" t="n">
        <v>0</v>
      </c>
      <c r="Q467" s="98" t="n">
        <v>0</v>
      </c>
    </row>
    <row r="468">
      <c r="A468" t="inlineStr">
        <is>
          <t>2024-11</t>
        </is>
      </c>
      <c r="B468" t="inlineStr">
        <is>
          <t>November</t>
        </is>
      </c>
      <c r="C468" t="n">
        <v>11</v>
      </c>
      <c r="D468" t="inlineStr">
        <is>
          <t>T3</t>
        </is>
      </c>
      <c r="E468" t="inlineStr">
        <is>
          <t>Gjenstående budsjett</t>
        </is>
      </c>
      <c r="F468" t="inlineStr">
        <is>
          <t>Kommunal Boenhet</t>
        </is>
      </c>
      <c r="G468" t="n">
        <v>254</v>
      </c>
      <c r="H468" t="inlineStr">
        <is>
          <t>Helse og mestring</t>
        </is>
      </c>
      <c r="I468" t="inlineStr">
        <is>
          <t>2 Utgifter</t>
        </is>
      </c>
      <c r="J468" t="inlineStr">
        <is>
          <t>11 Refusjon lønn</t>
        </is>
      </c>
      <c r="K468" t="n">
        <v>1115</v>
      </c>
      <c r="L468" t="n">
        <v>111509</v>
      </c>
      <c r="M468" t="inlineStr">
        <is>
          <t>Pant</t>
        </is>
      </c>
      <c r="N468" s="98" t="n">
        <v>0</v>
      </c>
      <c r="O468" s="98" t="n">
        <v>0</v>
      </c>
      <c r="P468" s="98" t="n">
        <v>0</v>
      </c>
      <c r="Q468" s="98" t="n">
        <v>0</v>
      </c>
    </row>
    <row r="469">
      <c r="A469" t="inlineStr">
        <is>
          <t>2024-12</t>
        </is>
      </c>
      <c r="B469" t="inlineStr">
        <is>
          <t>Desember</t>
        </is>
      </c>
      <c r="C469" t="n">
        <v>12</v>
      </c>
      <c r="D469" t="inlineStr">
        <is>
          <t>T3</t>
        </is>
      </c>
      <c r="E469" t="inlineStr">
        <is>
          <t>Gjenstående budsjett</t>
        </is>
      </c>
      <c r="F469" t="inlineStr">
        <is>
          <t>Kommunal Boenhet</t>
        </is>
      </c>
      <c r="G469" t="n">
        <v>254</v>
      </c>
      <c r="H469" t="inlineStr">
        <is>
          <t>Helse og mestring</t>
        </is>
      </c>
      <c r="I469" t="inlineStr">
        <is>
          <t>2 Utgifter</t>
        </is>
      </c>
      <c r="J469" t="inlineStr">
        <is>
          <t>11 Refusjon lønn</t>
        </is>
      </c>
      <c r="K469" t="n">
        <v>1115</v>
      </c>
      <c r="L469" t="n">
        <v>111509</v>
      </c>
      <c r="M469" t="inlineStr">
        <is>
          <t>Pant</t>
        </is>
      </c>
      <c r="N469" s="98" t="n">
        <v>0</v>
      </c>
      <c r="O469" s="98" t="n">
        <v>0</v>
      </c>
      <c r="P469" s="98" t="n">
        <v>0</v>
      </c>
      <c r="Q469" s="98" t="n">
        <v>0</v>
      </c>
    </row>
    <row r="470">
      <c r="A470" t="inlineStr">
        <is>
          <t>2024-01</t>
        </is>
      </c>
      <c r="B470" t="inlineStr">
        <is>
          <t>Januar</t>
        </is>
      </c>
      <c r="C470" t="n">
        <v>1</v>
      </c>
      <c r="D470" t="inlineStr">
        <is>
          <t>T1</t>
        </is>
      </c>
      <c r="E470" t="inlineStr">
        <is>
          <t>Bokført</t>
        </is>
      </c>
      <c r="F470" t="inlineStr">
        <is>
          <t>Kommunal Boenhet</t>
        </is>
      </c>
      <c r="G470" t="n">
        <v>254</v>
      </c>
      <c r="H470" t="inlineStr">
        <is>
          <t>Helse og mestring</t>
        </is>
      </c>
      <c r="I470" t="inlineStr">
        <is>
          <t>2 Utgifter</t>
        </is>
      </c>
      <c r="J470" t="inlineStr">
        <is>
          <t>11 Refusjon lønn</t>
        </is>
      </c>
      <c r="K470" t="n">
        <v>1120</v>
      </c>
      <c r="L470" t="n">
        <v>112000</v>
      </c>
      <c r="M470" t="inlineStr">
        <is>
          <t>Velferdstiltak / arrangementer -  ansatte</t>
        </is>
      </c>
      <c r="N470" s="98" t="n">
        <v>1868</v>
      </c>
      <c r="O470" s="98" t="n">
        <v>0</v>
      </c>
      <c r="P470" s="98" t="n">
        <v>1868</v>
      </c>
      <c r="Q470" s="98" t="n">
        <v>-1868</v>
      </c>
    </row>
    <row r="471">
      <c r="A471" t="inlineStr">
        <is>
          <t>2024-02</t>
        </is>
      </c>
      <c r="B471" t="inlineStr">
        <is>
          <t>Februar</t>
        </is>
      </c>
      <c r="C471" t="n">
        <v>2</v>
      </c>
      <c r="D471" t="inlineStr">
        <is>
          <t>T1</t>
        </is>
      </c>
      <c r="E471" t="inlineStr">
        <is>
          <t>Bokført</t>
        </is>
      </c>
      <c r="F471" t="inlineStr">
        <is>
          <t>Kommunal Boenhet</t>
        </is>
      </c>
      <c r="G471" t="n">
        <v>254</v>
      </c>
      <c r="H471" t="inlineStr">
        <is>
          <t>Helse og mestring</t>
        </is>
      </c>
      <c r="I471" t="inlineStr">
        <is>
          <t>2 Utgifter</t>
        </is>
      </c>
      <c r="J471" t="inlineStr">
        <is>
          <t>11 Refusjon lønn</t>
        </is>
      </c>
      <c r="K471" t="n">
        <v>1120</v>
      </c>
      <c r="L471" t="n">
        <v>112000</v>
      </c>
      <c r="M471" t="inlineStr">
        <is>
          <t>Velferdstiltak / arrangementer -  ansatte</t>
        </is>
      </c>
      <c r="N471" s="98" t="n">
        <v>1868</v>
      </c>
      <c r="O471" s="98" t="n">
        <v>0</v>
      </c>
      <c r="P471" s="98" t="n">
        <v>1868</v>
      </c>
      <c r="Q471" s="98" t="n">
        <v>-1868</v>
      </c>
    </row>
    <row r="472">
      <c r="A472" t="inlineStr">
        <is>
          <t>2024-03</t>
        </is>
      </c>
      <c r="B472" t="inlineStr">
        <is>
          <t>Mars</t>
        </is>
      </c>
      <c r="C472" t="n">
        <v>3</v>
      </c>
      <c r="D472" t="inlineStr">
        <is>
          <t>T1</t>
        </is>
      </c>
      <c r="E472" t="inlineStr">
        <is>
          <t>Bokført</t>
        </is>
      </c>
      <c r="F472" t="inlineStr">
        <is>
          <t>Kommunal Boenhet</t>
        </is>
      </c>
      <c r="G472" t="n">
        <v>254</v>
      </c>
      <c r="H472" t="inlineStr">
        <is>
          <t>Helse og mestring</t>
        </is>
      </c>
      <c r="I472" t="inlineStr">
        <is>
          <t>2 Utgifter</t>
        </is>
      </c>
      <c r="J472" t="inlineStr">
        <is>
          <t>11 Refusjon lønn</t>
        </is>
      </c>
      <c r="K472" t="n">
        <v>1120</v>
      </c>
      <c r="L472" t="n">
        <v>112000</v>
      </c>
      <c r="M472" t="inlineStr">
        <is>
          <t>Velferdstiltak / arrangementer -  ansatte</t>
        </is>
      </c>
      <c r="N472" s="98" t="n">
        <v>1868</v>
      </c>
      <c r="O472" s="98" t="n">
        <v>0</v>
      </c>
      <c r="P472" s="98" t="n">
        <v>1868</v>
      </c>
      <c r="Q472" s="98" t="n">
        <v>-1868</v>
      </c>
    </row>
    <row r="473">
      <c r="A473" t="inlineStr">
        <is>
          <t>2024-04</t>
        </is>
      </c>
      <c r="B473" t="inlineStr">
        <is>
          <t>April</t>
        </is>
      </c>
      <c r="C473" t="n">
        <v>4</v>
      </c>
      <c r="D473" t="inlineStr">
        <is>
          <t>T1</t>
        </is>
      </c>
      <c r="E473" t="inlineStr">
        <is>
          <t>Bokført</t>
        </is>
      </c>
      <c r="F473" t="inlineStr">
        <is>
          <t>Kommunal Boenhet</t>
        </is>
      </c>
      <c r="G473" t="n">
        <v>254</v>
      </c>
      <c r="H473" t="inlineStr">
        <is>
          <t>Helse og mestring</t>
        </is>
      </c>
      <c r="I473" t="inlineStr">
        <is>
          <t>2 Utgifter</t>
        </is>
      </c>
      <c r="J473" t="inlineStr">
        <is>
          <t>11 Refusjon lønn</t>
        </is>
      </c>
      <c r="K473" t="n">
        <v>1120</v>
      </c>
      <c r="L473" t="n">
        <v>112000</v>
      </c>
      <c r="M473" t="inlineStr">
        <is>
          <t>Velferdstiltak / arrangementer -  ansatte</t>
        </is>
      </c>
      <c r="N473" s="98" t="n">
        <v>1868</v>
      </c>
      <c r="O473" s="98" t="n">
        <v>103.8</v>
      </c>
      <c r="P473" s="98" t="n">
        <v>1764.2</v>
      </c>
      <c r="Q473" s="98" t="n">
        <v>-1764.2</v>
      </c>
    </row>
    <row r="474">
      <c r="A474" t="inlineStr">
        <is>
          <t>2024-05</t>
        </is>
      </c>
      <c r="B474" t="inlineStr">
        <is>
          <t>Mai</t>
        </is>
      </c>
      <c r="C474" t="n">
        <v>5</v>
      </c>
      <c r="D474" t="inlineStr">
        <is>
          <t>T2</t>
        </is>
      </c>
      <c r="E474" t="inlineStr">
        <is>
          <t>Bokført</t>
        </is>
      </c>
      <c r="F474" t="inlineStr">
        <is>
          <t>Kommunal Boenhet</t>
        </is>
      </c>
      <c r="G474" t="n">
        <v>254</v>
      </c>
      <c r="H474" t="inlineStr">
        <is>
          <t>Helse og mestring</t>
        </is>
      </c>
      <c r="I474" t="inlineStr">
        <is>
          <t>2 Utgifter</t>
        </is>
      </c>
      <c r="J474" t="inlineStr">
        <is>
          <t>11 Refusjon lønn</t>
        </is>
      </c>
      <c r="K474" t="n">
        <v>1120</v>
      </c>
      <c r="L474" t="n">
        <v>112000</v>
      </c>
      <c r="M474" t="inlineStr">
        <is>
          <t>Velferdstiltak / arrangementer -  ansatte</t>
        </is>
      </c>
      <c r="N474" s="98" t="n">
        <v>1868</v>
      </c>
      <c r="O474" s="98" t="n">
        <v>0</v>
      </c>
      <c r="P474" s="98" t="n">
        <v>1868</v>
      </c>
      <c r="Q474" s="98" t="n">
        <v>-1868</v>
      </c>
    </row>
    <row r="475">
      <c r="A475" t="inlineStr">
        <is>
          <t>2024-06</t>
        </is>
      </c>
      <c r="B475" t="inlineStr">
        <is>
          <t>Juni</t>
        </is>
      </c>
      <c r="C475" t="n">
        <v>6</v>
      </c>
      <c r="D475" t="inlineStr">
        <is>
          <t>T2</t>
        </is>
      </c>
      <c r="E475" t="inlineStr">
        <is>
          <t>Bokført</t>
        </is>
      </c>
      <c r="F475" t="inlineStr">
        <is>
          <t>Kommunal Boenhet</t>
        </is>
      </c>
      <c r="G475" t="n">
        <v>254</v>
      </c>
      <c r="H475" t="inlineStr">
        <is>
          <t>Helse og mestring</t>
        </is>
      </c>
      <c r="I475" t="inlineStr">
        <is>
          <t>2 Utgifter</t>
        </is>
      </c>
      <c r="J475" t="inlineStr">
        <is>
          <t>11 Refusjon lønn</t>
        </is>
      </c>
      <c r="K475" t="n">
        <v>1120</v>
      </c>
      <c r="L475" t="n">
        <v>112000</v>
      </c>
      <c r="M475" t="inlineStr">
        <is>
          <t>Velferdstiltak / arrangementer -  ansatte</t>
        </is>
      </c>
      <c r="N475" s="98" t="n">
        <v>1868</v>
      </c>
      <c r="O475" s="98" t="n">
        <v>483.2</v>
      </c>
      <c r="P475" s="98" t="n">
        <v>1384.8</v>
      </c>
      <c r="Q475" s="98" t="n">
        <v>-1384.8</v>
      </c>
    </row>
    <row r="476">
      <c r="A476" t="inlineStr">
        <is>
          <t>2024-07</t>
        </is>
      </c>
      <c r="B476" t="inlineStr">
        <is>
          <t>Juli</t>
        </is>
      </c>
      <c r="C476" t="n">
        <v>7</v>
      </c>
      <c r="D476" t="inlineStr">
        <is>
          <t>T2</t>
        </is>
      </c>
      <c r="E476" t="inlineStr">
        <is>
          <t>Bokført</t>
        </is>
      </c>
      <c r="F476" t="inlineStr">
        <is>
          <t>Kommunal Boenhet</t>
        </is>
      </c>
      <c r="G476" t="n">
        <v>254</v>
      </c>
      <c r="H476" t="inlineStr">
        <is>
          <t>Helse og mestring</t>
        </is>
      </c>
      <c r="I476" t="inlineStr">
        <is>
          <t>2 Utgifter</t>
        </is>
      </c>
      <c r="J476" t="inlineStr">
        <is>
          <t>11 Refusjon lønn</t>
        </is>
      </c>
      <c r="K476" t="n">
        <v>1120</v>
      </c>
      <c r="L476" t="n">
        <v>112000</v>
      </c>
      <c r="M476" t="inlineStr">
        <is>
          <t>Velferdstiltak / arrangementer -  ansatte</t>
        </is>
      </c>
      <c r="N476" s="98" t="n">
        <v>1868</v>
      </c>
      <c r="O476" s="98" t="n">
        <v>0</v>
      </c>
      <c r="P476" s="98" t="n">
        <v>1868</v>
      </c>
      <c r="Q476" s="98" t="n">
        <v>-1868</v>
      </c>
    </row>
    <row r="477">
      <c r="A477" t="inlineStr">
        <is>
          <t>2024-08</t>
        </is>
      </c>
      <c r="B477" t="inlineStr">
        <is>
          <t>August</t>
        </is>
      </c>
      <c r="C477" t="n">
        <v>8</v>
      </c>
      <c r="D477" t="inlineStr">
        <is>
          <t>T2</t>
        </is>
      </c>
      <c r="E477" t="inlineStr">
        <is>
          <t>Bokført</t>
        </is>
      </c>
      <c r="F477" t="inlineStr">
        <is>
          <t>Kommunal Boenhet</t>
        </is>
      </c>
      <c r="G477" t="n">
        <v>254</v>
      </c>
      <c r="H477" t="inlineStr">
        <is>
          <t>Helse og mestring</t>
        </is>
      </c>
      <c r="I477" t="inlineStr">
        <is>
          <t>2 Utgifter</t>
        </is>
      </c>
      <c r="J477" t="inlineStr">
        <is>
          <t>11 Refusjon lønn</t>
        </is>
      </c>
      <c r="K477" t="n">
        <v>1120</v>
      </c>
      <c r="L477" t="n">
        <v>112000</v>
      </c>
      <c r="M477" t="inlineStr">
        <is>
          <t>Velferdstiltak / arrangementer -  ansatte</t>
        </is>
      </c>
      <c r="N477" s="98" t="n">
        <v>1868</v>
      </c>
      <c r="O477" s="98" t="n">
        <v>0</v>
      </c>
      <c r="P477" s="98" t="n">
        <v>1868</v>
      </c>
      <c r="Q477" s="98" t="n">
        <v>-1868</v>
      </c>
    </row>
    <row r="478">
      <c r="A478" t="inlineStr">
        <is>
          <t>2024-09</t>
        </is>
      </c>
      <c r="B478" t="inlineStr">
        <is>
          <t>September</t>
        </is>
      </c>
      <c r="C478" t="n">
        <v>9</v>
      </c>
      <c r="D478" t="inlineStr">
        <is>
          <t>T3</t>
        </is>
      </c>
      <c r="E478" t="inlineStr">
        <is>
          <t>Gjenstående budsjett</t>
        </is>
      </c>
      <c r="F478" t="inlineStr">
        <is>
          <t>Kommunal Boenhet</t>
        </is>
      </c>
      <c r="G478" t="n">
        <v>254</v>
      </c>
      <c r="H478" t="inlineStr">
        <is>
          <t>Helse og mestring</t>
        </is>
      </c>
      <c r="I478" t="inlineStr">
        <is>
          <t>2 Utgifter</t>
        </is>
      </c>
      <c r="J478" t="inlineStr">
        <is>
          <t>11 Refusjon lønn</t>
        </is>
      </c>
      <c r="K478" t="n">
        <v>1120</v>
      </c>
      <c r="L478" t="n">
        <v>112000</v>
      </c>
      <c r="M478" t="inlineStr">
        <is>
          <t>Velferdstiltak / arrangementer -  ansatte</t>
        </is>
      </c>
      <c r="N478" s="98" t="n">
        <v>1868</v>
      </c>
      <c r="O478" s="98" t="n">
        <v>0</v>
      </c>
      <c r="P478" s="98" t="n">
        <v>0</v>
      </c>
      <c r="Q478" s="98" t="n">
        <v>-1868</v>
      </c>
    </row>
    <row r="479">
      <c r="A479" t="inlineStr">
        <is>
          <t>2024-10</t>
        </is>
      </c>
      <c r="B479" t="inlineStr">
        <is>
          <t>Oktober</t>
        </is>
      </c>
      <c r="C479" t="n">
        <v>10</v>
      </c>
      <c r="D479" t="inlineStr">
        <is>
          <t>T3</t>
        </is>
      </c>
      <c r="E479" t="inlineStr">
        <is>
          <t>Gjenstående budsjett</t>
        </is>
      </c>
      <c r="F479" t="inlineStr">
        <is>
          <t>Kommunal Boenhet</t>
        </is>
      </c>
      <c r="G479" t="n">
        <v>254</v>
      </c>
      <c r="H479" t="inlineStr">
        <is>
          <t>Helse og mestring</t>
        </is>
      </c>
      <c r="I479" t="inlineStr">
        <is>
          <t>2 Utgifter</t>
        </is>
      </c>
      <c r="J479" t="inlineStr">
        <is>
          <t>11 Refusjon lønn</t>
        </is>
      </c>
      <c r="K479" t="n">
        <v>1120</v>
      </c>
      <c r="L479" t="n">
        <v>112000</v>
      </c>
      <c r="M479" t="inlineStr">
        <is>
          <t>Velferdstiltak / arrangementer -  ansatte</t>
        </is>
      </c>
      <c r="N479" s="98" t="n">
        <v>1868</v>
      </c>
      <c r="O479" s="98" t="n">
        <v>0</v>
      </c>
      <c r="P479" s="98" t="n">
        <v>0</v>
      </c>
      <c r="Q479" s="98" t="n">
        <v>-1868</v>
      </c>
    </row>
    <row r="480">
      <c r="A480" t="inlineStr">
        <is>
          <t>2024-11</t>
        </is>
      </c>
      <c r="B480" t="inlineStr">
        <is>
          <t>November</t>
        </is>
      </c>
      <c r="C480" t="n">
        <v>11</v>
      </c>
      <c r="D480" t="inlineStr">
        <is>
          <t>T3</t>
        </is>
      </c>
      <c r="E480" t="inlineStr">
        <is>
          <t>Gjenstående budsjett</t>
        </is>
      </c>
      <c r="F480" t="inlineStr">
        <is>
          <t>Kommunal Boenhet</t>
        </is>
      </c>
      <c r="G480" t="n">
        <v>254</v>
      </c>
      <c r="H480" t="inlineStr">
        <is>
          <t>Helse og mestring</t>
        </is>
      </c>
      <c r="I480" t="inlineStr">
        <is>
          <t>2 Utgifter</t>
        </is>
      </c>
      <c r="J480" t="inlineStr">
        <is>
          <t>11 Refusjon lønn</t>
        </is>
      </c>
      <c r="K480" t="n">
        <v>1120</v>
      </c>
      <c r="L480" t="n">
        <v>112000</v>
      </c>
      <c r="M480" t="inlineStr">
        <is>
          <t>Velferdstiltak / arrangementer -  ansatte</t>
        </is>
      </c>
      <c r="N480" s="98" t="n">
        <v>1868</v>
      </c>
      <c r="O480" s="98" t="n">
        <v>0</v>
      </c>
      <c r="P480" s="98" t="n">
        <v>0</v>
      </c>
      <c r="Q480" s="98" t="n">
        <v>-1868</v>
      </c>
    </row>
    <row r="481">
      <c r="A481" t="inlineStr">
        <is>
          <t>2024-12</t>
        </is>
      </c>
      <c r="B481" t="inlineStr">
        <is>
          <t>Desember</t>
        </is>
      </c>
      <c r="C481" t="n">
        <v>12</v>
      </c>
      <c r="D481" t="inlineStr">
        <is>
          <t>T3</t>
        </is>
      </c>
      <c r="E481" t="inlineStr">
        <is>
          <t>Gjenstående budsjett</t>
        </is>
      </c>
      <c r="F481" t="inlineStr">
        <is>
          <t>Kommunal Boenhet</t>
        </is>
      </c>
      <c r="G481" t="n">
        <v>254</v>
      </c>
      <c r="H481" t="inlineStr">
        <is>
          <t>Helse og mestring</t>
        </is>
      </c>
      <c r="I481" t="inlineStr">
        <is>
          <t>2 Utgifter</t>
        </is>
      </c>
      <c r="J481" t="inlineStr">
        <is>
          <t>11 Refusjon lønn</t>
        </is>
      </c>
      <c r="K481" t="n">
        <v>1120</v>
      </c>
      <c r="L481" t="n">
        <v>112000</v>
      </c>
      <c r="M481" t="inlineStr">
        <is>
          <t>Velferdstiltak / arrangementer -  ansatte</t>
        </is>
      </c>
      <c r="N481" s="98" t="n">
        <v>1452</v>
      </c>
      <c r="O481" s="98" t="n">
        <v>0</v>
      </c>
      <c r="P481" s="98" t="n">
        <v>0</v>
      </c>
      <c r="Q481" s="98" t="n">
        <v>-1452</v>
      </c>
    </row>
    <row r="482">
      <c r="A482" t="inlineStr">
        <is>
          <t>2024-01</t>
        </is>
      </c>
      <c r="B482" t="inlineStr">
        <is>
          <t>Januar</t>
        </is>
      </c>
      <c r="C482" t="n">
        <v>1</v>
      </c>
      <c r="D482" t="inlineStr">
        <is>
          <t>T1</t>
        </is>
      </c>
      <c r="E482" t="inlineStr">
        <is>
          <t>Bokført</t>
        </is>
      </c>
      <c r="F482" t="inlineStr">
        <is>
          <t>Kommunal Boenhet</t>
        </is>
      </c>
      <c r="G482" t="n">
        <v>254</v>
      </c>
      <c r="H482" t="inlineStr">
        <is>
          <t>Helse og mestring</t>
        </is>
      </c>
      <c r="I482" t="inlineStr">
        <is>
          <t>2 Utgifter</t>
        </is>
      </c>
      <c r="J482" t="inlineStr">
        <is>
          <t>11 Refusjon lønn</t>
        </is>
      </c>
      <c r="K482" t="n">
        <v>1120</v>
      </c>
      <c r="L482" t="n">
        <v>112002</v>
      </c>
      <c r="M482" t="inlineStr">
        <is>
          <t>Påskjønnelser - jfr reglement</t>
        </is>
      </c>
      <c r="N482" s="98" t="n">
        <v>340</v>
      </c>
      <c r="O482" s="98" t="n">
        <v>491.15</v>
      </c>
      <c r="P482" s="98" t="n">
        <v>-151.15</v>
      </c>
      <c r="Q482" s="98" t="n">
        <v>151.15</v>
      </c>
    </row>
    <row r="483">
      <c r="A483" t="inlineStr">
        <is>
          <t>2024-02</t>
        </is>
      </c>
      <c r="B483" t="inlineStr">
        <is>
          <t>Februar</t>
        </is>
      </c>
      <c r="C483" t="n">
        <v>2</v>
      </c>
      <c r="D483" t="inlineStr">
        <is>
          <t>T1</t>
        </is>
      </c>
      <c r="E483" t="inlineStr">
        <is>
          <t>Bokført</t>
        </is>
      </c>
      <c r="F483" t="inlineStr">
        <is>
          <t>Kommunal Boenhet</t>
        </is>
      </c>
      <c r="G483" t="n">
        <v>254</v>
      </c>
      <c r="H483" t="inlineStr">
        <is>
          <t>Helse og mestring</t>
        </is>
      </c>
      <c r="I483" t="inlineStr">
        <is>
          <t>2 Utgifter</t>
        </is>
      </c>
      <c r="J483" t="inlineStr">
        <is>
          <t>11 Refusjon lønn</t>
        </is>
      </c>
      <c r="K483" t="n">
        <v>1120</v>
      </c>
      <c r="L483" t="n">
        <v>112002</v>
      </c>
      <c r="M483" t="inlineStr">
        <is>
          <t>Påskjønnelser - jfr reglement</t>
        </is>
      </c>
      <c r="N483" s="98" t="n">
        <v>340</v>
      </c>
      <c r="O483" s="98" t="n">
        <v>0</v>
      </c>
      <c r="P483" s="98" t="n">
        <v>340</v>
      </c>
      <c r="Q483" s="98" t="n">
        <v>-340</v>
      </c>
    </row>
    <row r="484">
      <c r="A484" t="inlineStr">
        <is>
          <t>2024-03</t>
        </is>
      </c>
      <c r="B484" t="inlineStr">
        <is>
          <t>Mars</t>
        </is>
      </c>
      <c r="C484" t="n">
        <v>3</v>
      </c>
      <c r="D484" t="inlineStr">
        <is>
          <t>T1</t>
        </is>
      </c>
      <c r="E484" t="inlineStr">
        <is>
          <t>Bokført</t>
        </is>
      </c>
      <c r="F484" t="inlineStr">
        <is>
          <t>Kommunal Boenhet</t>
        </is>
      </c>
      <c r="G484" t="n">
        <v>254</v>
      </c>
      <c r="H484" t="inlineStr">
        <is>
          <t>Helse og mestring</t>
        </is>
      </c>
      <c r="I484" t="inlineStr">
        <is>
          <t>2 Utgifter</t>
        </is>
      </c>
      <c r="J484" t="inlineStr">
        <is>
          <t>11 Refusjon lønn</t>
        </is>
      </c>
      <c r="K484" t="n">
        <v>1120</v>
      </c>
      <c r="L484" t="n">
        <v>112002</v>
      </c>
      <c r="M484" t="inlineStr">
        <is>
          <t>Påskjønnelser - jfr reglement</t>
        </is>
      </c>
      <c r="N484" s="98" t="n">
        <v>340</v>
      </c>
      <c r="O484" s="98" t="n">
        <v>0</v>
      </c>
      <c r="P484" s="98" t="n">
        <v>340</v>
      </c>
      <c r="Q484" s="98" t="n">
        <v>-340</v>
      </c>
    </row>
    <row r="485">
      <c r="A485" t="inlineStr">
        <is>
          <t>2024-04</t>
        </is>
      </c>
      <c r="B485" t="inlineStr">
        <is>
          <t>April</t>
        </is>
      </c>
      <c r="C485" t="n">
        <v>4</v>
      </c>
      <c r="D485" t="inlineStr">
        <is>
          <t>T1</t>
        </is>
      </c>
      <c r="E485" t="inlineStr">
        <is>
          <t>Bokført</t>
        </is>
      </c>
      <c r="F485" t="inlineStr">
        <is>
          <t>Kommunal Boenhet</t>
        </is>
      </c>
      <c r="G485" t="n">
        <v>254</v>
      </c>
      <c r="H485" t="inlineStr">
        <is>
          <t>Helse og mestring</t>
        </is>
      </c>
      <c r="I485" t="inlineStr">
        <is>
          <t>2 Utgifter</t>
        </is>
      </c>
      <c r="J485" t="inlineStr">
        <is>
          <t>11 Refusjon lønn</t>
        </is>
      </c>
      <c r="K485" t="n">
        <v>1120</v>
      </c>
      <c r="L485" t="n">
        <v>112002</v>
      </c>
      <c r="M485" t="inlineStr">
        <is>
          <t>Påskjønnelser - jfr reglement</t>
        </is>
      </c>
      <c r="N485" s="98" t="n">
        <v>340</v>
      </c>
      <c r="O485" s="98" t="n">
        <v>0</v>
      </c>
      <c r="P485" s="98" t="n">
        <v>340</v>
      </c>
      <c r="Q485" s="98" t="n">
        <v>-340</v>
      </c>
    </row>
    <row r="486">
      <c r="A486" t="inlineStr">
        <is>
          <t>2024-05</t>
        </is>
      </c>
      <c r="B486" t="inlineStr">
        <is>
          <t>Mai</t>
        </is>
      </c>
      <c r="C486" t="n">
        <v>5</v>
      </c>
      <c r="D486" t="inlineStr">
        <is>
          <t>T2</t>
        </is>
      </c>
      <c r="E486" t="inlineStr">
        <is>
          <t>Bokført</t>
        </is>
      </c>
      <c r="F486" t="inlineStr">
        <is>
          <t>Kommunal Boenhet</t>
        </is>
      </c>
      <c r="G486" t="n">
        <v>254</v>
      </c>
      <c r="H486" t="inlineStr">
        <is>
          <t>Helse og mestring</t>
        </is>
      </c>
      <c r="I486" t="inlineStr">
        <is>
          <t>2 Utgifter</t>
        </is>
      </c>
      <c r="J486" t="inlineStr">
        <is>
          <t>11 Refusjon lønn</t>
        </is>
      </c>
      <c r="K486" t="n">
        <v>1120</v>
      </c>
      <c r="L486" t="n">
        <v>112002</v>
      </c>
      <c r="M486" t="inlineStr">
        <is>
          <t>Påskjønnelser - jfr reglement</t>
        </is>
      </c>
      <c r="N486" s="98" t="n">
        <v>340</v>
      </c>
      <c r="O486" s="98" t="n">
        <v>0</v>
      </c>
      <c r="P486" s="98" t="n">
        <v>340</v>
      </c>
      <c r="Q486" s="98" t="n">
        <v>-340</v>
      </c>
    </row>
    <row r="487">
      <c r="A487" t="inlineStr">
        <is>
          <t>2024-06</t>
        </is>
      </c>
      <c r="B487" t="inlineStr">
        <is>
          <t>Juni</t>
        </is>
      </c>
      <c r="C487" t="n">
        <v>6</v>
      </c>
      <c r="D487" t="inlineStr">
        <is>
          <t>T2</t>
        </is>
      </c>
      <c r="E487" t="inlineStr">
        <is>
          <t>Bokført</t>
        </is>
      </c>
      <c r="F487" t="inlineStr">
        <is>
          <t>Kommunal Boenhet</t>
        </is>
      </c>
      <c r="G487" t="n">
        <v>254</v>
      </c>
      <c r="H487" t="inlineStr">
        <is>
          <t>Helse og mestring</t>
        </is>
      </c>
      <c r="I487" t="inlineStr">
        <is>
          <t>2 Utgifter</t>
        </is>
      </c>
      <c r="J487" t="inlineStr">
        <is>
          <t>11 Refusjon lønn</t>
        </is>
      </c>
      <c r="K487" t="n">
        <v>1120</v>
      </c>
      <c r="L487" t="n">
        <v>112002</v>
      </c>
      <c r="M487" t="inlineStr">
        <is>
          <t>Påskjønnelser - jfr reglement</t>
        </is>
      </c>
      <c r="N487" s="98" t="n">
        <v>340</v>
      </c>
      <c r="O487" s="98" t="n">
        <v>0</v>
      </c>
      <c r="P487" s="98" t="n">
        <v>340</v>
      </c>
      <c r="Q487" s="98" t="n">
        <v>-340</v>
      </c>
    </row>
    <row r="488">
      <c r="A488" t="inlineStr">
        <is>
          <t>2024-07</t>
        </is>
      </c>
      <c r="B488" t="inlineStr">
        <is>
          <t>Juli</t>
        </is>
      </c>
      <c r="C488" t="n">
        <v>7</v>
      </c>
      <c r="D488" t="inlineStr">
        <is>
          <t>T2</t>
        </is>
      </c>
      <c r="E488" t="inlineStr">
        <is>
          <t>Bokført</t>
        </is>
      </c>
      <c r="F488" t="inlineStr">
        <is>
          <t>Kommunal Boenhet</t>
        </is>
      </c>
      <c r="G488" t="n">
        <v>254</v>
      </c>
      <c r="H488" t="inlineStr">
        <is>
          <t>Helse og mestring</t>
        </is>
      </c>
      <c r="I488" t="inlineStr">
        <is>
          <t>2 Utgifter</t>
        </is>
      </c>
      <c r="J488" t="inlineStr">
        <is>
          <t>11 Refusjon lønn</t>
        </is>
      </c>
      <c r="K488" t="n">
        <v>1120</v>
      </c>
      <c r="L488" t="n">
        <v>112002</v>
      </c>
      <c r="M488" t="inlineStr">
        <is>
          <t>Påskjønnelser - jfr reglement</t>
        </is>
      </c>
      <c r="N488" s="98" t="n">
        <v>340</v>
      </c>
      <c r="O488" s="98" t="n">
        <v>0</v>
      </c>
      <c r="P488" s="98" t="n">
        <v>340</v>
      </c>
      <c r="Q488" s="98" t="n">
        <v>-340</v>
      </c>
    </row>
    <row r="489">
      <c r="A489" t="inlineStr">
        <is>
          <t>2024-08</t>
        </is>
      </c>
      <c r="B489" t="inlineStr">
        <is>
          <t>August</t>
        </is>
      </c>
      <c r="C489" t="n">
        <v>8</v>
      </c>
      <c r="D489" t="inlineStr">
        <is>
          <t>T2</t>
        </is>
      </c>
      <c r="E489" t="inlineStr">
        <is>
          <t>Bokført</t>
        </is>
      </c>
      <c r="F489" t="inlineStr">
        <is>
          <t>Kommunal Boenhet</t>
        </is>
      </c>
      <c r="G489" t="n">
        <v>254</v>
      </c>
      <c r="H489" t="inlineStr">
        <is>
          <t>Helse og mestring</t>
        </is>
      </c>
      <c r="I489" t="inlineStr">
        <is>
          <t>2 Utgifter</t>
        </is>
      </c>
      <c r="J489" t="inlineStr">
        <is>
          <t>11 Refusjon lønn</t>
        </is>
      </c>
      <c r="K489" t="n">
        <v>1120</v>
      </c>
      <c r="L489" t="n">
        <v>112002</v>
      </c>
      <c r="M489" t="inlineStr">
        <is>
          <t>Påskjønnelser - jfr reglement</t>
        </is>
      </c>
      <c r="N489" s="98" t="n">
        <v>340</v>
      </c>
      <c r="O489" s="98" t="n">
        <v>0</v>
      </c>
      <c r="P489" s="98" t="n">
        <v>340</v>
      </c>
      <c r="Q489" s="98" t="n">
        <v>-340</v>
      </c>
    </row>
    <row r="490">
      <c r="A490" t="inlineStr">
        <is>
          <t>2024-09</t>
        </is>
      </c>
      <c r="B490" t="inlineStr">
        <is>
          <t>September</t>
        </is>
      </c>
      <c r="C490" t="n">
        <v>9</v>
      </c>
      <c r="D490" t="inlineStr">
        <is>
          <t>T3</t>
        </is>
      </c>
      <c r="E490" t="inlineStr">
        <is>
          <t>Gjenstående budsjett</t>
        </is>
      </c>
      <c r="F490" t="inlineStr">
        <is>
          <t>Kommunal Boenhet</t>
        </is>
      </c>
      <c r="G490" t="n">
        <v>254</v>
      </c>
      <c r="H490" t="inlineStr">
        <is>
          <t>Helse og mestring</t>
        </is>
      </c>
      <c r="I490" t="inlineStr">
        <is>
          <t>2 Utgifter</t>
        </is>
      </c>
      <c r="J490" t="inlineStr">
        <is>
          <t>11 Refusjon lønn</t>
        </is>
      </c>
      <c r="K490" t="n">
        <v>1120</v>
      </c>
      <c r="L490" t="n">
        <v>112002</v>
      </c>
      <c r="M490" t="inlineStr">
        <is>
          <t>Påskjønnelser - jfr reglement</t>
        </is>
      </c>
      <c r="N490" s="98" t="n">
        <v>340</v>
      </c>
      <c r="O490" s="98" t="n">
        <v>0</v>
      </c>
      <c r="P490" s="98" t="n">
        <v>0</v>
      </c>
      <c r="Q490" s="98" t="n">
        <v>-340</v>
      </c>
    </row>
    <row r="491">
      <c r="A491" t="inlineStr">
        <is>
          <t>2024-10</t>
        </is>
      </c>
      <c r="B491" t="inlineStr">
        <is>
          <t>Oktober</t>
        </is>
      </c>
      <c r="C491" t="n">
        <v>10</v>
      </c>
      <c r="D491" t="inlineStr">
        <is>
          <t>T3</t>
        </is>
      </c>
      <c r="E491" t="inlineStr">
        <is>
          <t>Gjenstående budsjett</t>
        </is>
      </c>
      <c r="F491" t="inlineStr">
        <is>
          <t>Kommunal Boenhet</t>
        </is>
      </c>
      <c r="G491" t="n">
        <v>254</v>
      </c>
      <c r="H491" t="inlineStr">
        <is>
          <t>Helse og mestring</t>
        </is>
      </c>
      <c r="I491" t="inlineStr">
        <is>
          <t>2 Utgifter</t>
        </is>
      </c>
      <c r="J491" t="inlineStr">
        <is>
          <t>11 Refusjon lønn</t>
        </is>
      </c>
      <c r="K491" t="n">
        <v>1120</v>
      </c>
      <c r="L491" t="n">
        <v>112002</v>
      </c>
      <c r="M491" t="inlineStr">
        <is>
          <t>Påskjønnelser - jfr reglement</t>
        </is>
      </c>
      <c r="N491" s="98" t="n">
        <v>340</v>
      </c>
      <c r="O491" s="98" t="n">
        <v>0</v>
      </c>
      <c r="P491" s="98" t="n">
        <v>0</v>
      </c>
      <c r="Q491" s="98" t="n">
        <v>-340</v>
      </c>
    </row>
    <row r="492">
      <c r="A492" t="inlineStr">
        <is>
          <t>2024-11</t>
        </is>
      </c>
      <c r="B492" t="inlineStr">
        <is>
          <t>November</t>
        </is>
      </c>
      <c r="C492" t="n">
        <v>11</v>
      </c>
      <c r="D492" t="inlineStr">
        <is>
          <t>T3</t>
        </is>
      </c>
      <c r="E492" t="inlineStr">
        <is>
          <t>Gjenstående budsjett</t>
        </is>
      </c>
      <c r="F492" t="inlineStr">
        <is>
          <t>Kommunal Boenhet</t>
        </is>
      </c>
      <c r="G492" t="n">
        <v>254</v>
      </c>
      <c r="H492" t="inlineStr">
        <is>
          <t>Helse og mestring</t>
        </is>
      </c>
      <c r="I492" t="inlineStr">
        <is>
          <t>2 Utgifter</t>
        </is>
      </c>
      <c r="J492" t="inlineStr">
        <is>
          <t>11 Refusjon lønn</t>
        </is>
      </c>
      <c r="K492" t="n">
        <v>1120</v>
      </c>
      <c r="L492" t="n">
        <v>112002</v>
      </c>
      <c r="M492" t="inlineStr">
        <is>
          <t>Påskjønnelser - jfr reglement</t>
        </is>
      </c>
      <c r="N492" s="98" t="n">
        <v>340</v>
      </c>
      <c r="O492" s="98" t="n">
        <v>0</v>
      </c>
      <c r="P492" s="98" t="n">
        <v>0</v>
      </c>
      <c r="Q492" s="98" t="n">
        <v>-340</v>
      </c>
    </row>
    <row r="493">
      <c r="A493" t="inlineStr">
        <is>
          <t>2024-12</t>
        </is>
      </c>
      <c r="B493" t="inlineStr">
        <is>
          <t>Desember</t>
        </is>
      </c>
      <c r="C493" t="n">
        <v>12</v>
      </c>
      <c r="D493" t="inlineStr">
        <is>
          <t>T3</t>
        </is>
      </c>
      <c r="E493" t="inlineStr">
        <is>
          <t>Gjenstående budsjett</t>
        </is>
      </c>
      <c r="F493" t="inlineStr">
        <is>
          <t>Kommunal Boenhet</t>
        </is>
      </c>
      <c r="G493" t="n">
        <v>254</v>
      </c>
      <c r="H493" t="inlineStr">
        <is>
          <t>Helse og mestring</t>
        </is>
      </c>
      <c r="I493" t="inlineStr">
        <is>
          <t>2 Utgifter</t>
        </is>
      </c>
      <c r="J493" t="inlineStr">
        <is>
          <t>11 Refusjon lønn</t>
        </is>
      </c>
      <c r="K493" t="n">
        <v>1120</v>
      </c>
      <c r="L493" t="n">
        <v>112002</v>
      </c>
      <c r="M493" t="inlineStr">
        <is>
          <t>Påskjønnelser - jfr reglement</t>
        </is>
      </c>
      <c r="N493" s="98" t="n">
        <v>260</v>
      </c>
      <c r="O493" s="98" t="n">
        <v>0</v>
      </c>
      <c r="P493" s="98" t="n">
        <v>0</v>
      </c>
      <c r="Q493" s="98" t="n">
        <v>-260</v>
      </c>
    </row>
    <row r="494">
      <c r="A494" t="inlineStr">
        <is>
          <t>2024-01</t>
        </is>
      </c>
      <c r="B494" t="inlineStr">
        <is>
          <t>Januar</t>
        </is>
      </c>
      <c r="C494" t="n">
        <v>1</v>
      </c>
      <c r="D494" t="inlineStr">
        <is>
          <t>T1</t>
        </is>
      </c>
      <c r="E494" t="inlineStr">
        <is>
          <t>Bokført</t>
        </is>
      </c>
      <c r="F494" t="inlineStr">
        <is>
          <t>Kommunal Boenhet</t>
        </is>
      </c>
      <c r="G494" t="n">
        <v>254</v>
      </c>
      <c r="H494" t="inlineStr">
        <is>
          <t>Helse og mestring</t>
        </is>
      </c>
      <c r="I494" t="inlineStr">
        <is>
          <t>2 Utgifter</t>
        </is>
      </c>
      <c r="J494" t="inlineStr">
        <is>
          <t>11 Refusjon lønn</t>
        </is>
      </c>
      <c r="K494" t="n">
        <v>1120</v>
      </c>
      <c r="L494" t="n">
        <v>112010</v>
      </c>
      <c r="M494" t="inlineStr">
        <is>
          <t>Arbeidsklær / verneutstyr / uniformer</t>
        </is>
      </c>
      <c r="N494" s="98" t="n">
        <v>0</v>
      </c>
      <c r="O494" s="98" t="n">
        <v>1144.5</v>
      </c>
      <c r="P494" s="98" t="n">
        <v>-1144.5</v>
      </c>
      <c r="Q494" s="98" t="n">
        <v>1144.5</v>
      </c>
    </row>
    <row r="495">
      <c r="A495" t="inlineStr">
        <is>
          <t>2024-02</t>
        </is>
      </c>
      <c r="B495" t="inlineStr">
        <is>
          <t>Februar</t>
        </is>
      </c>
      <c r="C495" t="n">
        <v>2</v>
      </c>
      <c r="D495" t="inlineStr">
        <is>
          <t>T1</t>
        </is>
      </c>
      <c r="E495" t="inlineStr">
        <is>
          <t>Bokført</t>
        </is>
      </c>
      <c r="F495" t="inlineStr">
        <is>
          <t>Kommunal Boenhet</t>
        </is>
      </c>
      <c r="G495" t="n">
        <v>254</v>
      </c>
      <c r="H495" t="inlineStr">
        <is>
          <t>Helse og mestring</t>
        </is>
      </c>
      <c r="I495" t="inlineStr">
        <is>
          <t>2 Utgifter</t>
        </is>
      </c>
      <c r="J495" t="inlineStr">
        <is>
          <t>11 Refusjon lønn</t>
        </is>
      </c>
      <c r="K495" t="n">
        <v>1120</v>
      </c>
      <c r="L495" t="n">
        <v>112010</v>
      </c>
      <c r="M495" t="inlineStr">
        <is>
          <t>Arbeidsklær / verneutstyr / uniformer</t>
        </is>
      </c>
      <c r="N495" s="98" t="n">
        <v>0</v>
      </c>
      <c r="O495" s="98" t="n">
        <v>0</v>
      </c>
      <c r="P495" s="98" t="n">
        <v>0</v>
      </c>
      <c r="Q495" s="98" t="n">
        <v>0</v>
      </c>
    </row>
    <row r="496">
      <c r="A496" t="inlineStr">
        <is>
          <t>2024-03</t>
        </is>
      </c>
      <c r="B496" t="inlineStr">
        <is>
          <t>Mars</t>
        </is>
      </c>
      <c r="C496" t="n">
        <v>3</v>
      </c>
      <c r="D496" t="inlineStr">
        <is>
          <t>T1</t>
        </is>
      </c>
      <c r="E496" t="inlineStr">
        <is>
          <t>Bokført</t>
        </is>
      </c>
      <c r="F496" t="inlineStr">
        <is>
          <t>Kommunal Boenhet</t>
        </is>
      </c>
      <c r="G496" t="n">
        <v>254</v>
      </c>
      <c r="H496" t="inlineStr">
        <is>
          <t>Helse og mestring</t>
        </is>
      </c>
      <c r="I496" t="inlineStr">
        <is>
          <t>2 Utgifter</t>
        </is>
      </c>
      <c r="J496" t="inlineStr">
        <is>
          <t>11 Refusjon lønn</t>
        </is>
      </c>
      <c r="K496" t="n">
        <v>1120</v>
      </c>
      <c r="L496" t="n">
        <v>112010</v>
      </c>
      <c r="M496" t="inlineStr">
        <is>
          <t>Arbeidsklær / verneutstyr / uniformer</t>
        </is>
      </c>
      <c r="N496" s="98" t="n">
        <v>0</v>
      </c>
      <c r="O496" s="98" t="n">
        <v>0</v>
      </c>
      <c r="P496" s="98" t="n">
        <v>0</v>
      </c>
      <c r="Q496" s="98" t="n">
        <v>0</v>
      </c>
    </row>
    <row r="497">
      <c r="A497" t="inlineStr">
        <is>
          <t>2024-04</t>
        </is>
      </c>
      <c r="B497" t="inlineStr">
        <is>
          <t>April</t>
        </is>
      </c>
      <c r="C497" t="n">
        <v>4</v>
      </c>
      <c r="D497" t="inlineStr">
        <is>
          <t>T1</t>
        </is>
      </c>
      <c r="E497" t="inlineStr">
        <is>
          <t>Bokført</t>
        </is>
      </c>
      <c r="F497" t="inlineStr">
        <is>
          <t>Kommunal Boenhet</t>
        </is>
      </c>
      <c r="G497" t="n">
        <v>254</v>
      </c>
      <c r="H497" t="inlineStr">
        <is>
          <t>Helse og mestring</t>
        </is>
      </c>
      <c r="I497" t="inlineStr">
        <is>
          <t>2 Utgifter</t>
        </is>
      </c>
      <c r="J497" t="inlineStr">
        <is>
          <t>11 Refusjon lønn</t>
        </is>
      </c>
      <c r="K497" t="n">
        <v>1120</v>
      </c>
      <c r="L497" t="n">
        <v>112010</v>
      </c>
      <c r="M497" t="inlineStr">
        <is>
          <t>Arbeidsklær / verneutstyr / uniformer</t>
        </is>
      </c>
      <c r="N497" s="98" t="n">
        <v>0</v>
      </c>
      <c r="O497" s="98" t="n">
        <v>2289</v>
      </c>
      <c r="P497" s="98" t="n">
        <v>-2289</v>
      </c>
      <c r="Q497" s="98" t="n">
        <v>2289</v>
      </c>
    </row>
    <row r="498">
      <c r="A498" t="inlineStr">
        <is>
          <t>2024-05</t>
        </is>
      </c>
      <c r="B498" t="inlineStr">
        <is>
          <t>Mai</t>
        </is>
      </c>
      <c r="C498" t="n">
        <v>5</v>
      </c>
      <c r="D498" t="inlineStr">
        <is>
          <t>T2</t>
        </is>
      </c>
      <c r="E498" t="inlineStr">
        <is>
          <t>Bokført</t>
        </is>
      </c>
      <c r="F498" t="inlineStr">
        <is>
          <t>Kommunal Boenhet</t>
        </is>
      </c>
      <c r="G498" t="n">
        <v>254</v>
      </c>
      <c r="H498" t="inlineStr">
        <is>
          <t>Helse og mestring</t>
        </is>
      </c>
      <c r="I498" t="inlineStr">
        <is>
          <t>2 Utgifter</t>
        </is>
      </c>
      <c r="J498" t="inlineStr">
        <is>
          <t>11 Refusjon lønn</t>
        </is>
      </c>
      <c r="K498" t="n">
        <v>1120</v>
      </c>
      <c r="L498" t="n">
        <v>112010</v>
      </c>
      <c r="M498" t="inlineStr">
        <is>
          <t>Arbeidsklær / verneutstyr / uniformer</t>
        </is>
      </c>
      <c r="N498" s="98" t="n">
        <v>0</v>
      </c>
      <c r="O498" s="98" t="n">
        <v>0</v>
      </c>
      <c r="P498" s="98" t="n">
        <v>0</v>
      </c>
      <c r="Q498" s="98" t="n">
        <v>0</v>
      </c>
    </row>
    <row r="499">
      <c r="A499" t="inlineStr">
        <is>
          <t>2024-06</t>
        </is>
      </c>
      <c r="B499" t="inlineStr">
        <is>
          <t>Juni</t>
        </is>
      </c>
      <c r="C499" t="n">
        <v>6</v>
      </c>
      <c r="D499" t="inlineStr">
        <is>
          <t>T2</t>
        </is>
      </c>
      <c r="E499" t="inlineStr">
        <is>
          <t>Bokført</t>
        </is>
      </c>
      <c r="F499" t="inlineStr">
        <is>
          <t>Kommunal Boenhet</t>
        </is>
      </c>
      <c r="G499" t="n">
        <v>254</v>
      </c>
      <c r="H499" t="inlineStr">
        <is>
          <t>Helse og mestring</t>
        </is>
      </c>
      <c r="I499" t="inlineStr">
        <is>
          <t>2 Utgifter</t>
        </is>
      </c>
      <c r="J499" t="inlineStr">
        <is>
          <t>11 Refusjon lønn</t>
        </is>
      </c>
      <c r="K499" t="n">
        <v>1120</v>
      </c>
      <c r="L499" t="n">
        <v>112010</v>
      </c>
      <c r="M499" t="inlineStr">
        <is>
          <t>Arbeidsklær / verneutstyr / uniformer</t>
        </is>
      </c>
      <c r="N499" s="98" t="n">
        <v>0</v>
      </c>
      <c r="O499" s="98" t="n">
        <v>0</v>
      </c>
      <c r="P499" s="98" t="n">
        <v>0</v>
      </c>
      <c r="Q499" s="98" t="n">
        <v>0</v>
      </c>
    </row>
    <row r="500">
      <c r="A500" t="inlineStr">
        <is>
          <t>2024-07</t>
        </is>
      </c>
      <c r="B500" t="inlineStr">
        <is>
          <t>Juli</t>
        </is>
      </c>
      <c r="C500" t="n">
        <v>7</v>
      </c>
      <c r="D500" t="inlineStr">
        <is>
          <t>T2</t>
        </is>
      </c>
      <c r="E500" t="inlineStr">
        <is>
          <t>Bokført</t>
        </is>
      </c>
      <c r="F500" t="inlineStr">
        <is>
          <t>Kommunal Boenhet</t>
        </is>
      </c>
      <c r="G500" t="n">
        <v>254</v>
      </c>
      <c r="H500" t="inlineStr">
        <is>
          <t>Helse og mestring</t>
        </is>
      </c>
      <c r="I500" t="inlineStr">
        <is>
          <t>2 Utgifter</t>
        </is>
      </c>
      <c r="J500" t="inlineStr">
        <is>
          <t>11 Refusjon lønn</t>
        </is>
      </c>
      <c r="K500" t="n">
        <v>1120</v>
      </c>
      <c r="L500" t="n">
        <v>112010</v>
      </c>
      <c r="M500" t="inlineStr">
        <is>
          <t>Arbeidsklær / verneutstyr / uniformer</t>
        </is>
      </c>
      <c r="N500" s="98" t="n">
        <v>0</v>
      </c>
      <c r="O500" s="98" t="n">
        <v>0</v>
      </c>
      <c r="P500" s="98" t="n">
        <v>0</v>
      </c>
      <c r="Q500" s="98" t="n">
        <v>0</v>
      </c>
    </row>
    <row r="501">
      <c r="A501" t="inlineStr">
        <is>
          <t>2024-08</t>
        </is>
      </c>
      <c r="B501" t="inlineStr">
        <is>
          <t>August</t>
        </is>
      </c>
      <c r="C501" t="n">
        <v>8</v>
      </c>
      <c r="D501" t="inlineStr">
        <is>
          <t>T2</t>
        </is>
      </c>
      <c r="E501" t="inlineStr">
        <is>
          <t>Bokført</t>
        </is>
      </c>
      <c r="F501" t="inlineStr">
        <is>
          <t>Kommunal Boenhet</t>
        </is>
      </c>
      <c r="G501" t="n">
        <v>254</v>
      </c>
      <c r="H501" t="inlineStr">
        <is>
          <t>Helse og mestring</t>
        </is>
      </c>
      <c r="I501" t="inlineStr">
        <is>
          <t>2 Utgifter</t>
        </is>
      </c>
      <c r="J501" t="inlineStr">
        <is>
          <t>11 Refusjon lønn</t>
        </is>
      </c>
      <c r="K501" t="n">
        <v>1120</v>
      </c>
      <c r="L501" t="n">
        <v>112010</v>
      </c>
      <c r="M501" t="inlineStr">
        <is>
          <t>Arbeidsklær / verneutstyr / uniformer</t>
        </is>
      </c>
      <c r="N501" s="98" t="n">
        <v>0</v>
      </c>
      <c r="O501" s="98" t="n">
        <v>881</v>
      </c>
      <c r="P501" s="98" t="n">
        <v>-881</v>
      </c>
      <c r="Q501" s="98" t="n">
        <v>881</v>
      </c>
    </row>
    <row r="502">
      <c r="A502" t="inlineStr">
        <is>
          <t>2024-09</t>
        </is>
      </c>
      <c r="B502" t="inlineStr">
        <is>
          <t>September</t>
        </is>
      </c>
      <c r="C502" t="n">
        <v>9</v>
      </c>
      <c r="D502" t="inlineStr">
        <is>
          <t>T3</t>
        </is>
      </c>
      <c r="E502" t="inlineStr">
        <is>
          <t>Gjenstående budsjett</t>
        </is>
      </c>
      <c r="F502" t="inlineStr">
        <is>
          <t>Kommunal Boenhet</t>
        </is>
      </c>
      <c r="G502" t="n">
        <v>254</v>
      </c>
      <c r="H502" t="inlineStr">
        <is>
          <t>Helse og mestring</t>
        </is>
      </c>
      <c r="I502" t="inlineStr">
        <is>
          <t>2 Utgifter</t>
        </is>
      </c>
      <c r="J502" t="inlineStr">
        <is>
          <t>11 Refusjon lønn</t>
        </is>
      </c>
      <c r="K502" t="n">
        <v>1120</v>
      </c>
      <c r="L502" t="n">
        <v>112010</v>
      </c>
      <c r="M502" t="inlineStr">
        <is>
          <t>Arbeidsklær / verneutstyr / uniformer</t>
        </is>
      </c>
      <c r="N502" s="98" t="n">
        <v>0</v>
      </c>
      <c r="O502" s="98" t="n">
        <v>0</v>
      </c>
      <c r="P502" s="98" t="n">
        <v>0</v>
      </c>
      <c r="Q502" s="98" t="n">
        <v>0</v>
      </c>
    </row>
    <row r="503">
      <c r="A503" t="inlineStr">
        <is>
          <t>2024-10</t>
        </is>
      </c>
      <c r="B503" t="inlineStr">
        <is>
          <t>Oktober</t>
        </is>
      </c>
      <c r="C503" t="n">
        <v>10</v>
      </c>
      <c r="D503" t="inlineStr">
        <is>
          <t>T3</t>
        </is>
      </c>
      <c r="E503" t="inlineStr">
        <is>
          <t>Gjenstående budsjett</t>
        </is>
      </c>
      <c r="F503" t="inlineStr">
        <is>
          <t>Kommunal Boenhet</t>
        </is>
      </c>
      <c r="G503" t="n">
        <v>254</v>
      </c>
      <c r="H503" t="inlineStr">
        <is>
          <t>Helse og mestring</t>
        </is>
      </c>
      <c r="I503" t="inlineStr">
        <is>
          <t>2 Utgifter</t>
        </is>
      </c>
      <c r="J503" t="inlineStr">
        <is>
          <t>11 Refusjon lønn</t>
        </is>
      </c>
      <c r="K503" t="n">
        <v>1120</v>
      </c>
      <c r="L503" t="n">
        <v>112010</v>
      </c>
      <c r="M503" t="inlineStr">
        <is>
          <t>Arbeidsklær / verneutstyr / uniformer</t>
        </is>
      </c>
      <c r="N503" s="98" t="n">
        <v>0</v>
      </c>
      <c r="O503" s="98" t="n">
        <v>0</v>
      </c>
      <c r="P503" s="98" t="n">
        <v>0</v>
      </c>
      <c r="Q503" s="98" t="n">
        <v>0</v>
      </c>
    </row>
    <row r="504">
      <c r="A504" t="inlineStr">
        <is>
          <t>2024-11</t>
        </is>
      </c>
      <c r="B504" t="inlineStr">
        <is>
          <t>November</t>
        </is>
      </c>
      <c r="C504" t="n">
        <v>11</v>
      </c>
      <c r="D504" t="inlineStr">
        <is>
          <t>T3</t>
        </is>
      </c>
      <c r="E504" t="inlineStr">
        <is>
          <t>Gjenstående budsjett</t>
        </is>
      </c>
      <c r="F504" t="inlineStr">
        <is>
          <t>Kommunal Boenhet</t>
        </is>
      </c>
      <c r="G504" t="n">
        <v>254</v>
      </c>
      <c r="H504" t="inlineStr">
        <is>
          <t>Helse og mestring</t>
        </is>
      </c>
      <c r="I504" t="inlineStr">
        <is>
          <t>2 Utgifter</t>
        </is>
      </c>
      <c r="J504" t="inlineStr">
        <is>
          <t>11 Refusjon lønn</t>
        </is>
      </c>
      <c r="K504" t="n">
        <v>1120</v>
      </c>
      <c r="L504" t="n">
        <v>112010</v>
      </c>
      <c r="M504" t="inlineStr">
        <is>
          <t>Arbeidsklær / verneutstyr / uniformer</t>
        </is>
      </c>
      <c r="N504" s="98" t="n">
        <v>0</v>
      </c>
      <c r="O504" s="98" t="n">
        <v>0</v>
      </c>
      <c r="P504" s="98" t="n">
        <v>0</v>
      </c>
      <c r="Q504" s="98" t="n">
        <v>0</v>
      </c>
    </row>
    <row r="505">
      <c r="A505" t="inlineStr">
        <is>
          <t>2024-12</t>
        </is>
      </c>
      <c r="B505" t="inlineStr">
        <is>
          <t>Desember</t>
        </is>
      </c>
      <c r="C505" t="n">
        <v>12</v>
      </c>
      <c r="D505" t="inlineStr">
        <is>
          <t>T3</t>
        </is>
      </c>
      <c r="E505" t="inlineStr">
        <is>
          <t>Gjenstående budsjett</t>
        </is>
      </c>
      <c r="F505" t="inlineStr">
        <is>
          <t>Kommunal Boenhet</t>
        </is>
      </c>
      <c r="G505" t="n">
        <v>254</v>
      </c>
      <c r="H505" t="inlineStr">
        <is>
          <t>Helse og mestring</t>
        </is>
      </c>
      <c r="I505" t="inlineStr">
        <is>
          <t>2 Utgifter</t>
        </is>
      </c>
      <c r="J505" t="inlineStr">
        <is>
          <t>11 Refusjon lønn</t>
        </is>
      </c>
      <c r="K505" t="n">
        <v>1120</v>
      </c>
      <c r="L505" t="n">
        <v>112010</v>
      </c>
      <c r="M505" t="inlineStr">
        <is>
          <t>Arbeidsklær / verneutstyr / uniformer</t>
        </is>
      </c>
      <c r="N505" s="98" t="n">
        <v>0</v>
      </c>
      <c r="O505" s="98" t="n">
        <v>0</v>
      </c>
      <c r="P505" s="98" t="n">
        <v>0</v>
      </c>
      <c r="Q505" s="98" t="n">
        <v>0</v>
      </c>
    </row>
    <row r="506">
      <c r="A506" t="inlineStr">
        <is>
          <t>2024-01</t>
        </is>
      </c>
      <c r="B506" t="inlineStr">
        <is>
          <t>Januar</t>
        </is>
      </c>
      <c r="C506" t="n">
        <v>1</v>
      </c>
      <c r="D506" t="inlineStr">
        <is>
          <t>T1</t>
        </is>
      </c>
      <c r="E506" t="inlineStr">
        <is>
          <t>Bokført</t>
        </is>
      </c>
      <c r="F506" t="inlineStr">
        <is>
          <t>Kommunal Boenhet</t>
        </is>
      </c>
      <c r="G506" t="n">
        <v>254</v>
      </c>
      <c r="H506" t="inlineStr">
        <is>
          <t>Helse og mestring</t>
        </is>
      </c>
      <c r="I506" t="inlineStr">
        <is>
          <t>2 Utgifter</t>
        </is>
      </c>
      <c r="J506" t="inlineStr">
        <is>
          <t>11 Refusjon lønn</t>
        </is>
      </c>
      <c r="K506" t="n">
        <v>1120</v>
      </c>
      <c r="L506" t="n">
        <v>112012</v>
      </c>
      <c r="M506" t="inlineStr">
        <is>
          <t>GAVE EKOM USKATT (LT 4800)</t>
        </is>
      </c>
      <c r="N506" s="98" t="n">
        <v>0</v>
      </c>
      <c r="O506" s="98" t="n">
        <v>0</v>
      </c>
      <c r="P506" s="98" t="n">
        <v>0</v>
      </c>
      <c r="Q506" s="98" t="n">
        <v>0</v>
      </c>
    </row>
    <row r="507">
      <c r="A507" t="inlineStr">
        <is>
          <t>2024-02</t>
        </is>
      </c>
      <c r="B507" t="inlineStr">
        <is>
          <t>Februar</t>
        </is>
      </c>
      <c r="C507" t="n">
        <v>2</v>
      </c>
      <c r="D507" t="inlineStr">
        <is>
          <t>T1</t>
        </is>
      </c>
      <c r="E507" t="inlineStr">
        <is>
          <t>Bokført</t>
        </is>
      </c>
      <c r="F507" t="inlineStr">
        <is>
          <t>Kommunal Boenhet</t>
        </is>
      </c>
      <c r="G507" t="n">
        <v>254</v>
      </c>
      <c r="H507" t="inlineStr">
        <is>
          <t>Helse og mestring</t>
        </is>
      </c>
      <c r="I507" t="inlineStr">
        <is>
          <t>2 Utgifter</t>
        </is>
      </c>
      <c r="J507" t="inlineStr">
        <is>
          <t>11 Refusjon lønn</t>
        </is>
      </c>
      <c r="K507" t="n">
        <v>1120</v>
      </c>
      <c r="L507" t="n">
        <v>112012</v>
      </c>
      <c r="M507" t="inlineStr">
        <is>
          <t>GAVE EKOM USKATT (LT 4800)</t>
        </is>
      </c>
      <c r="N507" s="98" t="n">
        <v>0</v>
      </c>
      <c r="O507" s="98" t="n">
        <v>732</v>
      </c>
      <c r="P507" s="98" t="n">
        <v>-732</v>
      </c>
      <c r="Q507" s="98" t="n">
        <v>732</v>
      </c>
    </row>
    <row r="508">
      <c r="A508" t="inlineStr">
        <is>
          <t>2024-03</t>
        </is>
      </c>
      <c r="B508" t="inlineStr">
        <is>
          <t>Mars</t>
        </is>
      </c>
      <c r="C508" t="n">
        <v>3</v>
      </c>
      <c r="D508" t="inlineStr">
        <is>
          <t>T1</t>
        </is>
      </c>
      <c r="E508" t="inlineStr">
        <is>
          <t>Bokført</t>
        </is>
      </c>
      <c r="F508" t="inlineStr">
        <is>
          <t>Kommunal Boenhet</t>
        </is>
      </c>
      <c r="G508" t="n">
        <v>254</v>
      </c>
      <c r="H508" t="inlineStr">
        <is>
          <t>Helse og mestring</t>
        </is>
      </c>
      <c r="I508" t="inlineStr">
        <is>
          <t>2 Utgifter</t>
        </is>
      </c>
      <c r="J508" t="inlineStr">
        <is>
          <t>11 Refusjon lønn</t>
        </is>
      </c>
      <c r="K508" t="n">
        <v>1120</v>
      </c>
      <c r="L508" t="n">
        <v>112012</v>
      </c>
      <c r="M508" t="inlineStr">
        <is>
          <t>GAVE EKOM USKATT (LT 4800)</t>
        </is>
      </c>
      <c r="N508" s="98" t="n">
        <v>0</v>
      </c>
      <c r="O508" s="98" t="n">
        <v>0</v>
      </c>
      <c r="P508" s="98" t="n">
        <v>0</v>
      </c>
      <c r="Q508" s="98" t="n">
        <v>0</v>
      </c>
    </row>
    <row r="509">
      <c r="A509" t="inlineStr">
        <is>
          <t>2024-04</t>
        </is>
      </c>
      <c r="B509" t="inlineStr">
        <is>
          <t>April</t>
        </is>
      </c>
      <c r="C509" t="n">
        <v>4</v>
      </c>
      <c r="D509" t="inlineStr">
        <is>
          <t>T1</t>
        </is>
      </c>
      <c r="E509" t="inlineStr">
        <is>
          <t>Bokført</t>
        </is>
      </c>
      <c r="F509" t="inlineStr">
        <is>
          <t>Kommunal Boenhet</t>
        </is>
      </c>
      <c r="G509" t="n">
        <v>254</v>
      </c>
      <c r="H509" t="inlineStr">
        <is>
          <t>Helse og mestring</t>
        </is>
      </c>
      <c r="I509" t="inlineStr">
        <is>
          <t>2 Utgifter</t>
        </is>
      </c>
      <c r="J509" t="inlineStr">
        <is>
          <t>11 Refusjon lønn</t>
        </is>
      </c>
      <c r="K509" t="n">
        <v>1120</v>
      </c>
      <c r="L509" t="n">
        <v>112012</v>
      </c>
      <c r="M509" t="inlineStr">
        <is>
          <t>GAVE EKOM USKATT (LT 4800)</t>
        </is>
      </c>
      <c r="N509" s="98" t="n">
        <v>0</v>
      </c>
      <c r="O509" s="98" t="n">
        <v>1098</v>
      </c>
      <c r="P509" s="98" t="n">
        <v>-1098</v>
      </c>
      <c r="Q509" s="98" t="n">
        <v>1098</v>
      </c>
    </row>
    <row r="510">
      <c r="A510" t="inlineStr">
        <is>
          <t>2024-05</t>
        </is>
      </c>
      <c r="B510" t="inlineStr">
        <is>
          <t>Mai</t>
        </is>
      </c>
      <c r="C510" t="n">
        <v>5</v>
      </c>
      <c r="D510" t="inlineStr">
        <is>
          <t>T2</t>
        </is>
      </c>
      <c r="E510" t="inlineStr">
        <is>
          <t>Bokført</t>
        </is>
      </c>
      <c r="F510" t="inlineStr">
        <is>
          <t>Kommunal Boenhet</t>
        </is>
      </c>
      <c r="G510" t="n">
        <v>254</v>
      </c>
      <c r="H510" t="inlineStr">
        <is>
          <t>Helse og mestring</t>
        </is>
      </c>
      <c r="I510" t="inlineStr">
        <is>
          <t>2 Utgifter</t>
        </is>
      </c>
      <c r="J510" t="inlineStr">
        <is>
          <t>11 Refusjon lønn</t>
        </is>
      </c>
      <c r="K510" t="n">
        <v>1120</v>
      </c>
      <c r="L510" t="n">
        <v>112012</v>
      </c>
      <c r="M510" t="inlineStr">
        <is>
          <t>GAVE EKOM USKATT (LT 4800)</t>
        </is>
      </c>
      <c r="N510" s="98" t="n">
        <v>0</v>
      </c>
      <c r="O510" s="98" t="n">
        <v>366</v>
      </c>
      <c r="P510" s="98" t="n">
        <v>-366</v>
      </c>
      <c r="Q510" s="98" t="n">
        <v>366</v>
      </c>
    </row>
    <row r="511">
      <c r="A511" t="inlineStr">
        <is>
          <t>2024-06</t>
        </is>
      </c>
      <c r="B511" t="inlineStr">
        <is>
          <t>Juni</t>
        </is>
      </c>
      <c r="C511" t="n">
        <v>6</v>
      </c>
      <c r="D511" t="inlineStr">
        <is>
          <t>T2</t>
        </is>
      </c>
      <c r="E511" t="inlineStr">
        <is>
          <t>Bokført</t>
        </is>
      </c>
      <c r="F511" t="inlineStr">
        <is>
          <t>Kommunal Boenhet</t>
        </is>
      </c>
      <c r="G511" t="n">
        <v>254</v>
      </c>
      <c r="H511" t="inlineStr">
        <is>
          <t>Helse og mestring</t>
        </is>
      </c>
      <c r="I511" t="inlineStr">
        <is>
          <t>2 Utgifter</t>
        </is>
      </c>
      <c r="J511" t="inlineStr">
        <is>
          <t>11 Refusjon lønn</t>
        </is>
      </c>
      <c r="K511" t="n">
        <v>1120</v>
      </c>
      <c r="L511" t="n">
        <v>112012</v>
      </c>
      <c r="M511" t="inlineStr">
        <is>
          <t>GAVE EKOM USKATT (LT 4800)</t>
        </is>
      </c>
      <c r="N511" s="98" t="n">
        <v>0</v>
      </c>
      <c r="O511" s="98" t="n">
        <v>0</v>
      </c>
      <c r="P511" s="98" t="n">
        <v>0</v>
      </c>
      <c r="Q511" s="98" t="n">
        <v>0</v>
      </c>
    </row>
    <row r="512">
      <c r="A512" t="inlineStr">
        <is>
          <t>2024-07</t>
        </is>
      </c>
      <c r="B512" t="inlineStr">
        <is>
          <t>Juli</t>
        </is>
      </c>
      <c r="C512" t="n">
        <v>7</v>
      </c>
      <c r="D512" t="inlineStr">
        <is>
          <t>T2</t>
        </is>
      </c>
      <c r="E512" t="inlineStr">
        <is>
          <t>Bokført</t>
        </is>
      </c>
      <c r="F512" t="inlineStr">
        <is>
          <t>Kommunal Boenhet</t>
        </is>
      </c>
      <c r="G512" t="n">
        <v>254</v>
      </c>
      <c r="H512" t="inlineStr">
        <is>
          <t>Helse og mestring</t>
        </is>
      </c>
      <c r="I512" t="inlineStr">
        <is>
          <t>2 Utgifter</t>
        </is>
      </c>
      <c r="J512" t="inlineStr">
        <is>
          <t>11 Refusjon lønn</t>
        </is>
      </c>
      <c r="K512" t="n">
        <v>1120</v>
      </c>
      <c r="L512" t="n">
        <v>112012</v>
      </c>
      <c r="M512" t="inlineStr">
        <is>
          <t>GAVE EKOM USKATT (LT 4800)</t>
        </is>
      </c>
      <c r="N512" s="98" t="n">
        <v>0</v>
      </c>
      <c r="O512" s="98" t="n">
        <v>366</v>
      </c>
      <c r="P512" s="98" t="n">
        <v>-366</v>
      </c>
      <c r="Q512" s="98" t="n">
        <v>366</v>
      </c>
    </row>
    <row r="513">
      <c r="A513" t="inlineStr">
        <is>
          <t>2024-08</t>
        </is>
      </c>
      <c r="B513" t="inlineStr">
        <is>
          <t>August</t>
        </is>
      </c>
      <c r="C513" t="n">
        <v>8</v>
      </c>
      <c r="D513" t="inlineStr">
        <is>
          <t>T2</t>
        </is>
      </c>
      <c r="E513" t="inlineStr">
        <is>
          <t>Bokført</t>
        </is>
      </c>
      <c r="F513" t="inlineStr">
        <is>
          <t>Kommunal Boenhet</t>
        </is>
      </c>
      <c r="G513" t="n">
        <v>254</v>
      </c>
      <c r="H513" t="inlineStr">
        <is>
          <t>Helse og mestring</t>
        </is>
      </c>
      <c r="I513" t="inlineStr">
        <is>
          <t>2 Utgifter</t>
        </is>
      </c>
      <c r="J513" t="inlineStr">
        <is>
          <t>11 Refusjon lønn</t>
        </is>
      </c>
      <c r="K513" t="n">
        <v>1120</v>
      </c>
      <c r="L513" t="n">
        <v>112012</v>
      </c>
      <c r="M513" t="inlineStr">
        <is>
          <t>GAVE EKOM USKATT (LT 4800)</t>
        </is>
      </c>
      <c r="N513" s="98" t="n">
        <v>0</v>
      </c>
      <c r="O513" s="98" t="n">
        <v>366</v>
      </c>
      <c r="P513" s="98" t="n">
        <v>-366</v>
      </c>
      <c r="Q513" s="98" t="n">
        <v>366</v>
      </c>
    </row>
    <row r="514">
      <c r="A514" t="inlineStr">
        <is>
          <t>2024-09</t>
        </is>
      </c>
      <c r="B514" t="inlineStr">
        <is>
          <t>September</t>
        </is>
      </c>
      <c r="C514" t="n">
        <v>9</v>
      </c>
      <c r="D514" t="inlineStr">
        <is>
          <t>T3</t>
        </is>
      </c>
      <c r="E514" t="inlineStr">
        <is>
          <t>Gjenstående budsjett</t>
        </is>
      </c>
      <c r="F514" t="inlineStr">
        <is>
          <t>Kommunal Boenhet</t>
        </is>
      </c>
      <c r="G514" t="n">
        <v>254</v>
      </c>
      <c r="H514" t="inlineStr">
        <is>
          <t>Helse og mestring</t>
        </is>
      </c>
      <c r="I514" t="inlineStr">
        <is>
          <t>2 Utgifter</t>
        </is>
      </c>
      <c r="J514" t="inlineStr">
        <is>
          <t>11 Refusjon lønn</t>
        </is>
      </c>
      <c r="K514" t="n">
        <v>1120</v>
      </c>
      <c r="L514" t="n">
        <v>112012</v>
      </c>
      <c r="M514" t="inlineStr">
        <is>
          <t>GAVE EKOM USKATT (LT 4800)</t>
        </is>
      </c>
      <c r="N514" s="98" t="n">
        <v>0</v>
      </c>
      <c r="O514" s="98" t="n">
        <v>0</v>
      </c>
      <c r="P514" s="98" t="n">
        <v>0</v>
      </c>
      <c r="Q514" s="98" t="n">
        <v>0</v>
      </c>
    </row>
    <row r="515">
      <c r="A515" t="inlineStr">
        <is>
          <t>2024-10</t>
        </is>
      </c>
      <c r="B515" t="inlineStr">
        <is>
          <t>Oktober</t>
        </is>
      </c>
      <c r="C515" t="n">
        <v>10</v>
      </c>
      <c r="D515" t="inlineStr">
        <is>
          <t>T3</t>
        </is>
      </c>
      <c r="E515" t="inlineStr">
        <is>
          <t>Gjenstående budsjett</t>
        </is>
      </c>
      <c r="F515" t="inlineStr">
        <is>
          <t>Kommunal Boenhet</t>
        </is>
      </c>
      <c r="G515" t="n">
        <v>254</v>
      </c>
      <c r="H515" t="inlineStr">
        <is>
          <t>Helse og mestring</t>
        </is>
      </c>
      <c r="I515" t="inlineStr">
        <is>
          <t>2 Utgifter</t>
        </is>
      </c>
      <c r="J515" t="inlineStr">
        <is>
          <t>11 Refusjon lønn</t>
        </is>
      </c>
      <c r="K515" t="n">
        <v>1120</v>
      </c>
      <c r="L515" t="n">
        <v>112012</v>
      </c>
      <c r="M515" t="inlineStr">
        <is>
          <t>GAVE EKOM USKATT (LT 4800)</t>
        </is>
      </c>
      <c r="N515" s="98" t="n">
        <v>0</v>
      </c>
      <c r="O515" s="98" t="n">
        <v>0</v>
      </c>
      <c r="P515" s="98" t="n">
        <v>0</v>
      </c>
      <c r="Q515" s="98" t="n">
        <v>0</v>
      </c>
    </row>
    <row r="516">
      <c r="A516" t="inlineStr">
        <is>
          <t>2024-11</t>
        </is>
      </c>
      <c r="B516" t="inlineStr">
        <is>
          <t>November</t>
        </is>
      </c>
      <c r="C516" t="n">
        <v>11</v>
      </c>
      <c r="D516" t="inlineStr">
        <is>
          <t>T3</t>
        </is>
      </c>
      <c r="E516" t="inlineStr">
        <is>
          <t>Gjenstående budsjett</t>
        </is>
      </c>
      <c r="F516" t="inlineStr">
        <is>
          <t>Kommunal Boenhet</t>
        </is>
      </c>
      <c r="G516" t="n">
        <v>254</v>
      </c>
      <c r="H516" t="inlineStr">
        <is>
          <t>Helse og mestring</t>
        </is>
      </c>
      <c r="I516" t="inlineStr">
        <is>
          <t>2 Utgifter</t>
        </is>
      </c>
      <c r="J516" t="inlineStr">
        <is>
          <t>11 Refusjon lønn</t>
        </is>
      </c>
      <c r="K516" t="n">
        <v>1120</v>
      </c>
      <c r="L516" t="n">
        <v>112012</v>
      </c>
      <c r="M516" t="inlineStr">
        <is>
          <t>GAVE EKOM USKATT (LT 4800)</t>
        </is>
      </c>
      <c r="N516" s="98" t="n">
        <v>0</v>
      </c>
      <c r="O516" s="98" t="n">
        <v>0</v>
      </c>
      <c r="P516" s="98" t="n">
        <v>0</v>
      </c>
      <c r="Q516" s="98" t="n">
        <v>0</v>
      </c>
    </row>
    <row r="517">
      <c r="A517" t="inlineStr">
        <is>
          <t>2024-12</t>
        </is>
      </c>
      <c r="B517" t="inlineStr">
        <is>
          <t>Desember</t>
        </is>
      </c>
      <c r="C517" t="n">
        <v>12</v>
      </c>
      <c r="D517" t="inlineStr">
        <is>
          <t>T3</t>
        </is>
      </c>
      <c r="E517" t="inlineStr">
        <is>
          <t>Gjenstående budsjett</t>
        </is>
      </c>
      <c r="F517" t="inlineStr">
        <is>
          <t>Kommunal Boenhet</t>
        </is>
      </c>
      <c r="G517" t="n">
        <v>254</v>
      </c>
      <c r="H517" t="inlineStr">
        <is>
          <t>Helse og mestring</t>
        </is>
      </c>
      <c r="I517" t="inlineStr">
        <is>
          <t>2 Utgifter</t>
        </is>
      </c>
      <c r="J517" t="inlineStr">
        <is>
          <t>11 Refusjon lønn</t>
        </is>
      </c>
      <c r="K517" t="n">
        <v>1120</v>
      </c>
      <c r="L517" t="n">
        <v>112012</v>
      </c>
      <c r="M517" t="inlineStr">
        <is>
          <t>GAVE EKOM USKATT (LT 4800)</t>
        </is>
      </c>
      <c r="N517" s="98" t="n">
        <v>0</v>
      </c>
      <c r="O517" s="98" t="n">
        <v>0</v>
      </c>
      <c r="P517" s="98" t="n">
        <v>0</v>
      </c>
      <c r="Q517" s="98" t="n">
        <v>0</v>
      </c>
    </row>
    <row r="518">
      <c r="A518" t="inlineStr">
        <is>
          <t>2024-01</t>
        </is>
      </c>
      <c r="B518" t="inlineStr">
        <is>
          <t>Januar</t>
        </is>
      </c>
      <c r="C518" t="n">
        <v>1</v>
      </c>
      <c r="D518" t="inlineStr">
        <is>
          <t>T1</t>
        </is>
      </c>
      <c r="E518" t="inlineStr">
        <is>
          <t>Bokført</t>
        </is>
      </c>
      <c r="F518" t="inlineStr">
        <is>
          <t>Kommunal Boenhet</t>
        </is>
      </c>
      <c r="G518" t="n">
        <v>254</v>
      </c>
      <c r="H518" t="inlineStr">
        <is>
          <t>Helse og mestring</t>
        </is>
      </c>
      <c r="I518" t="inlineStr">
        <is>
          <t>2 Utgifter</t>
        </is>
      </c>
      <c r="J518" t="inlineStr">
        <is>
          <t>11 Refusjon lønn</t>
        </is>
      </c>
      <c r="K518" t="n">
        <v>1120</v>
      </c>
      <c r="L518" t="n">
        <v>112013</v>
      </c>
      <c r="M518" t="inlineStr">
        <is>
          <t>MOTPOST GAVE EKOM USKATT (LT 4802)</t>
        </is>
      </c>
      <c r="N518" s="98" t="n">
        <v>0</v>
      </c>
      <c r="O518" s="98" t="n">
        <v>0</v>
      </c>
      <c r="P518" s="98" t="n">
        <v>0</v>
      </c>
      <c r="Q518" s="98" t="n">
        <v>0</v>
      </c>
    </row>
    <row r="519">
      <c r="A519" t="inlineStr">
        <is>
          <t>2024-02</t>
        </is>
      </c>
      <c r="B519" t="inlineStr">
        <is>
          <t>Februar</t>
        </is>
      </c>
      <c r="C519" t="n">
        <v>2</v>
      </c>
      <c r="D519" t="inlineStr">
        <is>
          <t>T1</t>
        </is>
      </c>
      <c r="E519" t="inlineStr">
        <is>
          <t>Bokført</t>
        </is>
      </c>
      <c r="F519" t="inlineStr">
        <is>
          <t>Kommunal Boenhet</t>
        </is>
      </c>
      <c r="G519" t="n">
        <v>254</v>
      </c>
      <c r="H519" t="inlineStr">
        <is>
          <t>Helse og mestring</t>
        </is>
      </c>
      <c r="I519" t="inlineStr">
        <is>
          <t>2 Utgifter</t>
        </is>
      </c>
      <c r="J519" t="inlineStr">
        <is>
          <t>11 Refusjon lønn</t>
        </is>
      </c>
      <c r="K519" t="n">
        <v>1120</v>
      </c>
      <c r="L519" t="n">
        <v>112013</v>
      </c>
      <c r="M519" t="inlineStr">
        <is>
          <t>MOTPOST GAVE EKOM USKATT (LT 4802)</t>
        </is>
      </c>
      <c r="N519" s="98" t="n">
        <v>0</v>
      </c>
      <c r="O519" s="98" t="n">
        <v>-732</v>
      </c>
      <c r="P519" s="98" t="n">
        <v>732</v>
      </c>
      <c r="Q519" s="98" t="n">
        <v>-732</v>
      </c>
    </row>
    <row r="520">
      <c r="A520" t="inlineStr">
        <is>
          <t>2024-03</t>
        </is>
      </c>
      <c r="B520" t="inlineStr">
        <is>
          <t>Mars</t>
        </is>
      </c>
      <c r="C520" t="n">
        <v>3</v>
      </c>
      <c r="D520" t="inlineStr">
        <is>
          <t>T1</t>
        </is>
      </c>
      <c r="E520" t="inlineStr">
        <is>
          <t>Bokført</t>
        </is>
      </c>
      <c r="F520" t="inlineStr">
        <is>
          <t>Kommunal Boenhet</t>
        </is>
      </c>
      <c r="G520" t="n">
        <v>254</v>
      </c>
      <c r="H520" t="inlineStr">
        <is>
          <t>Helse og mestring</t>
        </is>
      </c>
      <c r="I520" t="inlineStr">
        <is>
          <t>2 Utgifter</t>
        </is>
      </c>
      <c r="J520" t="inlineStr">
        <is>
          <t>11 Refusjon lønn</t>
        </is>
      </c>
      <c r="K520" t="n">
        <v>1120</v>
      </c>
      <c r="L520" t="n">
        <v>112013</v>
      </c>
      <c r="M520" t="inlineStr">
        <is>
          <t>MOTPOST GAVE EKOM USKATT (LT 4802)</t>
        </is>
      </c>
      <c r="N520" s="98" t="n">
        <v>0</v>
      </c>
      <c r="O520" s="98" t="n">
        <v>0</v>
      </c>
      <c r="P520" s="98" t="n">
        <v>0</v>
      </c>
      <c r="Q520" s="98" t="n">
        <v>0</v>
      </c>
    </row>
    <row r="521">
      <c r="A521" t="inlineStr">
        <is>
          <t>2024-04</t>
        </is>
      </c>
      <c r="B521" t="inlineStr">
        <is>
          <t>April</t>
        </is>
      </c>
      <c r="C521" t="n">
        <v>4</v>
      </c>
      <c r="D521" t="inlineStr">
        <is>
          <t>T1</t>
        </is>
      </c>
      <c r="E521" t="inlineStr">
        <is>
          <t>Bokført</t>
        </is>
      </c>
      <c r="F521" t="inlineStr">
        <is>
          <t>Kommunal Boenhet</t>
        </is>
      </c>
      <c r="G521" t="n">
        <v>254</v>
      </c>
      <c r="H521" t="inlineStr">
        <is>
          <t>Helse og mestring</t>
        </is>
      </c>
      <c r="I521" t="inlineStr">
        <is>
          <t>2 Utgifter</t>
        </is>
      </c>
      <c r="J521" t="inlineStr">
        <is>
          <t>11 Refusjon lønn</t>
        </is>
      </c>
      <c r="K521" t="n">
        <v>1120</v>
      </c>
      <c r="L521" t="n">
        <v>112013</v>
      </c>
      <c r="M521" t="inlineStr">
        <is>
          <t>MOTPOST GAVE EKOM USKATT (LT 4802)</t>
        </is>
      </c>
      <c r="N521" s="98" t="n">
        <v>0</v>
      </c>
      <c r="O521" s="98" t="n">
        <v>-1098</v>
      </c>
      <c r="P521" s="98" t="n">
        <v>1098</v>
      </c>
      <c r="Q521" s="98" t="n">
        <v>-1098</v>
      </c>
    </row>
    <row r="522">
      <c r="A522" t="inlineStr">
        <is>
          <t>2024-05</t>
        </is>
      </c>
      <c r="B522" t="inlineStr">
        <is>
          <t>Mai</t>
        </is>
      </c>
      <c r="C522" t="n">
        <v>5</v>
      </c>
      <c r="D522" t="inlineStr">
        <is>
          <t>T2</t>
        </is>
      </c>
      <c r="E522" t="inlineStr">
        <is>
          <t>Bokført</t>
        </is>
      </c>
      <c r="F522" t="inlineStr">
        <is>
          <t>Kommunal Boenhet</t>
        </is>
      </c>
      <c r="G522" t="n">
        <v>254</v>
      </c>
      <c r="H522" t="inlineStr">
        <is>
          <t>Helse og mestring</t>
        </is>
      </c>
      <c r="I522" t="inlineStr">
        <is>
          <t>2 Utgifter</t>
        </is>
      </c>
      <c r="J522" t="inlineStr">
        <is>
          <t>11 Refusjon lønn</t>
        </is>
      </c>
      <c r="K522" t="n">
        <v>1120</v>
      </c>
      <c r="L522" t="n">
        <v>112013</v>
      </c>
      <c r="M522" t="inlineStr">
        <is>
          <t>MOTPOST GAVE EKOM USKATT (LT 4802)</t>
        </is>
      </c>
      <c r="N522" s="98" t="n">
        <v>0</v>
      </c>
      <c r="O522" s="98" t="n">
        <v>-366</v>
      </c>
      <c r="P522" s="98" t="n">
        <v>366</v>
      </c>
      <c r="Q522" s="98" t="n">
        <v>-366</v>
      </c>
    </row>
    <row r="523">
      <c r="A523" t="inlineStr">
        <is>
          <t>2024-06</t>
        </is>
      </c>
      <c r="B523" t="inlineStr">
        <is>
          <t>Juni</t>
        </is>
      </c>
      <c r="C523" t="n">
        <v>6</v>
      </c>
      <c r="D523" t="inlineStr">
        <is>
          <t>T2</t>
        </is>
      </c>
      <c r="E523" t="inlineStr">
        <is>
          <t>Bokført</t>
        </is>
      </c>
      <c r="F523" t="inlineStr">
        <is>
          <t>Kommunal Boenhet</t>
        </is>
      </c>
      <c r="G523" t="n">
        <v>254</v>
      </c>
      <c r="H523" t="inlineStr">
        <is>
          <t>Helse og mestring</t>
        </is>
      </c>
      <c r="I523" t="inlineStr">
        <is>
          <t>2 Utgifter</t>
        </is>
      </c>
      <c r="J523" t="inlineStr">
        <is>
          <t>11 Refusjon lønn</t>
        </is>
      </c>
      <c r="K523" t="n">
        <v>1120</v>
      </c>
      <c r="L523" t="n">
        <v>112013</v>
      </c>
      <c r="M523" t="inlineStr">
        <is>
          <t>MOTPOST GAVE EKOM USKATT (LT 4802)</t>
        </is>
      </c>
      <c r="N523" s="98" t="n">
        <v>0</v>
      </c>
      <c r="O523" s="98" t="n">
        <v>0</v>
      </c>
      <c r="P523" s="98" t="n">
        <v>0</v>
      </c>
      <c r="Q523" s="98" t="n">
        <v>0</v>
      </c>
    </row>
    <row r="524">
      <c r="A524" t="inlineStr">
        <is>
          <t>2024-07</t>
        </is>
      </c>
      <c r="B524" t="inlineStr">
        <is>
          <t>Juli</t>
        </is>
      </c>
      <c r="C524" t="n">
        <v>7</v>
      </c>
      <c r="D524" t="inlineStr">
        <is>
          <t>T2</t>
        </is>
      </c>
      <c r="E524" t="inlineStr">
        <is>
          <t>Bokført</t>
        </is>
      </c>
      <c r="F524" t="inlineStr">
        <is>
          <t>Kommunal Boenhet</t>
        </is>
      </c>
      <c r="G524" t="n">
        <v>254</v>
      </c>
      <c r="H524" t="inlineStr">
        <is>
          <t>Helse og mestring</t>
        </is>
      </c>
      <c r="I524" t="inlineStr">
        <is>
          <t>2 Utgifter</t>
        </is>
      </c>
      <c r="J524" t="inlineStr">
        <is>
          <t>11 Refusjon lønn</t>
        </is>
      </c>
      <c r="K524" t="n">
        <v>1120</v>
      </c>
      <c r="L524" t="n">
        <v>112013</v>
      </c>
      <c r="M524" t="inlineStr">
        <is>
          <t>MOTPOST GAVE EKOM USKATT (LT 4802)</t>
        </is>
      </c>
      <c r="N524" s="98" t="n">
        <v>0</v>
      </c>
      <c r="O524" s="98" t="n">
        <v>-366</v>
      </c>
      <c r="P524" s="98" t="n">
        <v>366</v>
      </c>
      <c r="Q524" s="98" t="n">
        <v>-366</v>
      </c>
    </row>
    <row r="525">
      <c r="A525" t="inlineStr">
        <is>
          <t>2024-08</t>
        </is>
      </c>
      <c r="B525" t="inlineStr">
        <is>
          <t>August</t>
        </is>
      </c>
      <c r="C525" t="n">
        <v>8</v>
      </c>
      <c r="D525" t="inlineStr">
        <is>
          <t>T2</t>
        </is>
      </c>
      <c r="E525" t="inlineStr">
        <is>
          <t>Bokført</t>
        </is>
      </c>
      <c r="F525" t="inlineStr">
        <is>
          <t>Kommunal Boenhet</t>
        </is>
      </c>
      <c r="G525" t="n">
        <v>254</v>
      </c>
      <c r="H525" t="inlineStr">
        <is>
          <t>Helse og mestring</t>
        </is>
      </c>
      <c r="I525" t="inlineStr">
        <is>
          <t>2 Utgifter</t>
        </is>
      </c>
      <c r="J525" t="inlineStr">
        <is>
          <t>11 Refusjon lønn</t>
        </is>
      </c>
      <c r="K525" t="n">
        <v>1120</v>
      </c>
      <c r="L525" t="n">
        <v>112013</v>
      </c>
      <c r="M525" t="inlineStr">
        <is>
          <t>MOTPOST GAVE EKOM USKATT (LT 4802)</t>
        </is>
      </c>
      <c r="N525" s="98" t="n">
        <v>0</v>
      </c>
      <c r="O525" s="98" t="n">
        <v>-366</v>
      </c>
      <c r="P525" s="98" t="n">
        <v>366</v>
      </c>
      <c r="Q525" s="98" t="n">
        <v>-366</v>
      </c>
    </row>
    <row r="526">
      <c r="A526" t="inlineStr">
        <is>
          <t>2024-09</t>
        </is>
      </c>
      <c r="B526" t="inlineStr">
        <is>
          <t>September</t>
        </is>
      </c>
      <c r="C526" t="n">
        <v>9</v>
      </c>
      <c r="D526" t="inlineStr">
        <is>
          <t>T3</t>
        </is>
      </c>
      <c r="E526" t="inlineStr">
        <is>
          <t>Gjenstående budsjett</t>
        </is>
      </c>
      <c r="F526" t="inlineStr">
        <is>
          <t>Kommunal Boenhet</t>
        </is>
      </c>
      <c r="G526" t="n">
        <v>254</v>
      </c>
      <c r="H526" t="inlineStr">
        <is>
          <t>Helse og mestring</t>
        </is>
      </c>
      <c r="I526" t="inlineStr">
        <is>
          <t>2 Utgifter</t>
        </is>
      </c>
      <c r="J526" t="inlineStr">
        <is>
          <t>11 Refusjon lønn</t>
        </is>
      </c>
      <c r="K526" t="n">
        <v>1120</v>
      </c>
      <c r="L526" t="n">
        <v>112013</v>
      </c>
      <c r="M526" t="inlineStr">
        <is>
          <t>MOTPOST GAVE EKOM USKATT (LT 4802)</t>
        </is>
      </c>
      <c r="N526" s="98" t="n">
        <v>0</v>
      </c>
      <c r="O526" s="98" t="n">
        <v>0</v>
      </c>
      <c r="P526" s="98" t="n">
        <v>0</v>
      </c>
      <c r="Q526" s="98" t="n">
        <v>0</v>
      </c>
    </row>
    <row r="527">
      <c r="A527" t="inlineStr">
        <is>
          <t>2024-10</t>
        </is>
      </c>
      <c r="B527" t="inlineStr">
        <is>
          <t>Oktober</t>
        </is>
      </c>
      <c r="C527" t="n">
        <v>10</v>
      </c>
      <c r="D527" t="inlineStr">
        <is>
          <t>T3</t>
        </is>
      </c>
      <c r="E527" t="inlineStr">
        <is>
          <t>Gjenstående budsjett</t>
        </is>
      </c>
      <c r="F527" t="inlineStr">
        <is>
          <t>Kommunal Boenhet</t>
        </is>
      </c>
      <c r="G527" t="n">
        <v>254</v>
      </c>
      <c r="H527" t="inlineStr">
        <is>
          <t>Helse og mestring</t>
        </is>
      </c>
      <c r="I527" t="inlineStr">
        <is>
          <t>2 Utgifter</t>
        </is>
      </c>
      <c r="J527" t="inlineStr">
        <is>
          <t>11 Refusjon lønn</t>
        </is>
      </c>
      <c r="K527" t="n">
        <v>1120</v>
      </c>
      <c r="L527" t="n">
        <v>112013</v>
      </c>
      <c r="M527" t="inlineStr">
        <is>
          <t>MOTPOST GAVE EKOM USKATT (LT 4802)</t>
        </is>
      </c>
      <c r="N527" s="98" t="n">
        <v>0</v>
      </c>
      <c r="O527" s="98" t="n">
        <v>0</v>
      </c>
      <c r="P527" s="98" t="n">
        <v>0</v>
      </c>
      <c r="Q527" s="98" t="n">
        <v>0</v>
      </c>
    </row>
    <row r="528">
      <c r="A528" t="inlineStr">
        <is>
          <t>2024-11</t>
        </is>
      </c>
      <c r="B528" t="inlineStr">
        <is>
          <t>November</t>
        </is>
      </c>
      <c r="C528" t="n">
        <v>11</v>
      </c>
      <c r="D528" t="inlineStr">
        <is>
          <t>T3</t>
        </is>
      </c>
      <c r="E528" t="inlineStr">
        <is>
          <t>Gjenstående budsjett</t>
        </is>
      </c>
      <c r="F528" t="inlineStr">
        <is>
          <t>Kommunal Boenhet</t>
        </is>
      </c>
      <c r="G528" t="n">
        <v>254</v>
      </c>
      <c r="H528" t="inlineStr">
        <is>
          <t>Helse og mestring</t>
        </is>
      </c>
      <c r="I528" t="inlineStr">
        <is>
          <t>2 Utgifter</t>
        </is>
      </c>
      <c r="J528" t="inlineStr">
        <is>
          <t>11 Refusjon lønn</t>
        </is>
      </c>
      <c r="K528" t="n">
        <v>1120</v>
      </c>
      <c r="L528" t="n">
        <v>112013</v>
      </c>
      <c r="M528" t="inlineStr">
        <is>
          <t>MOTPOST GAVE EKOM USKATT (LT 4802)</t>
        </is>
      </c>
      <c r="N528" s="98" t="n">
        <v>0</v>
      </c>
      <c r="O528" s="98" t="n">
        <v>0</v>
      </c>
      <c r="P528" s="98" t="n">
        <v>0</v>
      </c>
      <c r="Q528" s="98" t="n">
        <v>0</v>
      </c>
    </row>
    <row r="529">
      <c r="A529" t="inlineStr">
        <is>
          <t>2024-12</t>
        </is>
      </c>
      <c r="B529" t="inlineStr">
        <is>
          <t>Desember</t>
        </is>
      </c>
      <c r="C529" t="n">
        <v>12</v>
      </c>
      <c r="D529" t="inlineStr">
        <is>
          <t>T3</t>
        </is>
      </c>
      <c r="E529" t="inlineStr">
        <is>
          <t>Gjenstående budsjett</t>
        </is>
      </c>
      <c r="F529" t="inlineStr">
        <is>
          <t>Kommunal Boenhet</t>
        </is>
      </c>
      <c r="G529" t="n">
        <v>254</v>
      </c>
      <c r="H529" t="inlineStr">
        <is>
          <t>Helse og mestring</t>
        </is>
      </c>
      <c r="I529" t="inlineStr">
        <is>
          <t>2 Utgifter</t>
        </is>
      </c>
      <c r="J529" t="inlineStr">
        <is>
          <t>11 Refusjon lønn</t>
        </is>
      </c>
      <c r="K529" t="n">
        <v>1120</v>
      </c>
      <c r="L529" t="n">
        <v>112013</v>
      </c>
      <c r="M529" t="inlineStr">
        <is>
          <t>MOTPOST GAVE EKOM USKATT (LT 4802)</t>
        </is>
      </c>
      <c r="N529" s="98" t="n">
        <v>0</v>
      </c>
      <c r="O529" s="98" t="n">
        <v>0</v>
      </c>
      <c r="P529" s="98" t="n">
        <v>0</v>
      </c>
      <c r="Q529" s="98" t="n">
        <v>0</v>
      </c>
    </row>
    <row r="530">
      <c r="A530" t="inlineStr">
        <is>
          <t>2024-01</t>
        </is>
      </c>
      <c r="B530" t="inlineStr">
        <is>
          <t>Januar</t>
        </is>
      </c>
      <c r="C530" t="n">
        <v>1</v>
      </c>
      <c r="D530" t="inlineStr">
        <is>
          <t>T1</t>
        </is>
      </c>
      <c r="E530" t="inlineStr">
        <is>
          <t>Bokført</t>
        </is>
      </c>
      <c r="F530" t="inlineStr">
        <is>
          <t>Kommunal Boenhet</t>
        </is>
      </c>
      <c r="G530" t="n">
        <v>254</v>
      </c>
      <c r="H530" t="inlineStr">
        <is>
          <t>Helse og mestring</t>
        </is>
      </c>
      <c r="I530" t="inlineStr">
        <is>
          <t>2 Utgifter</t>
        </is>
      </c>
      <c r="J530" t="inlineStr">
        <is>
          <t>11 Refusjon lønn</t>
        </is>
      </c>
      <c r="K530" t="n">
        <v>1120</v>
      </c>
      <c r="L530" t="n">
        <v>112020</v>
      </c>
      <c r="M530" t="inlineStr">
        <is>
          <t>Plast og papir</t>
        </is>
      </c>
      <c r="N530" s="98" t="n">
        <v>0</v>
      </c>
      <c r="O530" s="98" t="n">
        <v>786.64</v>
      </c>
      <c r="P530" s="98" t="n">
        <v>-786.64</v>
      </c>
      <c r="Q530" s="98" t="n">
        <v>786.64</v>
      </c>
    </row>
    <row r="531">
      <c r="A531" t="inlineStr">
        <is>
          <t>2024-02</t>
        </is>
      </c>
      <c r="B531" t="inlineStr">
        <is>
          <t>Februar</t>
        </is>
      </c>
      <c r="C531" t="n">
        <v>2</v>
      </c>
      <c r="D531" t="inlineStr">
        <is>
          <t>T1</t>
        </is>
      </c>
      <c r="E531" t="inlineStr">
        <is>
          <t>Bokført</t>
        </is>
      </c>
      <c r="F531" t="inlineStr">
        <is>
          <t>Kommunal Boenhet</t>
        </is>
      </c>
      <c r="G531" t="n">
        <v>254</v>
      </c>
      <c r="H531" t="inlineStr">
        <is>
          <t>Helse og mestring</t>
        </is>
      </c>
      <c r="I531" t="inlineStr">
        <is>
          <t>2 Utgifter</t>
        </is>
      </c>
      <c r="J531" t="inlineStr">
        <is>
          <t>11 Refusjon lønn</t>
        </is>
      </c>
      <c r="K531" t="n">
        <v>1120</v>
      </c>
      <c r="L531" t="n">
        <v>112020</v>
      </c>
      <c r="M531" t="inlineStr">
        <is>
          <t>Plast og papir</t>
        </is>
      </c>
      <c r="N531" s="98" t="n">
        <v>0</v>
      </c>
      <c r="O531" s="98" t="n">
        <v>0</v>
      </c>
      <c r="P531" s="98" t="n">
        <v>0</v>
      </c>
      <c r="Q531" s="98" t="n">
        <v>0</v>
      </c>
    </row>
    <row r="532">
      <c r="A532" t="inlineStr">
        <is>
          <t>2024-03</t>
        </is>
      </c>
      <c r="B532" t="inlineStr">
        <is>
          <t>Mars</t>
        </is>
      </c>
      <c r="C532" t="n">
        <v>3</v>
      </c>
      <c r="D532" t="inlineStr">
        <is>
          <t>T1</t>
        </is>
      </c>
      <c r="E532" t="inlineStr">
        <is>
          <t>Bokført</t>
        </is>
      </c>
      <c r="F532" t="inlineStr">
        <is>
          <t>Kommunal Boenhet</t>
        </is>
      </c>
      <c r="G532" t="n">
        <v>254</v>
      </c>
      <c r="H532" t="inlineStr">
        <is>
          <t>Helse og mestring</t>
        </is>
      </c>
      <c r="I532" t="inlineStr">
        <is>
          <t>2 Utgifter</t>
        </is>
      </c>
      <c r="J532" t="inlineStr">
        <is>
          <t>11 Refusjon lønn</t>
        </is>
      </c>
      <c r="K532" t="n">
        <v>1120</v>
      </c>
      <c r="L532" t="n">
        <v>112020</v>
      </c>
      <c r="M532" t="inlineStr">
        <is>
          <t>Plast og papir</t>
        </is>
      </c>
      <c r="N532" s="98" t="n">
        <v>0</v>
      </c>
      <c r="O532" s="98" t="n">
        <v>0</v>
      </c>
      <c r="P532" s="98" t="n">
        <v>0</v>
      </c>
      <c r="Q532" s="98" t="n">
        <v>0</v>
      </c>
    </row>
    <row r="533">
      <c r="A533" t="inlineStr">
        <is>
          <t>2024-04</t>
        </is>
      </c>
      <c r="B533" t="inlineStr">
        <is>
          <t>April</t>
        </is>
      </c>
      <c r="C533" t="n">
        <v>4</v>
      </c>
      <c r="D533" t="inlineStr">
        <is>
          <t>T1</t>
        </is>
      </c>
      <c r="E533" t="inlineStr">
        <is>
          <t>Bokført</t>
        </is>
      </c>
      <c r="F533" t="inlineStr">
        <is>
          <t>Kommunal Boenhet</t>
        </is>
      </c>
      <c r="G533" t="n">
        <v>254</v>
      </c>
      <c r="H533" t="inlineStr">
        <is>
          <t>Helse og mestring</t>
        </is>
      </c>
      <c r="I533" t="inlineStr">
        <is>
          <t>2 Utgifter</t>
        </is>
      </c>
      <c r="J533" t="inlineStr">
        <is>
          <t>11 Refusjon lønn</t>
        </is>
      </c>
      <c r="K533" t="n">
        <v>1120</v>
      </c>
      <c r="L533" t="n">
        <v>112020</v>
      </c>
      <c r="M533" t="inlineStr">
        <is>
          <t>Plast og papir</t>
        </is>
      </c>
      <c r="N533" s="98" t="n">
        <v>0</v>
      </c>
      <c r="O533" s="98" t="n">
        <v>0</v>
      </c>
      <c r="P533" s="98" t="n">
        <v>0</v>
      </c>
      <c r="Q533" s="98" t="n">
        <v>0</v>
      </c>
    </row>
    <row r="534">
      <c r="A534" t="inlineStr">
        <is>
          <t>2024-05</t>
        </is>
      </c>
      <c r="B534" t="inlineStr">
        <is>
          <t>Mai</t>
        </is>
      </c>
      <c r="C534" t="n">
        <v>5</v>
      </c>
      <c r="D534" t="inlineStr">
        <is>
          <t>T2</t>
        </is>
      </c>
      <c r="E534" t="inlineStr">
        <is>
          <t>Bokført</t>
        </is>
      </c>
      <c r="F534" t="inlineStr">
        <is>
          <t>Kommunal Boenhet</t>
        </is>
      </c>
      <c r="G534" t="n">
        <v>254</v>
      </c>
      <c r="H534" t="inlineStr">
        <is>
          <t>Helse og mestring</t>
        </is>
      </c>
      <c r="I534" t="inlineStr">
        <is>
          <t>2 Utgifter</t>
        </is>
      </c>
      <c r="J534" t="inlineStr">
        <is>
          <t>11 Refusjon lønn</t>
        </is>
      </c>
      <c r="K534" t="n">
        <v>1120</v>
      </c>
      <c r="L534" t="n">
        <v>112020</v>
      </c>
      <c r="M534" t="inlineStr">
        <is>
          <t>Plast og papir</t>
        </is>
      </c>
      <c r="N534" s="98" t="n">
        <v>0</v>
      </c>
      <c r="O534" s="98" t="n">
        <v>0</v>
      </c>
      <c r="P534" s="98" t="n">
        <v>0</v>
      </c>
      <c r="Q534" s="98" t="n">
        <v>0</v>
      </c>
    </row>
    <row r="535">
      <c r="A535" t="inlineStr">
        <is>
          <t>2024-06</t>
        </is>
      </c>
      <c r="B535" t="inlineStr">
        <is>
          <t>Juni</t>
        </is>
      </c>
      <c r="C535" t="n">
        <v>6</v>
      </c>
      <c r="D535" t="inlineStr">
        <is>
          <t>T2</t>
        </is>
      </c>
      <c r="E535" t="inlineStr">
        <is>
          <t>Bokført</t>
        </is>
      </c>
      <c r="F535" t="inlineStr">
        <is>
          <t>Kommunal Boenhet</t>
        </is>
      </c>
      <c r="G535" t="n">
        <v>254</v>
      </c>
      <c r="H535" t="inlineStr">
        <is>
          <t>Helse og mestring</t>
        </is>
      </c>
      <c r="I535" t="inlineStr">
        <is>
          <t>2 Utgifter</t>
        </is>
      </c>
      <c r="J535" t="inlineStr">
        <is>
          <t>11 Refusjon lønn</t>
        </is>
      </c>
      <c r="K535" t="n">
        <v>1120</v>
      </c>
      <c r="L535" t="n">
        <v>112020</v>
      </c>
      <c r="M535" t="inlineStr">
        <is>
          <t>Plast og papir</t>
        </is>
      </c>
      <c r="N535" s="98" t="n">
        <v>0</v>
      </c>
      <c r="O535" s="98" t="n">
        <v>0</v>
      </c>
      <c r="P535" s="98" t="n">
        <v>0</v>
      </c>
      <c r="Q535" s="98" t="n">
        <v>0</v>
      </c>
    </row>
    <row r="536">
      <c r="A536" t="inlineStr">
        <is>
          <t>2024-07</t>
        </is>
      </c>
      <c r="B536" t="inlineStr">
        <is>
          <t>Juli</t>
        </is>
      </c>
      <c r="C536" t="n">
        <v>7</v>
      </c>
      <c r="D536" t="inlineStr">
        <is>
          <t>T2</t>
        </is>
      </c>
      <c r="E536" t="inlineStr">
        <is>
          <t>Bokført</t>
        </is>
      </c>
      <c r="F536" t="inlineStr">
        <is>
          <t>Kommunal Boenhet</t>
        </is>
      </c>
      <c r="G536" t="n">
        <v>254</v>
      </c>
      <c r="H536" t="inlineStr">
        <is>
          <t>Helse og mestring</t>
        </is>
      </c>
      <c r="I536" t="inlineStr">
        <is>
          <t>2 Utgifter</t>
        </is>
      </c>
      <c r="J536" t="inlineStr">
        <is>
          <t>11 Refusjon lønn</t>
        </is>
      </c>
      <c r="K536" t="n">
        <v>1120</v>
      </c>
      <c r="L536" t="n">
        <v>112020</v>
      </c>
      <c r="M536" t="inlineStr">
        <is>
          <t>Plast og papir</t>
        </is>
      </c>
      <c r="N536" s="98" t="n">
        <v>0</v>
      </c>
      <c r="O536" s="98" t="n">
        <v>0</v>
      </c>
      <c r="P536" s="98" t="n">
        <v>0</v>
      </c>
      <c r="Q536" s="98" t="n">
        <v>0</v>
      </c>
    </row>
    <row r="537">
      <c r="A537" t="inlineStr">
        <is>
          <t>2024-08</t>
        </is>
      </c>
      <c r="B537" t="inlineStr">
        <is>
          <t>August</t>
        </is>
      </c>
      <c r="C537" t="n">
        <v>8</v>
      </c>
      <c r="D537" t="inlineStr">
        <is>
          <t>T2</t>
        </is>
      </c>
      <c r="E537" t="inlineStr">
        <is>
          <t>Bokført</t>
        </is>
      </c>
      <c r="F537" t="inlineStr">
        <is>
          <t>Kommunal Boenhet</t>
        </is>
      </c>
      <c r="G537" t="n">
        <v>254</v>
      </c>
      <c r="H537" t="inlineStr">
        <is>
          <t>Helse og mestring</t>
        </is>
      </c>
      <c r="I537" t="inlineStr">
        <is>
          <t>2 Utgifter</t>
        </is>
      </c>
      <c r="J537" t="inlineStr">
        <is>
          <t>11 Refusjon lønn</t>
        </is>
      </c>
      <c r="K537" t="n">
        <v>1120</v>
      </c>
      <c r="L537" t="n">
        <v>112020</v>
      </c>
      <c r="M537" t="inlineStr">
        <is>
          <t>Plast og papir</t>
        </is>
      </c>
      <c r="N537" s="98" t="n">
        <v>0</v>
      </c>
      <c r="O537" s="98" t="n">
        <v>0</v>
      </c>
      <c r="P537" s="98" t="n">
        <v>0</v>
      </c>
      <c r="Q537" s="98" t="n">
        <v>0</v>
      </c>
    </row>
    <row r="538">
      <c r="A538" t="inlineStr">
        <is>
          <t>2024-09</t>
        </is>
      </c>
      <c r="B538" t="inlineStr">
        <is>
          <t>September</t>
        </is>
      </c>
      <c r="C538" t="n">
        <v>9</v>
      </c>
      <c r="D538" t="inlineStr">
        <is>
          <t>T3</t>
        </is>
      </c>
      <c r="E538" t="inlineStr">
        <is>
          <t>Gjenstående budsjett</t>
        </is>
      </c>
      <c r="F538" t="inlineStr">
        <is>
          <t>Kommunal Boenhet</t>
        </is>
      </c>
      <c r="G538" t="n">
        <v>254</v>
      </c>
      <c r="H538" t="inlineStr">
        <is>
          <t>Helse og mestring</t>
        </is>
      </c>
      <c r="I538" t="inlineStr">
        <is>
          <t>2 Utgifter</t>
        </is>
      </c>
      <c r="J538" t="inlineStr">
        <is>
          <t>11 Refusjon lønn</t>
        </is>
      </c>
      <c r="K538" t="n">
        <v>1120</v>
      </c>
      <c r="L538" t="n">
        <v>112020</v>
      </c>
      <c r="M538" t="inlineStr">
        <is>
          <t>Plast og papir</t>
        </is>
      </c>
      <c r="N538" s="98" t="n">
        <v>0</v>
      </c>
      <c r="O538" s="98" t="n">
        <v>0</v>
      </c>
      <c r="P538" s="98" t="n">
        <v>0</v>
      </c>
      <c r="Q538" s="98" t="n">
        <v>0</v>
      </c>
    </row>
    <row r="539">
      <c r="A539" t="inlineStr">
        <is>
          <t>2024-10</t>
        </is>
      </c>
      <c r="B539" t="inlineStr">
        <is>
          <t>Oktober</t>
        </is>
      </c>
      <c r="C539" t="n">
        <v>10</v>
      </c>
      <c r="D539" t="inlineStr">
        <is>
          <t>T3</t>
        </is>
      </c>
      <c r="E539" t="inlineStr">
        <is>
          <t>Gjenstående budsjett</t>
        </is>
      </c>
      <c r="F539" t="inlineStr">
        <is>
          <t>Kommunal Boenhet</t>
        </is>
      </c>
      <c r="G539" t="n">
        <v>254</v>
      </c>
      <c r="H539" t="inlineStr">
        <is>
          <t>Helse og mestring</t>
        </is>
      </c>
      <c r="I539" t="inlineStr">
        <is>
          <t>2 Utgifter</t>
        </is>
      </c>
      <c r="J539" t="inlineStr">
        <is>
          <t>11 Refusjon lønn</t>
        </is>
      </c>
      <c r="K539" t="n">
        <v>1120</v>
      </c>
      <c r="L539" t="n">
        <v>112020</v>
      </c>
      <c r="M539" t="inlineStr">
        <is>
          <t>Plast og papir</t>
        </is>
      </c>
      <c r="N539" s="98" t="n">
        <v>0</v>
      </c>
      <c r="O539" s="98" t="n">
        <v>0</v>
      </c>
      <c r="P539" s="98" t="n">
        <v>0</v>
      </c>
      <c r="Q539" s="98" t="n">
        <v>0</v>
      </c>
    </row>
    <row r="540">
      <c r="A540" t="inlineStr">
        <is>
          <t>2024-11</t>
        </is>
      </c>
      <c r="B540" t="inlineStr">
        <is>
          <t>November</t>
        </is>
      </c>
      <c r="C540" t="n">
        <v>11</v>
      </c>
      <c r="D540" t="inlineStr">
        <is>
          <t>T3</t>
        </is>
      </c>
      <c r="E540" t="inlineStr">
        <is>
          <t>Gjenstående budsjett</t>
        </is>
      </c>
      <c r="F540" t="inlineStr">
        <is>
          <t>Kommunal Boenhet</t>
        </is>
      </c>
      <c r="G540" t="n">
        <v>254</v>
      </c>
      <c r="H540" t="inlineStr">
        <is>
          <t>Helse og mestring</t>
        </is>
      </c>
      <c r="I540" t="inlineStr">
        <is>
          <t>2 Utgifter</t>
        </is>
      </c>
      <c r="J540" t="inlineStr">
        <is>
          <t>11 Refusjon lønn</t>
        </is>
      </c>
      <c r="K540" t="n">
        <v>1120</v>
      </c>
      <c r="L540" t="n">
        <v>112020</v>
      </c>
      <c r="M540" t="inlineStr">
        <is>
          <t>Plast og papir</t>
        </is>
      </c>
      <c r="N540" s="98" t="n">
        <v>0</v>
      </c>
      <c r="O540" s="98" t="n">
        <v>0</v>
      </c>
      <c r="P540" s="98" t="n">
        <v>0</v>
      </c>
      <c r="Q540" s="98" t="n">
        <v>0</v>
      </c>
    </row>
    <row r="541">
      <c r="A541" t="inlineStr">
        <is>
          <t>2024-12</t>
        </is>
      </c>
      <c r="B541" t="inlineStr">
        <is>
          <t>Desember</t>
        </is>
      </c>
      <c r="C541" t="n">
        <v>12</v>
      </c>
      <c r="D541" t="inlineStr">
        <is>
          <t>T3</t>
        </is>
      </c>
      <c r="E541" t="inlineStr">
        <is>
          <t>Gjenstående budsjett</t>
        </is>
      </c>
      <c r="F541" t="inlineStr">
        <is>
          <t>Kommunal Boenhet</t>
        </is>
      </c>
      <c r="G541" t="n">
        <v>254</v>
      </c>
      <c r="H541" t="inlineStr">
        <is>
          <t>Helse og mestring</t>
        </is>
      </c>
      <c r="I541" t="inlineStr">
        <is>
          <t>2 Utgifter</t>
        </is>
      </c>
      <c r="J541" t="inlineStr">
        <is>
          <t>11 Refusjon lønn</t>
        </is>
      </c>
      <c r="K541" t="n">
        <v>1120</v>
      </c>
      <c r="L541" t="n">
        <v>112020</v>
      </c>
      <c r="M541" t="inlineStr">
        <is>
          <t>Plast og papir</t>
        </is>
      </c>
      <c r="N541" s="98" t="n">
        <v>0</v>
      </c>
      <c r="O541" s="98" t="n">
        <v>0</v>
      </c>
      <c r="P541" s="98" t="n">
        <v>0</v>
      </c>
      <c r="Q541" s="98" t="n">
        <v>0</v>
      </c>
    </row>
    <row r="542">
      <c r="A542" t="inlineStr">
        <is>
          <t>2024-01</t>
        </is>
      </c>
      <c r="B542" t="inlineStr">
        <is>
          <t>Januar</t>
        </is>
      </c>
      <c r="C542" t="n">
        <v>1</v>
      </c>
      <c r="D542" t="inlineStr">
        <is>
          <t>T1</t>
        </is>
      </c>
      <c r="E542" t="inlineStr">
        <is>
          <t>Bokført</t>
        </is>
      </c>
      <c r="F542" t="inlineStr">
        <is>
          <t>Kommunal Boenhet</t>
        </is>
      </c>
      <c r="G542" t="n">
        <v>254</v>
      </c>
      <c r="H542" t="inlineStr">
        <is>
          <t>Helse og mestring</t>
        </is>
      </c>
      <c r="I542" t="inlineStr">
        <is>
          <t>2 Utgifter</t>
        </is>
      </c>
      <c r="J542" t="inlineStr">
        <is>
          <t>11 Refusjon lønn</t>
        </is>
      </c>
      <c r="K542" t="n">
        <v>1120</v>
      </c>
      <c r="L542" t="n">
        <v>112021</v>
      </c>
      <c r="M542" t="inlineStr">
        <is>
          <t>Renholdsutstyr</t>
        </is>
      </c>
      <c r="N542" s="98" t="n">
        <v>1868</v>
      </c>
      <c r="O542" s="98" t="n">
        <v>805.51</v>
      </c>
      <c r="P542" s="98" t="n">
        <v>1062.49</v>
      </c>
      <c r="Q542" s="98" t="n">
        <v>-1062.49</v>
      </c>
    </row>
    <row r="543">
      <c r="A543" t="inlineStr">
        <is>
          <t>2024-02</t>
        </is>
      </c>
      <c r="B543" t="inlineStr">
        <is>
          <t>Februar</t>
        </is>
      </c>
      <c r="C543" t="n">
        <v>2</v>
      </c>
      <c r="D543" t="inlineStr">
        <is>
          <t>T1</t>
        </is>
      </c>
      <c r="E543" t="inlineStr">
        <is>
          <t>Bokført</t>
        </is>
      </c>
      <c r="F543" t="inlineStr">
        <is>
          <t>Kommunal Boenhet</t>
        </is>
      </c>
      <c r="G543" t="n">
        <v>254</v>
      </c>
      <c r="H543" t="inlineStr">
        <is>
          <t>Helse og mestring</t>
        </is>
      </c>
      <c r="I543" t="inlineStr">
        <is>
          <t>2 Utgifter</t>
        </is>
      </c>
      <c r="J543" t="inlineStr">
        <is>
          <t>11 Refusjon lønn</t>
        </is>
      </c>
      <c r="K543" t="n">
        <v>1120</v>
      </c>
      <c r="L543" t="n">
        <v>112021</v>
      </c>
      <c r="M543" t="inlineStr">
        <is>
          <t>Renholdsutstyr</t>
        </is>
      </c>
      <c r="N543" s="98" t="n">
        <v>1868</v>
      </c>
      <c r="O543" s="98" t="n">
        <v>0</v>
      </c>
      <c r="P543" s="98" t="n">
        <v>1868</v>
      </c>
      <c r="Q543" s="98" t="n">
        <v>-1868</v>
      </c>
    </row>
    <row r="544">
      <c r="A544" t="inlineStr">
        <is>
          <t>2024-03</t>
        </is>
      </c>
      <c r="B544" t="inlineStr">
        <is>
          <t>Mars</t>
        </is>
      </c>
      <c r="C544" t="n">
        <v>3</v>
      </c>
      <c r="D544" t="inlineStr">
        <is>
          <t>T1</t>
        </is>
      </c>
      <c r="E544" t="inlineStr">
        <is>
          <t>Bokført</t>
        </is>
      </c>
      <c r="F544" t="inlineStr">
        <is>
          <t>Kommunal Boenhet</t>
        </is>
      </c>
      <c r="G544" t="n">
        <v>254</v>
      </c>
      <c r="H544" t="inlineStr">
        <is>
          <t>Helse og mestring</t>
        </is>
      </c>
      <c r="I544" t="inlineStr">
        <is>
          <t>2 Utgifter</t>
        </is>
      </c>
      <c r="J544" t="inlineStr">
        <is>
          <t>11 Refusjon lønn</t>
        </is>
      </c>
      <c r="K544" t="n">
        <v>1120</v>
      </c>
      <c r="L544" t="n">
        <v>112021</v>
      </c>
      <c r="M544" t="inlineStr">
        <is>
          <t>Renholdsutstyr</t>
        </is>
      </c>
      <c r="N544" s="98" t="n">
        <v>1868</v>
      </c>
      <c r="O544" s="98" t="n">
        <v>0</v>
      </c>
      <c r="P544" s="98" t="n">
        <v>1868</v>
      </c>
      <c r="Q544" s="98" t="n">
        <v>-1868</v>
      </c>
    </row>
    <row r="545">
      <c r="A545" t="inlineStr">
        <is>
          <t>2024-04</t>
        </is>
      </c>
      <c r="B545" t="inlineStr">
        <is>
          <t>April</t>
        </is>
      </c>
      <c r="C545" t="n">
        <v>4</v>
      </c>
      <c r="D545" t="inlineStr">
        <is>
          <t>T1</t>
        </is>
      </c>
      <c r="E545" t="inlineStr">
        <is>
          <t>Bokført</t>
        </is>
      </c>
      <c r="F545" t="inlineStr">
        <is>
          <t>Kommunal Boenhet</t>
        </is>
      </c>
      <c r="G545" t="n">
        <v>254</v>
      </c>
      <c r="H545" t="inlineStr">
        <is>
          <t>Helse og mestring</t>
        </is>
      </c>
      <c r="I545" t="inlineStr">
        <is>
          <t>2 Utgifter</t>
        </is>
      </c>
      <c r="J545" t="inlineStr">
        <is>
          <t>11 Refusjon lønn</t>
        </is>
      </c>
      <c r="K545" t="n">
        <v>1120</v>
      </c>
      <c r="L545" t="n">
        <v>112021</v>
      </c>
      <c r="M545" t="inlineStr">
        <is>
          <t>Renholdsutstyr</t>
        </is>
      </c>
      <c r="N545" s="98" t="n">
        <v>1868</v>
      </c>
      <c r="O545" s="98" t="n">
        <v>5108.25</v>
      </c>
      <c r="P545" s="98" t="n">
        <v>-3240.25</v>
      </c>
      <c r="Q545" s="98" t="n">
        <v>3240.25</v>
      </c>
    </row>
    <row r="546">
      <c r="A546" t="inlineStr">
        <is>
          <t>2024-05</t>
        </is>
      </c>
      <c r="B546" t="inlineStr">
        <is>
          <t>Mai</t>
        </is>
      </c>
      <c r="C546" t="n">
        <v>5</v>
      </c>
      <c r="D546" t="inlineStr">
        <is>
          <t>T2</t>
        </is>
      </c>
      <c r="E546" t="inlineStr">
        <is>
          <t>Bokført</t>
        </is>
      </c>
      <c r="F546" t="inlineStr">
        <is>
          <t>Kommunal Boenhet</t>
        </is>
      </c>
      <c r="G546" t="n">
        <v>254</v>
      </c>
      <c r="H546" t="inlineStr">
        <is>
          <t>Helse og mestring</t>
        </is>
      </c>
      <c r="I546" t="inlineStr">
        <is>
          <t>2 Utgifter</t>
        </is>
      </c>
      <c r="J546" t="inlineStr">
        <is>
          <t>11 Refusjon lønn</t>
        </is>
      </c>
      <c r="K546" t="n">
        <v>1120</v>
      </c>
      <c r="L546" t="n">
        <v>112021</v>
      </c>
      <c r="M546" t="inlineStr">
        <is>
          <t>Renholdsutstyr</t>
        </is>
      </c>
      <c r="N546" s="98" t="n">
        <v>1868</v>
      </c>
      <c r="O546" s="98" t="n">
        <v>1999.8</v>
      </c>
      <c r="P546" s="98" t="n">
        <v>-131.8</v>
      </c>
      <c r="Q546" s="98" t="n">
        <v>131.8</v>
      </c>
    </row>
    <row r="547">
      <c r="A547" t="inlineStr">
        <is>
          <t>2024-06</t>
        </is>
      </c>
      <c r="B547" t="inlineStr">
        <is>
          <t>Juni</t>
        </is>
      </c>
      <c r="C547" t="n">
        <v>6</v>
      </c>
      <c r="D547" t="inlineStr">
        <is>
          <t>T2</t>
        </is>
      </c>
      <c r="E547" t="inlineStr">
        <is>
          <t>Bokført</t>
        </is>
      </c>
      <c r="F547" t="inlineStr">
        <is>
          <t>Kommunal Boenhet</t>
        </is>
      </c>
      <c r="G547" t="n">
        <v>254</v>
      </c>
      <c r="H547" t="inlineStr">
        <is>
          <t>Helse og mestring</t>
        </is>
      </c>
      <c r="I547" t="inlineStr">
        <is>
          <t>2 Utgifter</t>
        </is>
      </c>
      <c r="J547" t="inlineStr">
        <is>
          <t>11 Refusjon lønn</t>
        </is>
      </c>
      <c r="K547" t="n">
        <v>1120</v>
      </c>
      <c r="L547" t="n">
        <v>112021</v>
      </c>
      <c r="M547" t="inlineStr">
        <is>
          <t>Renholdsutstyr</t>
        </is>
      </c>
      <c r="N547" s="98" t="n">
        <v>1868</v>
      </c>
      <c r="O547" s="98" t="n">
        <v>2043.3</v>
      </c>
      <c r="P547" s="98" t="n">
        <v>-175.3</v>
      </c>
      <c r="Q547" s="98" t="n">
        <v>175.3</v>
      </c>
    </row>
    <row r="548">
      <c r="A548" t="inlineStr">
        <is>
          <t>2024-07</t>
        </is>
      </c>
      <c r="B548" t="inlineStr">
        <is>
          <t>Juli</t>
        </is>
      </c>
      <c r="C548" t="n">
        <v>7</v>
      </c>
      <c r="D548" t="inlineStr">
        <is>
          <t>T2</t>
        </is>
      </c>
      <c r="E548" t="inlineStr">
        <is>
          <t>Bokført</t>
        </is>
      </c>
      <c r="F548" t="inlineStr">
        <is>
          <t>Kommunal Boenhet</t>
        </is>
      </c>
      <c r="G548" t="n">
        <v>254</v>
      </c>
      <c r="H548" t="inlineStr">
        <is>
          <t>Helse og mestring</t>
        </is>
      </c>
      <c r="I548" t="inlineStr">
        <is>
          <t>2 Utgifter</t>
        </is>
      </c>
      <c r="J548" t="inlineStr">
        <is>
          <t>11 Refusjon lønn</t>
        </is>
      </c>
      <c r="K548" t="n">
        <v>1120</v>
      </c>
      <c r="L548" t="n">
        <v>112021</v>
      </c>
      <c r="M548" t="inlineStr">
        <is>
          <t>Renholdsutstyr</t>
        </is>
      </c>
      <c r="N548" s="98" t="n">
        <v>1868</v>
      </c>
      <c r="O548" s="98" t="n">
        <v>0</v>
      </c>
      <c r="P548" s="98" t="n">
        <v>1868</v>
      </c>
      <c r="Q548" s="98" t="n">
        <v>-1868</v>
      </c>
    </row>
    <row r="549">
      <c r="A549" t="inlineStr">
        <is>
          <t>2024-08</t>
        </is>
      </c>
      <c r="B549" t="inlineStr">
        <is>
          <t>August</t>
        </is>
      </c>
      <c r="C549" t="n">
        <v>8</v>
      </c>
      <c r="D549" t="inlineStr">
        <is>
          <t>T2</t>
        </is>
      </c>
      <c r="E549" t="inlineStr">
        <is>
          <t>Bokført</t>
        </is>
      </c>
      <c r="F549" t="inlineStr">
        <is>
          <t>Kommunal Boenhet</t>
        </is>
      </c>
      <c r="G549" t="n">
        <v>254</v>
      </c>
      <c r="H549" t="inlineStr">
        <is>
          <t>Helse og mestring</t>
        </is>
      </c>
      <c r="I549" t="inlineStr">
        <is>
          <t>2 Utgifter</t>
        </is>
      </c>
      <c r="J549" t="inlineStr">
        <is>
          <t>11 Refusjon lønn</t>
        </is>
      </c>
      <c r="K549" t="n">
        <v>1120</v>
      </c>
      <c r="L549" t="n">
        <v>112021</v>
      </c>
      <c r="M549" t="inlineStr">
        <is>
          <t>Renholdsutstyr</t>
        </is>
      </c>
      <c r="N549" s="98" t="n">
        <v>1868</v>
      </c>
      <c r="O549" s="98" t="n">
        <v>0</v>
      </c>
      <c r="P549" s="98" t="n">
        <v>1868</v>
      </c>
      <c r="Q549" s="98" t="n">
        <v>-1868</v>
      </c>
    </row>
    <row r="550">
      <c r="A550" t="inlineStr">
        <is>
          <t>2024-09</t>
        </is>
      </c>
      <c r="B550" t="inlineStr">
        <is>
          <t>September</t>
        </is>
      </c>
      <c r="C550" t="n">
        <v>9</v>
      </c>
      <c r="D550" t="inlineStr">
        <is>
          <t>T3</t>
        </is>
      </c>
      <c r="E550" t="inlineStr">
        <is>
          <t>Gjenstående budsjett</t>
        </is>
      </c>
      <c r="F550" t="inlineStr">
        <is>
          <t>Kommunal Boenhet</t>
        </is>
      </c>
      <c r="G550" t="n">
        <v>254</v>
      </c>
      <c r="H550" t="inlineStr">
        <is>
          <t>Helse og mestring</t>
        </is>
      </c>
      <c r="I550" t="inlineStr">
        <is>
          <t>2 Utgifter</t>
        </is>
      </c>
      <c r="J550" t="inlineStr">
        <is>
          <t>11 Refusjon lønn</t>
        </is>
      </c>
      <c r="K550" t="n">
        <v>1120</v>
      </c>
      <c r="L550" t="n">
        <v>112021</v>
      </c>
      <c r="M550" t="inlineStr">
        <is>
          <t>Renholdsutstyr</t>
        </is>
      </c>
      <c r="N550" s="98" t="n">
        <v>1868</v>
      </c>
      <c r="O550" s="98" t="n">
        <v>0</v>
      </c>
      <c r="P550" s="98" t="n">
        <v>0</v>
      </c>
      <c r="Q550" s="98" t="n">
        <v>-1868</v>
      </c>
    </row>
    <row r="551">
      <c r="A551" t="inlineStr">
        <is>
          <t>2024-10</t>
        </is>
      </c>
      <c r="B551" t="inlineStr">
        <is>
          <t>Oktober</t>
        </is>
      </c>
      <c r="C551" t="n">
        <v>10</v>
      </c>
      <c r="D551" t="inlineStr">
        <is>
          <t>T3</t>
        </is>
      </c>
      <c r="E551" t="inlineStr">
        <is>
          <t>Gjenstående budsjett</t>
        </is>
      </c>
      <c r="F551" t="inlineStr">
        <is>
          <t>Kommunal Boenhet</t>
        </is>
      </c>
      <c r="G551" t="n">
        <v>254</v>
      </c>
      <c r="H551" t="inlineStr">
        <is>
          <t>Helse og mestring</t>
        </is>
      </c>
      <c r="I551" t="inlineStr">
        <is>
          <t>2 Utgifter</t>
        </is>
      </c>
      <c r="J551" t="inlineStr">
        <is>
          <t>11 Refusjon lønn</t>
        </is>
      </c>
      <c r="K551" t="n">
        <v>1120</v>
      </c>
      <c r="L551" t="n">
        <v>112021</v>
      </c>
      <c r="M551" t="inlineStr">
        <is>
          <t>Renholdsutstyr</t>
        </is>
      </c>
      <c r="N551" s="98" t="n">
        <v>1868</v>
      </c>
      <c r="O551" s="98" t="n">
        <v>0</v>
      </c>
      <c r="P551" s="98" t="n">
        <v>0</v>
      </c>
      <c r="Q551" s="98" t="n">
        <v>-1868</v>
      </c>
    </row>
    <row r="552">
      <c r="A552" t="inlineStr">
        <is>
          <t>2024-11</t>
        </is>
      </c>
      <c r="B552" t="inlineStr">
        <is>
          <t>November</t>
        </is>
      </c>
      <c r="C552" t="n">
        <v>11</v>
      </c>
      <c r="D552" t="inlineStr">
        <is>
          <t>T3</t>
        </is>
      </c>
      <c r="E552" t="inlineStr">
        <is>
          <t>Gjenstående budsjett</t>
        </is>
      </c>
      <c r="F552" t="inlineStr">
        <is>
          <t>Kommunal Boenhet</t>
        </is>
      </c>
      <c r="G552" t="n">
        <v>254</v>
      </c>
      <c r="H552" t="inlineStr">
        <is>
          <t>Helse og mestring</t>
        </is>
      </c>
      <c r="I552" t="inlineStr">
        <is>
          <t>2 Utgifter</t>
        </is>
      </c>
      <c r="J552" t="inlineStr">
        <is>
          <t>11 Refusjon lønn</t>
        </is>
      </c>
      <c r="K552" t="n">
        <v>1120</v>
      </c>
      <c r="L552" t="n">
        <v>112021</v>
      </c>
      <c r="M552" t="inlineStr">
        <is>
          <t>Renholdsutstyr</t>
        </is>
      </c>
      <c r="N552" s="98" t="n">
        <v>1868</v>
      </c>
      <c r="O552" s="98" t="n">
        <v>0</v>
      </c>
      <c r="P552" s="98" t="n">
        <v>0</v>
      </c>
      <c r="Q552" s="98" t="n">
        <v>-1868</v>
      </c>
    </row>
    <row r="553">
      <c r="A553" t="inlineStr">
        <is>
          <t>2024-12</t>
        </is>
      </c>
      <c r="B553" t="inlineStr">
        <is>
          <t>Desember</t>
        </is>
      </c>
      <c r="C553" t="n">
        <v>12</v>
      </c>
      <c r="D553" t="inlineStr">
        <is>
          <t>T3</t>
        </is>
      </c>
      <c r="E553" t="inlineStr">
        <is>
          <t>Gjenstående budsjett</t>
        </is>
      </c>
      <c r="F553" t="inlineStr">
        <is>
          <t>Kommunal Boenhet</t>
        </is>
      </c>
      <c r="G553" t="n">
        <v>254</v>
      </c>
      <c r="H553" t="inlineStr">
        <is>
          <t>Helse og mestring</t>
        </is>
      </c>
      <c r="I553" t="inlineStr">
        <is>
          <t>2 Utgifter</t>
        </is>
      </c>
      <c r="J553" t="inlineStr">
        <is>
          <t>11 Refusjon lønn</t>
        </is>
      </c>
      <c r="K553" t="n">
        <v>1120</v>
      </c>
      <c r="L553" t="n">
        <v>112021</v>
      </c>
      <c r="M553" t="inlineStr">
        <is>
          <t>Renholdsutstyr</t>
        </is>
      </c>
      <c r="N553" s="98" t="n">
        <v>1452</v>
      </c>
      <c r="O553" s="98" t="n">
        <v>0</v>
      </c>
      <c r="P553" s="98" t="n">
        <v>0</v>
      </c>
      <c r="Q553" s="98" t="n">
        <v>-1452</v>
      </c>
    </row>
    <row r="554">
      <c r="A554" t="inlineStr">
        <is>
          <t>2024-01</t>
        </is>
      </c>
      <c r="B554" t="inlineStr">
        <is>
          <t>Januar</t>
        </is>
      </c>
      <c r="C554" t="n">
        <v>1</v>
      </c>
      <c r="D554" t="inlineStr">
        <is>
          <t>T1</t>
        </is>
      </c>
      <c r="E554" t="inlineStr">
        <is>
          <t>Bokført</t>
        </is>
      </c>
      <c r="F554" t="inlineStr">
        <is>
          <t>Kommunal Boenhet</t>
        </is>
      </c>
      <c r="G554" t="n">
        <v>254</v>
      </c>
      <c r="H554" t="inlineStr">
        <is>
          <t>Helse og mestring</t>
        </is>
      </c>
      <c r="I554" t="inlineStr">
        <is>
          <t>2 Utgifter</t>
        </is>
      </c>
      <c r="J554" t="inlineStr">
        <is>
          <t>11 Refusjon lønn</t>
        </is>
      </c>
      <c r="K554" t="n">
        <v>1120</v>
      </c>
      <c r="L554" t="n">
        <v>112022</v>
      </c>
      <c r="M554" t="inlineStr">
        <is>
          <t>Rengjøringsmidler</t>
        </is>
      </c>
      <c r="N554" s="98" t="n">
        <v>850</v>
      </c>
      <c r="O554" s="98" t="n">
        <v>7132.57</v>
      </c>
      <c r="P554" s="98" t="n">
        <v>-6282.57</v>
      </c>
      <c r="Q554" s="98" t="n">
        <v>6282.57</v>
      </c>
    </row>
    <row r="555">
      <c r="A555" t="inlineStr">
        <is>
          <t>2024-02</t>
        </is>
      </c>
      <c r="B555" t="inlineStr">
        <is>
          <t>Februar</t>
        </is>
      </c>
      <c r="C555" t="n">
        <v>2</v>
      </c>
      <c r="D555" t="inlineStr">
        <is>
          <t>T1</t>
        </is>
      </c>
      <c r="E555" t="inlineStr">
        <is>
          <t>Bokført</t>
        </is>
      </c>
      <c r="F555" t="inlineStr">
        <is>
          <t>Kommunal Boenhet</t>
        </is>
      </c>
      <c r="G555" t="n">
        <v>254</v>
      </c>
      <c r="H555" t="inlineStr">
        <is>
          <t>Helse og mestring</t>
        </is>
      </c>
      <c r="I555" t="inlineStr">
        <is>
          <t>2 Utgifter</t>
        </is>
      </c>
      <c r="J555" t="inlineStr">
        <is>
          <t>11 Refusjon lønn</t>
        </is>
      </c>
      <c r="K555" t="n">
        <v>1120</v>
      </c>
      <c r="L555" t="n">
        <v>112022</v>
      </c>
      <c r="M555" t="inlineStr">
        <is>
          <t>Rengjøringsmidler</t>
        </is>
      </c>
      <c r="N555" s="98" t="n">
        <v>850</v>
      </c>
      <c r="O555" s="98" t="n">
        <v>0</v>
      </c>
      <c r="P555" s="98" t="n">
        <v>850</v>
      </c>
      <c r="Q555" s="98" t="n">
        <v>-850</v>
      </c>
    </row>
    <row r="556">
      <c r="A556" t="inlineStr">
        <is>
          <t>2024-03</t>
        </is>
      </c>
      <c r="B556" t="inlineStr">
        <is>
          <t>Mars</t>
        </is>
      </c>
      <c r="C556" t="n">
        <v>3</v>
      </c>
      <c r="D556" t="inlineStr">
        <is>
          <t>T1</t>
        </is>
      </c>
      <c r="E556" t="inlineStr">
        <is>
          <t>Bokført</t>
        </is>
      </c>
      <c r="F556" t="inlineStr">
        <is>
          <t>Kommunal Boenhet</t>
        </is>
      </c>
      <c r="G556" t="n">
        <v>254</v>
      </c>
      <c r="H556" t="inlineStr">
        <is>
          <t>Helse og mestring</t>
        </is>
      </c>
      <c r="I556" t="inlineStr">
        <is>
          <t>2 Utgifter</t>
        </is>
      </c>
      <c r="J556" t="inlineStr">
        <is>
          <t>11 Refusjon lønn</t>
        </is>
      </c>
      <c r="K556" t="n">
        <v>1120</v>
      </c>
      <c r="L556" t="n">
        <v>112022</v>
      </c>
      <c r="M556" t="inlineStr">
        <is>
          <t>Rengjøringsmidler</t>
        </is>
      </c>
      <c r="N556" s="98" t="n">
        <v>850</v>
      </c>
      <c r="O556" s="98" t="n">
        <v>0</v>
      </c>
      <c r="P556" s="98" t="n">
        <v>850</v>
      </c>
      <c r="Q556" s="98" t="n">
        <v>-850</v>
      </c>
    </row>
    <row r="557">
      <c r="A557" t="inlineStr">
        <is>
          <t>2024-04</t>
        </is>
      </c>
      <c r="B557" t="inlineStr">
        <is>
          <t>April</t>
        </is>
      </c>
      <c r="C557" t="n">
        <v>4</v>
      </c>
      <c r="D557" t="inlineStr">
        <is>
          <t>T1</t>
        </is>
      </c>
      <c r="E557" t="inlineStr">
        <is>
          <t>Bokført</t>
        </is>
      </c>
      <c r="F557" t="inlineStr">
        <is>
          <t>Kommunal Boenhet</t>
        </is>
      </c>
      <c r="G557" t="n">
        <v>254</v>
      </c>
      <c r="H557" t="inlineStr">
        <is>
          <t>Helse og mestring</t>
        </is>
      </c>
      <c r="I557" t="inlineStr">
        <is>
          <t>2 Utgifter</t>
        </is>
      </c>
      <c r="J557" t="inlineStr">
        <is>
          <t>11 Refusjon lønn</t>
        </is>
      </c>
      <c r="K557" t="n">
        <v>1120</v>
      </c>
      <c r="L557" t="n">
        <v>112022</v>
      </c>
      <c r="M557" t="inlineStr">
        <is>
          <t>Rengjøringsmidler</t>
        </is>
      </c>
      <c r="N557" s="98" t="n">
        <v>850</v>
      </c>
      <c r="O557" s="98" t="n">
        <v>0</v>
      </c>
      <c r="P557" s="98" t="n">
        <v>850</v>
      </c>
      <c r="Q557" s="98" t="n">
        <v>-850</v>
      </c>
    </row>
    <row r="558">
      <c r="A558" t="inlineStr">
        <is>
          <t>2024-05</t>
        </is>
      </c>
      <c r="B558" t="inlineStr">
        <is>
          <t>Mai</t>
        </is>
      </c>
      <c r="C558" t="n">
        <v>5</v>
      </c>
      <c r="D558" t="inlineStr">
        <is>
          <t>T2</t>
        </is>
      </c>
      <c r="E558" t="inlineStr">
        <is>
          <t>Bokført</t>
        </is>
      </c>
      <c r="F558" t="inlineStr">
        <is>
          <t>Kommunal Boenhet</t>
        </is>
      </c>
      <c r="G558" t="n">
        <v>254</v>
      </c>
      <c r="H558" t="inlineStr">
        <is>
          <t>Helse og mestring</t>
        </is>
      </c>
      <c r="I558" t="inlineStr">
        <is>
          <t>2 Utgifter</t>
        </is>
      </c>
      <c r="J558" t="inlineStr">
        <is>
          <t>11 Refusjon lønn</t>
        </is>
      </c>
      <c r="K558" t="n">
        <v>1120</v>
      </c>
      <c r="L558" t="n">
        <v>112022</v>
      </c>
      <c r="M558" t="inlineStr">
        <is>
          <t>Rengjøringsmidler</t>
        </is>
      </c>
      <c r="N558" s="98" t="n">
        <v>850</v>
      </c>
      <c r="O558" s="98" t="n">
        <v>0</v>
      </c>
      <c r="P558" s="98" t="n">
        <v>850</v>
      </c>
      <c r="Q558" s="98" t="n">
        <v>-850</v>
      </c>
    </row>
    <row r="559">
      <c r="A559" t="inlineStr">
        <is>
          <t>2024-06</t>
        </is>
      </c>
      <c r="B559" t="inlineStr">
        <is>
          <t>Juni</t>
        </is>
      </c>
      <c r="C559" t="n">
        <v>6</v>
      </c>
      <c r="D559" t="inlineStr">
        <is>
          <t>T2</t>
        </is>
      </c>
      <c r="E559" t="inlineStr">
        <is>
          <t>Bokført</t>
        </is>
      </c>
      <c r="F559" t="inlineStr">
        <is>
          <t>Kommunal Boenhet</t>
        </is>
      </c>
      <c r="G559" t="n">
        <v>254</v>
      </c>
      <c r="H559" t="inlineStr">
        <is>
          <t>Helse og mestring</t>
        </is>
      </c>
      <c r="I559" t="inlineStr">
        <is>
          <t>2 Utgifter</t>
        </is>
      </c>
      <c r="J559" t="inlineStr">
        <is>
          <t>11 Refusjon lønn</t>
        </is>
      </c>
      <c r="K559" t="n">
        <v>1120</v>
      </c>
      <c r="L559" t="n">
        <v>112022</v>
      </c>
      <c r="M559" t="inlineStr">
        <is>
          <t>Rengjøringsmidler</t>
        </is>
      </c>
      <c r="N559" s="98" t="n">
        <v>850</v>
      </c>
      <c r="O559" s="98" t="n">
        <v>0</v>
      </c>
      <c r="P559" s="98" t="n">
        <v>850</v>
      </c>
      <c r="Q559" s="98" t="n">
        <v>-850</v>
      </c>
    </row>
    <row r="560">
      <c r="A560" t="inlineStr">
        <is>
          <t>2024-07</t>
        </is>
      </c>
      <c r="B560" t="inlineStr">
        <is>
          <t>Juli</t>
        </is>
      </c>
      <c r="C560" t="n">
        <v>7</v>
      </c>
      <c r="D560" t="inlineStr">
        <is>
          <t>T2</t>
        </is>
      </c>
      <c r="E560" t="inlineStr">
        <is>
          <t>Bokført</t>
        </is>
      </c>
      <c r="F560" t="inlineStr">
        <is>
          <t>Kommunal Boenhet</t>
        </is>
      </c>
      <c r="G560" t="n">
        <v>254</v>
      </c>
      <c r="H560" t="inlineStr">
        <is>
          <t>Helse og mestring</t>
        </is>
      </c>
      <c r="I560" t="inlineStr">
        <is>
          <t>2 Utgifter</t>
        </is>
      </c>
      <c r="J560" t="inlineStr">
        <is>
          <t>11 Refusjon lønn</t>
        </is>
      </c>
      <c r="K560" t="n">
        <v>1120</v>
      </c>
      <c r="L560" t="n">
        <v>112022</v>
      </c>
      <c r="M560" t="inlineStr">
        <is>
          <t>Rengjøringsmidler</t>
        </is>
      </c>
      <c r="N560" s="98" t="n">
        <v>850</v>
      </c>
      <c r="O560" s="98" t="n">
        <v>0</v>
      </c>
      <c r="P560" s="98" t="n">
        <v>850</v>
      </c>
      <c r="Q560" s="98" t="n">
        <v>-850</v>
      </c>
    </row>
    <row r="561">
      <c r="A561" t="inlineStr">
        <is>
          <t>2024-08</t>
        </is>
      </c>
      <c r="B561" t="inlineStr">
        <is>
          <t>August</t>
        </is>
      </c>
      <c r="C561" t="n">
        <v>8</v>
      </c>
      <c r="D561" t="inlineStr">
        <is>
          <t>T2</t>
        </is>
      </c>
      <c r="E561" t="inlineStr">
        <is>
          <t>Bokført</t>
        </is>
      </c>
      <c r="F561" t="inlineStr">
        <is>
          <t>Kommunal Boenhet</t>
        </is>
      </c>
      <c r="G561" t="n">
        <v>254</v>
      </c>
      <c r="H561" t="inlineStr">
        <is>
          <t>Helse og mestring</t>
        </is>
      </c>
      <c r="I561" t="inlineStr">
        <is>
          <t>2 Utgifter</t>
        </is>
      </c>
      <c r="J561" t="inlineStr">
        <is>
          <t>11 Refusjon lønn</t>
        </is>
      </c>
      <c r="K561" t="n">
        <v>1120</v>
      </c>
      <c r="L561" t="n">
        <v>112022</v>
      </c>
      <c r="M561" t="inlineStr">
        <is>
          <t>Rengjøringsmidler</t>
        </is>
      </c>
      <c r="N561" s="98" t="n">
        <v>850</v>
      </c>
      <c r="O561" s="98" t="n">
        <v>0</v>
      </c>
      <c r="P561" s="98" t="n">
        <v>850</v>
      </c>
      <c r="Q561" s="98" t="n">
        <v>-850</v>
      </c>
    </row>
    <row r="562">
      <c r="A562" t="inlineStr">
        <is>
          <t>2024-09</t>
        </is>
      </c>
      <c r="B562" t="inlineStr">
        <is>
          <t>September</t>
        </is>
      </c>
      <c r="C562" t="n">
        <v>9</v>
      </c>
      <c r="D562" t="inlineStr">
        <is>
          <t>T3</t>
        </is>
      </c>
      <c r="E562" t="inlineStr">
        <is>
          <t>Gjenstående budsjett</t>
        </is>
      </c>
      <c r="F562" t="inlineStr">
        <is>
          <t>Kommunal Boenhet</t>
        </is>
      </c>
      <c r="G562" t="n">
        <v>254</v>
      </c>
      <c r="H562" t="inlineStr">
        <is>
          <t>Helse og mestring</t>
        </is>
      </c>
      <c r="I562" t="inlineStr">
        <is>
          <t>2 Utgifter</t>
        </is>
      </c>
      <c r="J562" t="inlineStr">
        <is>
          <t>11 Refusjon lønn</t>
        </is>
      </c>
      <c r="K562" t="n">
        <v>1120</v>
      </c>
      <c r="L562" t="n">
        <v>112022</v>
      </c>
      <c r="M562" t="inlineStr">
        <is>
          <t>Rengjøringsmidler</t>
        </is>
      </c>
      <c r="N562" s="98" t="n">
        <v>850</v>
      </c>
      <c r="O562" s="98" t="n">
        <v>0</v>
      </c>
      <c r="P562" s="98" t="n">
        <v>0</v>
      </c>
      <c r="Q562" s="98" t="n">
        <v>-850</v>
      </c>
    </row>
    <row r="563">
      <c r="A563" t="inlineStr">
        <is>
          <t>2024-10</t>
        </is>
      </c>
      <c r="B563" t="inlineStr">
        <is>
          <t>Oktober</t>
        </is>
      </c>
      <c r="C563" t="n">
        <v>10</v>
      </c>
      <c r="D563" t="inlineStr">
        <is>
          <t>T3</t>
        </is>
      </c>
      <c r="E563" t="inlineStr">
        <is>
          <t>Gjenstående budsjett</t>
        </is>
      </c>
      <c r="F563" t="inlineStr">
        <is>
          <t>Kommunal Boenhet</t>
        </is>
      </c>
      <c r="G563" t="n">
        <v>254</v>
      </c>
      <c r="H563" t="inlineStr">
        <is>
          <t>Helse og mestring</t>
        </is>
      </c>
      <c r="I563" t="inlineStr">
        <is>
          <t>2 Utgifter</t>
        </is>
      </c>
      <c r="J563" t="inlineStr">
        <is>
          <t>11 Refusjon lønn</t>
        </is>
      </c>
      <c r="K563" t="n">
        <v>1120</v>
      </c>
      <c r="L563" t="n">
        <v>112022</v>
      </c>
      <c r="M563" t="inlineStr">
        <is>
          <t>Rengjøringsmidler</t>
        </is>
      </c>
      <c r="N563" s="98" t="n">
        <v>850</v>
      </c>
      <c r="O563" s="98" t="n">
        <v>0</v>
      </c>
      <c r="P563" s="98" t="n">
        <v>0</v>
      </c>
      <c r="Q563" s="98" t="n">
        <v>-850</v>
      </c>
    </row>
    <row r="564">
      <c r="A564" t="inlineStr">
        <is>
          <t>2024-11</t>
        </is>
      </c>
      <c r="B564" t="inlineStr">
        <is>
          <t>November</t>
        </is>
      </c>
      <c r="C564" t="n">
        <v>11</v>
      </c>
      <c r="D564" t="inlineStr">
        <is>
          <t>T3</t>
        </is>
      </c>
      <c r="E564" t="inlineStr">
        <is>
          <t>Gjenstående budsjett</t>
        </is>
      </c>
      <c r="F564" t="inlineStr">
        <is>
          <t>Kommunal Boenhet</t>
        </is>
      </c>
      <c r="G564" t="n">
        <v>254</v>
      </c>
      <c r="H564" t="inlineStr">
        <is>
          <t>Helse og mestring</t>
        </is>
      </c>
      <c r="I564" t="inlineStr">
        <is>
          <t>2 Utgifter</t>
        </is>
      </c>
      <c r="J564" t="inlineStr">
        <is>
          <t>11 Refusjon lønn</t>
        </is>
      </c>
      <c r="K564" t="n">
        <v>1120</v>
      </c>
      <c r="L564" t="n">
        <v>112022</v>
      </c>
      <c r="M564" t="inlineStr">
        <is>
          <t>Rengjøringsmidler</t>
        </is>
      </c>
      <c r="N564" s="98" t="n">
        <v>850</v>
      </c>
      <c r="O564" s="98" t="n">
        <v>0</v>
      </c>
      <c r="P564" s="98" t="n">
        <v>0</v>
      </c>
      <c r="Q564" s="98" t="n">
        <v>-850</v>
      </c>
    </row>
    <row r="565">
      <c r="A565" t="inlineStr">
        <is>
          <t>2024-12</t>
        </is>
      </c>
      <c r="B565" t="inlineStr">
        <is>
          <t>Desember</t>
        </is>
      </c>
      <c r="C565" t="n">
        <v>12</v>
      </c>
      <c r="D565" t="inlineStr">
        <is>
          <t>T3</t>
        </is>
      </c>
      <c r="E565" t="inlineStr">
        <is>
          <t>Gjenstående budsjett</t>
        </is>
      </c>
      <c r="F565" t="inlineStr">
        <is>
          <t>Kommunal Boenhet</t>
        </is>
      </c>
      <c r="G565" t="n">
        <v>254</v>
      </c>
      <c r="H565" t="inlineStr">
        <is>
          <t>Helse og mestring</t>
        </is>
      </c>
      <c r="I565" t="inlineStr">
        <is>
          <t>2 Utgifter</t>
        </is>
      </c>
      <c r="J565" t="inlineStr">
        <is>
          <t>11 Refusjon lønn</t>
        </is>
      </c>
      <c r="K565" t="n">
        <v>1120</v>
      </c>
      <c r="L565" t="n">
        <v>112022</v>
      </c>
      <c r="M565" t="inlineStr">
        <is>
          <t>Rengjøringsmidler</t>
        </is>
      </c>
      <c r="N565" s="98" t="n">
        <v>650</v>
      </c>
      <c r="O565" s="98" t="n">
        <v>0</v>
      </c>
      <c r="P565" s="98" t="n">
        <v>0</v>
      </c>
      <c r="Q565" s="98" t="n">
        <v>-650</v>
      </c>
    </row>
    <row r="566">
      <c r="A566" t="inlineStr">
        <is>
          <t>2024-01</t>
        </is>
      </c>
      <c r="B566" t="inlineStr">
        <is>
          <t>Januar</t>
        </is>
      </c>
      <c r="C566" t="n">
        <v>1</v>
      </c>
      <c r="D566" t="inlineStr">
        <is>
          <t>T1</t>
        </is>
      </c>
      <c r="E566" t="inlineStr">
        <is>
          <t>Bokført</t>
        </is>
      </c>
      <c r="F566" t="inlineStr">
        <is>
          <t>Kommunal Boenhet</t>
        </is>
      </c>
      <c r="G566" t="n">
        <v>254</v>
      </c>
      <c r="H566" t="inlineStr">
        <is>
          <t>Helse og mestring</t>
        </is>
      </c>
      <c r="I566" t="inlineStr">
        <is>
          <t>2 Utgifter</t>
        </is>
      </c>
      <c r="J566" t="inlineStr">
        <is>
          <t>11 Refusjon lønn</t>
        </is>
      </c>
      <c r="K566" t="n">
        <v>1120</v>
      </c>
      <c r="L566" t="n">
        <v>112024</v>
      </c>
      <c r="M566" t="inlineStr">
        <is>
          <t>Tekstiler og gardiner</t>
        </is>
      </c>
      <c r="N566" s="98" t="n">
        <v>0</v>
      </c>
      <c r="O566" s="98" t="n">
        <v>0</v>
      </c>
      <c r="P566" s="98" t="n">
        <v>0</v>
      </c>
      <c r="Q566" s="98" t="n">
        <v>0</v>
      </c>
    </row>
    <row r="567">
      <c r="A567" t="inlineStr">
        <is>
          <t>2024-02</t>
        </is>
      </c>
      <c r="B567" t="inlineStr">
        <is>
          <t>Februar</t>
        </is>
      </c>
      <c r="C567" t="n">
        <v>2</v>
      </c>
      <c r="D567" t="inlineStr">
        <is>
          <t>T1</t>
        </is>
      </c>
      <c r="E567" t="inlineStr">
        <is>
          <t>Bokført</t>
        </is>
      </c>
      <c r="F567" t="inlineStr">
        <is>
          <t>Kommunal Boenhet</t>
        </is>
      </c>
      <c r="G567" t="n">
        <v>254</v>
      </c>
      <c r="H567" t="inlineStr">
        <is>
          <t>Helse og mestring</t>
        </is>
      </c>
      <c r="I567" t="inlineStr">
        <is>
          <t>2 Utgifter</t>
        </is>
      </c>
      <c r="J567" t="inlineStr">
        <is>
          <t>11 Refusjon lønn</t>
        </is>
      </c>
      <c r="K567" t="n">
        <v>1120</v>
      </c>
      <c r="L567" t="n">
        <v>112024</v>
      </c>
      <c r="M567" t="inlineStr">
        <is>
          <t>Tekstiler og gardiner</t>
        </is>
      </c>
      <c r="N567" s="98" t="n">
        <v>0</v>
      </c>
      <c r="O567" s="98" t="n">
        <v>0</v>
      </c>
      <c r="P567" s="98" t="n">
        <v>0</v>
      </c>
      <c r="Q567" s="98" t="n">
        <v>0</v>
      </c>
    </row>
    <row r="568">
      <c r="A568" t="inlineStr">
        <is>
          <t>2024-03</t>
        </is>
      </c>
      <c r="B568" t="inlineStr">
        <is>
          <t>Mars</t>
        </is>
      </c>
      <c r="C568" t="n">
        <v>3</v>
      </c>
      <c r="D568" t="inlineStr">
        <is>
          <t>T1</t>
        </is>
      </c>
      <c r="E568" t="inlineStr">
        <is>
          <t>Bokført</t>
        </is>
      </c>
      <c r="F568" t="inlineStr">
        <is>
          <t>Kommunal Boenhet</t>
        </is>
      </c>
      <c r="G568" t="n">
        <v>254</v>
      </c>
      <c r="H568" t="inlineStr">
        <is>
          <t>Helse og mestring</t>
        </is>
      </c>
      <c r="I568" t="inlineStr">
        <is>
          <t>2 Utgifter</t>
        </is>
      </c>
      <c r="J568" t="inlineStr">
        <is>
          <t>11 Refusjon lønn</t>
        </is>
      </c>
      <c r="K568" t="n">
        <v>1120</v>
      </c>
      <c r="L568" t="n">
        <v>112024</v>
      </c>
      <c r="M568" t="inlineStr">
        <is>
          <t>Tekstiler og gardiner</t>
        </is>
      </c>
      <c r="N568" s="98" t="n">
        <v>0</v>
      </c>
      <c r="O568" s="98" t="n">
        <v>0</v>
      </c>
      <c r="P568" s="98" t="n">
        <v>0</v>
      </c>
      <c r="Q568" s="98" t="n">
        <v>0</v>
      </c>
    </row>
    <row r="569">
      <c r="A569" t="inlineStr">
        <is>
          <t>2024-04</t>
        </is>
      </c>
      <c r="B569" t="inlineStr">
        <is>
          <t>April</t>
        </is>
      </c>
      <c r="C569" t="n">
        <v>4</v>
      </c>
      <c r="D569" t="inlineStr">
        <is>
          <t>T1</t>
        </is>
      </c>
      <c r="E569" t="inlineStr">
        <is>
          <t>Bokført</t>
        </is>
      </c>
      <c r="F569" t="inlineStr">
        <is>
          <t>Kommunal Boenhet</t>
        </is>
      </c>
      <c r="G569" t="n">
        <v>254</v>
      </c>
      <c r="H569" t="inlineStr">
        <is>
          <t>Helse og mestring</t>
        </is>
      </c>
      <c r="I569" t="inlineStr">
        <is>
          <t>2 Utgifter</t>
        </is>
      </c>
      <c r="J569" t="inlineStr">
        <is>
          <t>11 Refusjon lønn</t>
        </is>
      </c>
      <c r="K569" t="n">
        <v>1120</v>
      </c>
      <c r="L569" t="n">
        <v>112024</v>
      </c>
      <c r="M569" t="inlineStr">
        <is>
          <t>Tekstiler og gardiner</t>
        </is>
      </c>
      <c r="N569" s="98" t="n">
        <v>0</v>
      </c>
      <c r="O569" s="98" t="n">
        <v>0</v>
      </c>
      <c r="P569" s="98" t="n">
        <v>0</v>
      </c>
      <c r="Q569" s="98" t="n">
        <v>0</v>
      </c>
    </row>
    <row r="570">
      <c r="A570" t="inlineStr">
        <is>
          <t>2024-05</t>
        </is>
      </c>
      <c r="B570" t="inlineStr">
        <is>
          <t>Mai</t>
        </is>
      </c>
      <c r="C570" t="n">
        <v>5</v>
      </c>
      <c r="D570" t="inlineStr">
        <is>
          <t>T2</t>
        </is>
      </c>
      <c r="E570" t="inlineStr">
        <is>
          <t>Bokført</t>
        </is>
      </c>
      <c r="F570" t="inlineStr">
        <is>
          <t>Kommunal Boenhet</t>
        </is>
      </c>
      <c r="G570" t="n">
        <v>254</v>
      </c>
      <c r="H570" t="inlineStr">
        <is>
          <t>Helse og mestring</t>
        </is>
      </c>
      <c r="I570" t="inlineStr">
        <is>
          <t>2 Utgifter</t>
        </is>
      </c>
      <c r="J570" t="inlineStr">
        <is>
          <t>11 Refusjon lønn</t>
        </is>
      </c>
      <c r="K570" t="n">
        <v>1120</v>
      </c>
      <c r="L570" t="n">
        <v>112024</v>
      </c>
      <c r="M570" t="inlineStr">
        <is>
          <t>Tekstiler og gardiner</t>
        </is>
      </c>
      <c r="N570" s="98" t="n">
        <v>0</v>
      </c>
      <c r="O570" s="98" t="n">
        <v>0</v>
      </c>
      <c r="P570" s="98" t="n">
        <v>0</v>
      </c>
      <c r="Q570" s="98" t="n">
        <v>0</v>
      </c>
    </row>
    <row r="571">
      <c r="A571" t="inlineStr">
        <is>
          <t>2024-06</t>
        </is>
      </c>
      <c r="B571" t="inlineStr">
        <is>
          <t>Juni</t>
        </is>
      </c>
      <c r="C571" t="n">
        <v>6</v>
      </c>
      <c r="D571" t="inlineStr">
        <is>
          <t>T2</t>
        </is>
      </c>
      <c r="E571" t="inlineStr">
        <is>
          <t>Bokført</t>
        </is>
      </c>
      <c r="F571" t="inlineStr">
        <is>
          <t>Kommunal Boenhet</t>
        </is>
      </c>
      <c r="G571" t="n">
        <v>254</v>
      </c>
      <c r="H571" t="inlineStr">
        <is>
          <t>Helse og mestring</t>
        </is>
      </c>
      <c r="I571" t="inlineStr">
        <is>
          <t>2 Utgifter</t>
        </is>
      </c>
      <c r="J571" t="inlineStr">
        <is>
          <t>11 Refusjon lønn</t>
        </is>
      </c>
      <c r="K571" t="n">
        <v>1120</v>
      </c>
      <c r="L571" t="n">
        <v>112024</v>
      </c>
      <c r="M571" t="inlineStr">
        <is>
          <t>Tekstiler og gardiner</t>
        </is>
      </c>
      <c r="N571" s="98" t="n">
        <v>0</v>
      </c>
      <c r="O571" s="98" t="n">
        <v>0</v>
      </c>
      <c r="P571" s="98" t="n">
        <v>0</v>
      </c>
      <c r="Q571" s="98" t="n">
        <v>0</v>
      </c>
    </row>
    <row r="572">
      <c r="A572" t="inlineStr">
        <is>
          <t>2024-07</t>
        </is>
      </c>
      <c r="B572" t="inlineStr">
        <is>
          <t>Juli</t>
        </is>
      </c>
      <c r="C572" t="n">
        <v>7</v>
      </c>
      <c r="D572" t="inlineStr">
        <is>
          <t>T2</t>
        </is>
      </c>
      <c r="E572" t="inlineStr">
        <is>
          <t>Bokført</t>
        </is>
      </c>
      <c r="F572" t="inlineStr">
        <is>
          <t>Kommunal Boenhet</t>
        </is>
      </c>
      <c r="G572" t="n">
        <v>254</v>
      </c>
      <c r="H572" t="inlineStr">
        <is>
          <t>Helse og mestring</t>
        </is>
      </c>
      <c r="I572" t="inlineStr">
        <is>
          <t>2 Utgifter</t>
        </is>
      </c>
      <c r="J572" t="inlineStr">
        <is>
          <t>11 Refusjon lønn</t>
        </is>
      </c>
      <c r="K572" t="n">
        <v>1120</v>
      </c>
      <c r="L572" t="n">
        <v>112024</v>
      </c>
      <c r="M572" t="inlineStr">
        <is>
          <t>Tekstiler og gardiner</t>
        </is>
      </c>
      <c r="N572" s="98" t="n">
        <v>0</v>
      </c>
      <c r="O572" s="98" t="n">
        <v>600</v>
      </c>
      <c r="P572" s="98" t="n">
        <v>-600</v>
      </c>
      <c r="Q572" s="98" t="n">
        <v>600</v>
      </c>
    </row>
    <row r="573">
      <c r="A573" t="inlineStr">
        <is>
          <t>2024-08</t>
        </is>
      </c>
      <c r="B573" t="inlineStr">
        <is>
          <t>August</t>
        </is>
      </c>
      <c r="C573" t="n">
        <v>8</v>
      </c>
      <c r="D573" t="inlineStr">
        <is>
          <t>T2</t>
        </is>
      </c>
      <c r="E573" t="inlineStr">
        <is>
          <t>Bokført</t>
        </is>
      </c>
      <c r="F573" t="inlineStr">
        <is>
          <t>Kommunal Boenhet</t>
        </is>
      </c>
      <c r="G573" t="n">
        <v>254</v>
      </c>
      <c r="H573" t="inlineStr">
        <is>
          <t>Helse og mestring</t>
        </is>
      </c>
      <c r="I573" t="inlineStr">
        <is>
          <t>2 Utgifter</t>
        </is>
      </c>
      <c r="J573" t="inlineStr">
        <is>
          <t>11 Refusjon lønn</t>
        </is>
      </c>
      <c r="K573" t="n">
        <v>1120</v>
      </c>
      <c r="L573" t="n">
        <v>112024</v>
      </c>
      <c r="M573" t="inlineStr">
        <is>
          <t>Tekstiler og gardiner</t>
        </is>
      </c>
      <c r="N573" s="98" t="n">
        <v>0</v>
      </c>
      <c r="O573" s="98" t="n">
        <v>0</v>
      </c>
      <c r="P573" s="98" t="n">
        <v>0</v>
      </c>
      <c r="Q573" s="98" t="n">
        <v>0</v>
      </c>
    </row>
    <row r="574">
      <c r="A574" t="inlineStr">
        <is>
          <t>2024-09</t>
        </is>
      </c>
      <c r="B574" t="inlineStr">
        <is>
          <t>September</t>
        </is>
      </c>
      <c r="C574" t="n">
        <v>9</v>
      </c>
      <c r="D574" t="inlineStr">
        <is>
          <t>T3</t>
        </is>
      </c>
      <c r="E574" t="inlineStr">
        <is>
          <t>Gjenstående budsjett</t>
        </is>
      </c>
      <c r="F574" t="inlineStr">
        <is>
          <t>Kommunal Boenhet</t>
        </is>
      </c>
      <c r="G574" t="n">
        <v>254</v>
      </c>
      <c r="H574" t="inlineStr">
        <is>
          <t>Helse og mestring</t>
        </is>
      </c>
      <c r="I574" t="inlineStr">
        <is>
          <t>2 Utgifter</t>
        </is>
      </c>
      <c r="J574" t="inlineStr">
        <is>
          <t>11 Refusjon lønn</t>
        </is>
      </c>
      <c r="K574" t="n">
        <v>1120</v>
      </c>
      <c r="L574" t="n">
        <v>112024</v>
      </c>
      <c r="M574" t="inlineStr">
        <is>
          <t>Tekstiler og gardiner</t>
        </is>
      </c>
      <c r="N574" s="98" t="n">
        <v>0</v>
      </c>
      <c r="O574" s="98" t="n">
        <v>0</v>
      </c>
      <c r="P574" s="98" t="n">
        <v>0</v>
      </c>
      <c r="Q574" s="98" t="n">
        <v>0</v>
      </c>
    </row>
    <row r="575">
      <c r="A575" t="inlineStr">
        <is>
          <t>2024-10</t>
        </is>
      </c>
      <c r="B575" t="inlineStr">
        <is>
          <t>Oktober</t>
        </is>
      </c>
      <c r="C575" t="n">
        <v>10</v>
      </c>
      <c r="D575" t="inlineStr">
        <is>
          <t>T3</t>
        </is>
      </c>
      <c r="E575" t="inlineStr">
        <is>
          <t>Gjenstående budsjett</t>
        </is>
      </c>
      <c r="F575" t="inlineStr">
        <is>
          <t>Kommunal Boenhet</t>
        </is>
      </c>
      <c r="G575" t="n">
        <v>254</v>
      </c>
      <c r="H575" t="inlineStr">
        <is>
          <t>Helse og mestring</t>
        </is>
      </c>
      <c r="I575" t="inlineStr">
        <is>
          <t>2 Utgifter</t>
        </is>
      </c>
      <c r="J575" t="inlineStr">
        <is>
          <t>11 Refusjon lønn</t>
        </is>
      </c>
      <c r="K575" t="n">
        <v>1120</v>
      </c>
      <c r="L575" t="n">
        <v>112024</v>
      </c>
      <c r="M575" t="inlineStr">
        <is>
          <t>Tekstiler og gardiner</t>
        </is>
      </c>
      <c r="N575" s="98" t="n">
        <v>0</v>
      </c>
      <c r="O575" s="98" t="n">
        <v>0</v>
      </c>
      <c r="P575" s="98" t="n">
        <v>0</v>
      </c>
      <c r="Q575" s="98" t="n">
        <v>0</v>
      </c>
    </row>
    <row r="576">
      <c r="A576" t="inlineStr">
        <is>
          <t>2024-11</t>
        </is>
      </c>
      <c r="B576" t="inlineStr">
        <is>
          <t>November</t>
        </is>
      </c>
      <c r="C576" t="n">
        <v>11</v>
      </c>
      <c r="D576" t="inlineStr">
        <is>
          <t>T3</t>
        </is>
      </c>
      <c r="E576" t="inlineStr">
        <is>
          <t>Gjenstående budsjett</t>
        </is>
      </c>
      <c r="F576" t="inlineStr">
        <is>
          <t>Kommunal Boenhet</t>
        </is>
      </c>
      <c r="G576" t="n">
        <v>254</v>
      </c>
      <c r="H576" t="inlineStr">
        <is>
          <t>Helse og mestring</t>
        </is>
      </c>
      <c r="I576" t="inlineStr">
        <is>
          <t>2 Utgifter</t>
        </is>
      </c>
      <c r="J576" t="inlineStr">
        <is>
          <t>11 Refusjon lønn</t>
        </is>
      </c>
      <c r="K576" t="n">
        <v>1120</v>
      </c>
      <c r="L576" t="n">
        <v>112024</v>
      </c>
      <c r="M576" t="inlineStr">
        <is>
          <t>Tekstiler og gardiner</t>
        </is>
      </c>
      <c r="N576" s="98" t="n">
        <v>0</v>
      </c>
      <c r="O576" s="98" t="n">
        <v>0</v>
      </c>
      <c r="P576" s="98" t="n">
        <v>0</v>
      </c>
      <c r="Q576" s="98" t="n">
        <v>0</v>
      </c>
    </row>
    <row r="577">
      <c r="A577" t="inlineStr">
        <is>
          <t>2024-12</t>
        </is>
      </c>
      <c r="B577" t="inlineStr">
        <is>
          <t>Desember</t>
        </is>
      </c>
      <c r="C577" t="n">
        <v>12</v>
      </c>
      <c r="D577" t="inlineStr">
        <is>
          <t>T3</t>
        </is>
      </c>
      <c r="E577" t="inlineStr">
        <is>
          <t>Gjenstående budsjett</t>
        </is>
      </c>
      <c r="F577" t="inlineStr">
        <is>
          <t>Kommunal Boenhet</t>
        </is>
      </c>
      <c r="G577" t="n">
        <v>254</v>
      </c>
      <c r="H577" t="inlineStr">
        <is>
          <t>Helse og mestring</t>
        </is>
      </c>
      <c r="I577" t="inlineStr">
        <is>
          <t>2 Utgifter</t>
        </is>
      </c>
      <c r="J577" t="inlineStr">
        <is>
          <t>11 Refusjon lønn</t>
        </is>
      </c>
      <c r="K577" t="n">
        <v>1120</v>
      </c>
      <c r="L577" t="n">
        <v>112024</v>
      </c>
      <c r="M577" t="inlineStr">
        <is>
          <t>Tekstiler og gardiner</t>
        </is>
      </c>
      <c r="N577" s="98" t="n">
        <v>0</v>
      </c>
      <c r="O577" s="98" t="n">
        <v>0</v>
      </c>
      <c r="P577" s="98" t="n">
        <v>0</v>
      </c>
      <c r="Q577" s="98" t="n">
        <v>0</v>
      </c>
    </row>
    <row r="578">
      <c r="A578" t="inlineStr">
        <is>
          <t>2024-01</t>
        </is>
      </c>
      <c r="B578" t="inlineStr">
        <is>
          <t>Januar</t>
        </is>
      </c>
      <c r="C578" t="n">
        <v>1</v>
      </c>
      <c r="D578" t="inlineStr">
        <is>
          <t>T1</t>
        </is>
      </c>
      <c r="E578" t="inlineStr">
        <is>
          <t>Bokført</t>
        </is>
      </c>
      <c r="F578" t="inlineStr">
        <is>
          <t>Kommunal Boenhet</t>
        </is>
      </c>
      <c r="G578" t="n">
        <v>254</v>
      </c>
      <c r="H578" t="inlineStr">
        <is>
          <t>Helse og mestring</t>
        </is>
      </c>
      <c r="I578" t="inlineStr">
        <is>
          <t>2 Utgifter</t>
        </is>
      </c>
      <c r="J578" t="inlineStr">
        <is>
          <t>11 Refusjon lønn</t>
        </is>
      </c>
      <c r="K578" t="n">
        <v>1120</v>
      </c>
      <c r="L578" t="n">
        <v>112025</v>
      </c>
      <c r="M578" t="inlineStr">
        <is>
          <t>Planter</t>
        </is>
      </c>
      <c r="N578" s="98" t="n">
        <v>0</v>
      </c>
      <c r="O578" s="98" t="n">
        <v>0</v>
      </c>
      <c r="P578" s="98" t="n">
        <v>0</v>
      </c>
      <c r="Q578" s="98" t="n">
        <v>0</v>
      </c>
    </row>
    <row r="579">
      <c r="A579" t="inlineStr">
        <is>
          <t>2024-02</t>
        </is>
      </c>
      <c r="B579" t="inlineStr">
        <is>
          <t>Februar</t>
        </is>
      </c>
      <c r="C579" t="n">
        <v>2</v>
      </c>
      <c r="D579" t="inlineStr">
        <is>
          <t>T1</t>
        </is>
      </c>
      <c r="E579" t="inlineStr">
        <is>
          <t>Bokført</t>
        </is>
      </c>
      <c r="F579" t="inlineStr">
        <is>
          <t>Kommunal Boenhet</t>
        </is>
      </c>
      <c r="G579" t="n">
        <v>254</v>
      </c>
      <c r="H579" t="inlineStr">
        <is>
          <t>Helse og mestring</t>
        </is>
      </c>
      <c r="I579" t="inlineStr">
        <is>
          <t>2 Utgifter</t>
        </is>
      </c>
      <c r="J579" t="inlineStr">
        <is>
          <t>11 Refusjon lønn</t>
        </is>
      </c>
      <c r="K579" t="n">
        <v>1120</v>
      </c>
      <c r="L579" t="n">
        <v>112025</v>
      </c>
      <c r="M579" t="inlineStr">
        <is>
          <t>Planter</t>
        </is>
      </c>
      <c r="N579" s="98" t="n">
        <v>0</v>
      </c>
      <c r="O579" s="98" t="n">
        <v>0</v>
      </c>
      <c r="P579" s="98" t="n">
        <v>0</v>
      </c>
      <c r="Q579" s="98" t="n">
        <v>0</v>
      </c>
    </row>
    <row r="580">
      <c r="A580" t="inlineStr">
        <is>
          <t>2024-03</t>
        </is>
      </c>
      <c r="B580" t="inlineStr">
        <is>
          <t>Mars</t>
        </is>
      </c>
      <c r="C580" t="n">
        <v>3</v>
      </c>
      <c r="D580" t="inlineStr">
        <is>
          <t>T1</t>
        </is>
      </c>
      <c r="E580" t="inlineStr">
        <is>
          <t>Bokført</t>
        </is>
      </c>
      <c r="F580" t="inlineStr">
        <is>
          <t>Kommunal Boenhet</t>
        </is>
      </c>
      <c r="G580" t="n">
        <v>254</v>
      </c>
      <c r="H580" t="inlineStr">
        <is>
          <t>Helse og mestring</t>
        </is>
      </c>
      <c r="I580" t="inlineStr">
        <is>
          <t>2 Utgifter</t>
        </is>
      </c>
      <c r="J580" t="inlineStr">
        <is>
          <t>11 Refusjon lønn</t>
        </is>
      </c>
      <c r="K580" t="n">
        <v>1120</v>
      </c>
      <c r="L580" t="n">
        <v>112025</v>
      </c>
      <c r="M580" t="inlineStr">
        <is>
          <t>Planter</t>
        </is>
      </c>
      <c r="N580" s="98" t="n">
        <v>0</v>
      </c>
      <c r="O580" s="98" t="n">
        <v>0</v>
      </c>
      <c r="P580" s="98" t="n">
        <v>0</v>
      </c>
      <c r="Q580" s="98" t="n">
        <v>0</v>
      </c>
    </row>
    <row r="581">
      <c r="A581" t="inlineStr">
        <is>
          <t>2024-04</t>
        </is>
      </c>
      <c r="B581" t="inlineStr">
        <is>
          <t>April</t>
        </is>
      </c>
      <c r="C581" t="n">
        <v>4</v>
      </c>
      <c r="D581" t="inlineStr">
        <is>
          <t>T1</t>
        </is>
      </c>
      <c r="E581" t="inlineStr">
        <is>
          <t>Bokført</t>
        </is>
      </c>
      <c r="F581" t="inlineStr">
        <is>
          <t>Kommunal Boenhet</t>
        </is>
      </c>
      <c r="G581" t="n">
        <v>254</v>
      </c>
      <c r="H581" t="inlineStr">
        <is>
          <t>Helse og mestring</t>
        </is>
      </c>
      <c r="I581" t="inlineStr">
        <is>
          <t>2 Utgifter</t>
        </is>
      </c>
      <c r="J581" t="inlineStr">
        <is>
          <t>11 Refusjon lønn</t>
        </is>
      </c>
      <c r="K581" t="n">
        <v>1120</v>
      </c>
      <c r="L581" t="n">
        <v>112025</v>
      </c>
      <c r="M581" t="inlineStr">
        <is>
          <t>Planter</t>
        </is>
      </c>
      <c r="N581" s="98" t="n">
        <v>0</v>
      </c>
      <c r="O581" s="98" t="n">
        <v>0</v>
      </c>
      <c r="P581" s="98" t="n">
        <v>0</v>
      </c>
      <c r="Q581" s="98" t="n">
        <v>0</v>
      </c>
    </row>
    <row r="582">
      <c r="A582" t="inlineStr">
        <is>
          <t>2024-05</t>
        </is>
      </c>
      <c r="B582" t="inlineStr">
        <is>
          <t>Mai</t>
        </is>
      </c>
      <c r="C582" t="n">
        <v>5</v>
      </c>
      <c r="D582" t="inlineStr">
        <is>
          <t>T2</t>
        </is>
      </c>
      <c r="E582" t="inlineStr">
        <is>
          <t>Bokført</t>
        </is>
      </c>
      <c r="F582" t="inlineStr">
        <is>
          <t>Kommunal Boenhet</t>
        </is>
      </c>
      <c r="G582" t="n">
        <v>254</v>
      </c>
      <c r="H582" t="inlineStr">
        <is>
          <t>Helse og mestring</t>
        </is>
      </c>
      <c r="I582" t="inlineStr">
        <is>
          <t>2 Utgifter</t>
        </is>
      </c>
      <c r="J582" t="inlineStr">
        <is>
          <t>11 Refusjon lønn</t>
        </is>
      </c>
      <c r="K582" t="n">
        <v>1120</v>
      </c>
      <c r="L582" t="n">
        <v>112025</v>
      </c>
      <c r="M582" t="inlineStr">
        <is>
          <t>Planter</t>
        </is>
      </c>
      <c r="N582" s="98" t="n">
        <v>0</v>
      </c>
      <c r="O582" s="98" t="n">
        <v>0</v>
      </c>
      <c r="P582" s="98" t="n">
        <v>0</v>
      </c>
      <c r="Q582" s="98" t="n">
        <v>0</v>
      </c>
    </row>
    <row r="583">
      <c r="A583" t="inlineStr">
        <is>
          <t>2024-06</t>
        </is>
      </c>
      <c r="B583" t="inlineStr">
        <is>
          <t>Juni</t>
        </is>
      </c>
      <c r="C583" t="n">
        <v>6</v>
      </c>
      <c r="D583" t="inlineStr">
        <is>
          <t>T2</t>
        </is>
      </c>
      <c r="E583" t="inlineStr">
        <is>
          <t>Bokført</t>
        </is>
      </c>
      <c r="F583" t="inlineStr">
        <is>
          <t>Kommunal Boenhet</t>
        </is>
      </c>
      <c r="G583" t="n">
        <v>254</v>
      </c>
      <c r="H583" t="inlineStr">
        <is>
          <t>Helse og mestring</t>
        </is>
      </c>
      <c r="I583" t="inlineStr">
        <is>
          <t>2 Utgifter</t>
        </is>
      </c>
      <c r="J583" t="inlineStr">
        <is>
          <t>11 Refusjon lønn</t>
        </is>
      </c>
      <c r="K583" t="n">
        <v>1120</v>
      </c>
      <c r="L583" t="n">
        <v>112025</v>
      </c>
      <c r="M583" t="inlineStr">
        <is>
          <t>Planter</t>
        </is>
      </c>
      <c r="N583" s="98" t="n">
        <v>0</v>
      </c>
      <c r="O583" s="98" t="n">
        <v>3486</v>
      </c>
      <c r="P583" s="98" t="n">
        <v>-3486</v>
      </c>
      <c r="Q583" s="98" t="n">
        <v>3486</v>
      </c>
    </row>
    <row r="584">
      <c r="A584" t="inlineStr">
        <is>
          <t>2024-07</t>
        </is>
      </c>
      <c r="B584" t="inlineStr">
        <is>
          <t>Juli</t>
        </is>
      </c>
      <c r="C584" t="n">
        <v>7</v>
      </c>
      <c r="D584" t="inlineStr">
        <is>
          <t>T2</t>
        </is>
      </c>
      <c r="E584" t="inlineStr">
        <is>
          <t>Bokført</t>
        </is>
      </c>
      <c r="F584" t="inlineStr">
        <is>
          <t>Kommunal Boenhet</t>
        </is>
      </c>
      <c r="G584" t="n">
        <v>254</v>
      </c>
      <c r="H584" t="inlineStr">
        <is>
          <t>Helse og mestring</t>
        </is>
      </c>
      <c r="I584" t="inlineStr">
        <is>
          <t>2 Utgifter</t>
        </is>
      </c>
      <c r="J584" t="inlineStr">
        <is>
          <t>11 Refusjon lønn</t>
        </is>
      </c>
      <c r="K584" t="n">
        <v>1120</v>
      </c>
      <c r="L584" t="n">
        <v>112025</v>
      </c>
      <c r="M584" t="inlineStr">
        <is>
          <t>Planter</t>
        </is>
      </c>
      <c r="N584" s="98" t="n">
        <v>0</v>
      </c>
      <c r="O584" s="98" t="n">
        <v>0</v>
      </c>
      <c r="P584" s="98" t="n">
        <v>0</v>
      </c>
      <c r="Q584" s="98" t="n">
        <v>0</v>
      </c>
    </row>
    <row r="585">
      <c r="A585" t="inlineStr">
        <is>
          <t>2024-08</t>
        </is>
      </c>
      <c r="B585" t="inlineStr">
        <is>
          <t>August</t>
        </is>
      </c>
      <c r="C585" t="n">
        <v>8</v>
      </c>
      <c r="D585" t="inlineStr">
        <is>
          <t>T2</t>
        </is>
      </c>
      <c r="E585" t="inlineStr">
        <is>
          <t>Bokført</t>
        </is>
      </c>
      <c r="F585" t="inlineStr">
        <is>
          <t>Kommunal Boenhet</t>
        </is>
      </c>
      <c r="G585" t="n">
        <v>254</v>
      </c>
      <c r="H585" t="inlineStr">
        <is>
          <t>Helse og mestring</t>
        </is>
      </c>
      <c r="I585" t="inlineStr">
        <is>
          <t>2 Utgifter</t>
        </is>
      </c>
      <c r="J585" t="inlineStr">
        <is>
          <t>11 Refusjon lønn</t>
        </is>
      </c>
      <c r="K585" t="n">
        <v>1120</v>
      </c>
      <c r="L585" t="n">
        <v>112025</v>
      </c>
      <c r="M585" t="inlineStr">
        <is>
          <t>Planter</t>
        </is>
      </c>
      <c r="N585" s="98" t="n">
        <v>0</v>
      </c>
      <c r="O585" s="98" t="n">
        <v>0</v>
      </c>
      <c r="P585" s="98" t="n">
        <v>0</v>
      </c>
      <c r="Q585" s="98" t="n">
        <v>0</v>
      </c>
    </row>
    <row r="586">
      <c r="A586" t="inlineStr">
        <is>
          <t>2024-09</t>
        </is>
      </c>
      <c r="B586" t="inlineStr">
        <is>
          <t>September</t>
        </is>
      </c>
      <c r="C586" t="n">
        <v>9</v>
      </c>
      <c r="D586" t="inlineStr">
        <is>
          <t>T3</t>
        </is>
      </c>
      <c r="E586" t="inlineStr">
        <is>
          <t>Gjenstående budsjett</t>
        </is>
      </c>
      <c r="F586" t="inlineStr">
        <is>
          <t>Kommunal Boenhet</t>
        </is>
      </c>
      <c r="G586" t="n">
        <v>254</v>
      </c>
      <c r="H586" t="inlineStr">
        <is>
          <t>Helse og mestring</t>
        </is>
      </c>
      <c r="I586" t="inlineStr">
        <is>
          <t>2 Utgifter</t>
        </is>
      </c>
      <c r="J586" t="inlineStr">
        <is>
          <t>11 Refusjon lønn</t>
        </is>
      </c>
      <c r="K586" t="n">
        <v>1120</v>
      </c>
      <c r="L586" t="n">
        <v>112025</v>
      </c>
      <c r="M586" t="inlineStr">
        <is>
          <t>Planter</t>
        </is>
      </c>
      <c r="N586" s="98" t="n">
        <v>0</v>
      </c>
      <c r="O586" s="98" t="n">
        <v>0</v>
      </c>
      <c r="P586" s="98" t="n">
        <v>0</v>
      </c>
      <c r="Q586" s="98" t="n">
        <v>0</v>
      </c>
    </row>
    <row r="587">
      <c r="A587" t="inlineStr">
        <is>
          <t>2024-10</t>
        </is>
      </c>
      <c r="B587" t="inlineStr">
        <is>
          <t>Oktober</t>
        </is>
      </c>
      <c r="C587" t="n">
        <v>10</v>
      </c>
      <c r="D587" t="inlineStr">
        <is>
          <t>T3</t>
        </is>
      </c>
      <c r="E587" t="inlineStr">
        <is>
          <t>Gjenstående budsjett</t>
        </is>
      </c>
      <c r="F587" t="inlineStr">
        <is>
          <t>Kommunal Boenhet</t>
        </is>
      </c>
      <c r="G587" t="n">
        <v>254</v>
      </c>
      <c r="H587" t="inlineStr">
        <is>
          <t>Helse og mestring</t>
        </is>
      </c>
      <c r="I587" t="inlineStr">
        <is>
          <t>2 Utgifter</t>
        </is>
      </c>
      <c r="J587" t="inlineStr">
        <is>
          <t>11 Refusjon lønn</t>
        </is>
      </c>
      <c r="K587" t="n">
        <v>1120</v>
      </c>
      <c r="L587" t="n">
        <v>112025</v>
      </c>
      <c r="M587" t="inlineStr">
        <is>
          <t>Planter</t>
        </is>
      </c>
      <c r="N587" s="98" t="n">
        <v>0</v>
      </c>
      <c r="O587" s="98" t="n">
        <v>0</v>
      </c>
      <c r="P587" s="98" t="n">
        <v>0</v>
      </c>
      <c r="Q587" s="98" t="n">
        <v>0</v>
      </c>
    </row>
    <row r="588">
      <c r="A588" t="inlineStr">
        <is>
          <t>2024-11</t>
        </is>
      </c>
      <c r="B588" t="inlineStr">
        <is>
          <t>November</t>
        </is>
      </c>
      <c r="C588" t="n">
        <v>11</v>
      </c>
      <c r="D588" t="inlineStr">
        <is>
          <t>T3</t>
        </is>
      </c>
      <c r="E588" t="inlineStr">
        <is>
          <t>Gjenstående budsjett</t>
        </is>
      </c>
      <c r="F588" t="inlineStr">
        <is>
          <t>Kommunal Boenhet</t>
        </is>
      </c>
      <c r="G588" t="n">
        <v>254</v>
      </c>
      <c r="H588" t="inlineStr">
        <is>
          <t>Helse og mestring</t>
        </is>
      </c>
      <c r="I588" t="inlineStr">
        <is>
          <t>2 Utgifter</t>
        </is>
      </c>
      <c r="J588" t="inlineStr">
        <is>
          <t>11 Refusjon lønn</t>
        </is>
      </c>
      <c r="K588" t="n">
        <v>1120</v>
      </c>
      <c r="L588" t="n">
        <v>112025</v>
      </c>
      <c r="M588" t="inlineStr">
        <is>
          <t>Planter</t>
        </is>
      </c>
      <c r="N588" s="98" t="n">
        <v>0</v>
      </c>
      <c r="O588" s="98" t="n">
        <v>0</v>
      </c>
      <c r="P588" s="98" t="n">
        <v>0</v>
      </c>
      <c r="Q588" s="98" t="n">
        <v>0</v>
      </c>
    </row>
    <row r="589">
      <c r="A589" t="inlineStr">
        <is>
          <t>2024-12</t>
        </is>
      </c>
      <c r="B589" t="inlineStr">
        <is>
          <t>Desember</t>
        </is>
      </c>
      <c r="C589" t="n">
        <v>12</v>
      </c>
      <c r="D589" t="inlineStr">
        <is>
          <t>T3</t>
        </is>
      </c>
      <c r="E589" t="inlineStr">
        <is>
          <t>Gjenstående budsjett</t>
        </is>
      </c>
      <c r="F589" t="inlineStr">
        <is>
          <t>Kommunal Boenhet</t>
        </is>
      </c>
      <c r="G589" t="n">
        <v>254</v>
      </c>
      <c r="H589" t="inlineStr">
        <is>
          <t>Helse og mestring</t>
        </is>
      </c>
      <c r="I589" t="inlineStr">
        <is>
          <t>2 Utgifter</t>
        </is>
      </c>
      <c r="J589" t="inlineStr">
        <is>
          <t>11 Refusjon lønn</t>
        </is>
      </c>
      <c r="K589" t="n">
        <v>1120</v>
      </c>
      <c r="L589" t="n">
        <v>112025</v>
      </c>
      <c r="M589" t="inlineStr">
        <is>
          <t>Planter</t>
        </is>
      </c>
      <c r="N589" s="98" t="n">
        <v>0</v>
      </c>
      <c r="O589" s="98" t="n">
        <v>0</v>
      </c>
      <c r="P589" s="98" t="n">
        <v>0</v>
      </c>
      <c r="Q589" s="98" t="n">
        <v>0</v>
      </c>
    </row>
    <row r="590">
      <c r="A590" t="inlineStr">
        <is>
          <t>2024-01</t>
        </is>
      </c>
      <c r="B590" t="inlineStr">
        <is>
          <t>Januar</t>
        </is>
      </c>
      <c r="C590" t="n">
        <v>1</v>
      </c>
      <c r="D590" t="inlineStr">
        <is>
          <t>T1</t>
        </is>
      </c>
      <c r="E590" t="inlineStr">
        <is>
          <t>Bokført</t>
        </is>
      </c>
      <c r="F590" t="inlineStr">
        <is>
          <t>Kommunal Boenhet</t>
        </is>
      </c>
      <c r="G590" t="n">
        <v>254</v>
      </c>
      <c r="H590" t="inlineStr">
        <is>
          <t>Helse og mestring</t>
        </is>
      </c>
      <c r="I590" t="inlineStr">
        <is>
          <t>2 Utgifter</t>
        </is>
      </c>
      <c r="J590" t="inlineStr">
        <is>
          <t>11 Refusjon lønn</t>
        </is>
      </c>
      <c r="K590" t="n">
        <v>1120</v>
      </c>
      <c r="L590" t="n">
        <v>112060</v>
      </c>
      <c r="M590" t="inlineStr">
        <is>
          <t>Brukerbelønning</t>
        </is>
      </c>
      <c r="N590" s="98" t="n">
        <v>170</v>
      </c>
      <c r="O590" s="98" t="n">
        <v>0</v>
      </c>
      <c r="P590" s="98" t="n">
        <v>170</v>
      </c>
      <c r="Q590" s="98" t="n">
        <v>-170</v>
      </c>
    </row>
    <row r="591">
      <c r="A591" t="inlineStr">
        <is>
          <t>2024-02</t>
        </is>
      </c>
      <c r="B591" t="inlineStr">
        <is>
          <t>Februar</t>
        </is>
      </c>
      <c r="C591" t="n">
        <v>2</v>
      </c>
      <c r="D591" t="inlineStr">
        <is>
          <t>T1</t>
        </is>
      </c>
      <c r="E591" t="inlineStr">
        <is>
          <t>Bokført</t>
        </is>
      </c>
      <c r="F591" t="inlineStr">
        <is>
          <t>Kommunal Boenhet</t>
        </is>
      </c>
      <c r="G591" t="n">
        <v>254</v>
      </c>
      <c r="H591" t="inlineStr">
        <is>
          <t>Helse og mestring</t>
        </is>
      </c>
      <c r="I591" t="inlineStr">
        <is>
          <t>2 Utgifter</t>
        </is>
      </c>
      <c r="J591" t="inlineStr">
        <is>
          <t>11 Refusjon lønn</t>
        </is>
      </c>
      <c r="K591" t="n">
        <v>1120</v>
      </c>
      <c r="L591" t="n">
        <v>112060</v>
      </c>
      <c r="M591" t="inlineStr">
        <is>
          <t>Brukerbelønning</t>
        </is>
      </c>
      <c r="N591" s="98" t="n">
        <v>170</v>
      </c>
      <c r="O591" s="98" t="n">
        <v>0</v>
      </c>
      <c r="P591" s="98" t="n">
        <v>170</v>
      </c>
      <c r="Q591" s="98" t="n">
        <v>-170</v>
      </c>
    </row>
    <row r="592">
      <c r="A592" t="inlineStr">
        <is>
          <t>2024-03</t>
        </is>
      </c>
      <c r="B592" t="inlineStr">
        <is>
          <t>Mars</t>
        </is>
      </c>
      <c r="C592" t="n">
        <v>3</v>
      </c>
      <c r="D592" t="inlineStr">
        <is>
          <t>T1</t>
        </is>
      </c>
      <c r="E592" t="inlineStr">
        <is>
          <t>Bokført</t>
        </is>
      </c>
      <c r="F592" t="inlineStr">
        <is>
          <t>Kommunal Boenhet</t>
        </is>
      </c>
      <c r="G592" t="n">
        <v>254</v>
      </c>
      <c r="H592" t="inlineStr">
        <is>
          <t>Helse og mestring</t>
        </is>
      </c>
      <c r="I592" t="inlineStr">
        <is>
          <t>2 Utgifter</t>
        </is>
      </c>
      <c r="J592" t="inlineStr">
        <is>
          <t>11 Refusjon lønn</t>
        </is>
      </c>
      <c r="K592" t="n">
        <v>1120</v>
      </c>
      <c r="L592" t="n">
        <v>112060</v>
      </c>
      <c r="M592" t="inlineStr">
        <is>
          <t>Brukerbelønning</t>
        </is>
      </c>
      <c r="N592" s="98" t="n">
        <v>170</v>
      </c>
      <c r="O592" s="98" t="n">
        <v>0</v>
      </c>
      <c r="P592" s="98" t="n">
        <v>170</v>
      </c>
      <c r="Q592" s="98" t="n">
        <v>-170</v>
      </c>
    </row>
    <row r="593">
      <c r="A593" t="inlineStr">
        <is>
          <t>2024-04</t>
        </is>
      </c>
      <c r="B593" t="inlineStr">
        <is>
          <t>April</t>
        </is>
      </c>
      <c r="C593" t="n">
        <v>4</v>
      </c>
      <c r="D593" t="inlineStr">
        <is>
          <t>T1</t>
        </is>
      </c>
      <c r="E593" t="inlineStr">
        <is>
          <t>Bokført</t>
        </is>
      </c>
      <c r="F593" t="inlineStr">
        <is>
          <t>Kommunal Boenhet</t>
        </is>
      </c>
      <c r="G593" t="n">
        <v>254</v>
      </c>
      <c r="H593" t="inlineStr">
        <is>
          <t>Helse og mestring</t>
        </is>
      </c>
      <c r="I593" t="inlineStr">
        <is>
          <t>2 Utgifter</t>
        </is>
      </c>
      <c r="J593" t="inlineStr">
        <is>
          <t>11 Refusjon lønn</t>
        </is>
      </c>
      <c r="K593" t="n">
        <v>1120</v>
      </c>
      <c r="L593" t="n">
        <v>112060</v>
      </c>
      <c r="M593" t="inlineStr">
        <is>
          <t>Brukerbelønning</t>
        </is>
      </c>
      <c r="N593" s="98" t="n">
        <v>170</v>
      </c>
      <c r="O593" s="98" t="n">
        <v>0</v>
      </c>
      <c r="P593" s="98" t="n">
        <v>170</v>
      </c>
      <c r="Q593" s="98" t="n">
        <v>-170</v>
      </c>
    </row>
    <row r="594">
      <c r="A594" t="inlineStr">
        <is>
          <t>2024-05</t>
        </is>
      </c>
      <c r="B594" t="inlineStr">
        <is>
          <t>Mai</t>
        </is>
      </c>
      <c r="C594" t="n">
        <v>5</v>
      </c>
      <c r="D594" t="inlineStr">
        <is>
          <t>T2</t>
        </is>
      </c>
      <c r="E594" t="inlineStr">
        <is>
          <t>Bokført</t>
        </is>
      </c>
      <c r="F594" t="inlineStr">
        <is>
          <t>Kommunal Boenhet</t>
        </is>
      </c>
      <c r="G594" t="n">
        <v>254</v>
      </c>
      <c r="H594" t="inlineStr">
        <is>
          <t>Helse og mestring</t>
        </is>
      </c>
      <c r="I594" t="inlineStr">
        <is>
          <t>2 Utgifter</t>
        </is>
      </c>
      <c r="J594" t="inlineStr">
        <is>
          <t>11 Refusjon lønn</t>
        </is>
      </c>
      <c r="K594" t="n">
        <v>1120</v>
      </c>
      <c r="L594" t="n">
        <v>112060</v>
      </c>
      <c r="M594" t="inlineStr">
        <is>
          <t>Brukerbelønning</t>
        </is>
      </c>
      <c r="N594" s="98" t="n">
        <v>170</v>
      </c>
      <c r="O594" s="98" t="n">
        <v>0</v>
      </c>
      <c r="P594" s="98" t="n">
        <v>170</v>
      </c>
      <c r="Q594" s="98" t="n">
        <v>-170</v>
      </c>
    </row>
    <row r="595">
      <c r="A595" t="inlineStr">
        <is>
          <t>2024-06</t>
        </is>
      </c>
      <c r="B595" t="inlineStr">
        <is>
          <t>Juni</t>
        </is>
      </c>
      <c r="C595" t="n">
        <v>6</v>
      </c>
      <c r="D595" t="inlineStr">
        <is>
          <t>T2</t>
        </is>
      </c>
      <c r="E595" t="inlineStr">
        <is>
          <t>Bokført</t>
        </is>
      </c>
      <c r="F595" t="inlineStr">
        <is>
          <t>Kommunal Boenhet</t>
        </is>
      </c>
      <c r="G595" t="n">
        <v>254</v>
      </c>
      <c r="H595" t="inlineStr">
        <is>
          <t>Helse og mestring</t>
        </is>
      </c>
      <c r="I595" t="inlineStr">
        <is>
          <t>2 Utgifter</t>
        </is>
      </c>
      <c r="J595" t="inlineStr">
        <is>
          <t>11 Refusjon lønn</t>
        </is>
      </c>
      <c r="K595" t="n">
        <v>1120</v>
      </c>
      <c r="L595" t="n">
        <v>112060</v>
      </c>
      <c r="M595" t="inlineStr">
        <is>
          <t>Brukerbelønning</t>
        </is>
      </c>
      <c r="N595" s="98" t="n">
        <v>170</v>
      </c>
      <c r="O595" s="98" t="n">
        <v>0</v>
      </c>
      <c r="P595" s="98" t="n">
        <v>170</v>
      </c>
      <c r="Q595" s="98" t="n">
        <v>-170</v>
      </c>
    </row>
    <row r="596">
      <c r="A596" t="inlineStr">
        <is>
          <t>2024-07</t>
        </is>
      </c>
      <c r="B596" t="inlineStr">
        <is>
          <t>Juli</t>
        </is>
      </c>
      <c r="C596" t="n">
        <v>7</v>
      </c>
      <c r="D596" t="inlineStr">
        <is>
          <t>T2</t>
        </is>
      </c>
      <c r="E596" t="inlineStr">
        <is>
          <t>Bokført</t>
        </is>
      </c>
      <c r="F596" t="inlineStr">
        <is>
          <t>Kommunal Boenhet</t>
        </is>
      </c>
      <c r="G596" t="n">
        <v>254</v>
      </c>
      <c r="H596" t="inlineStr">
        <is>
          <t>Helse og mestring</t>
        </is>
      </c>
      <c r="I596" t="inlineStr">
        <is>
          <t>2 Utgifter</t>
        </is>
      </c>
      <c r="J596" t="inlineStr">
        <is>
          <t>11 Refusjon lønn</t>
        </is>
      </c>
      <c r="K596" t="n">
        <v>1120</v>
      </c>
      <c r="L596" t="n">
        <v>112060</v>
      </c>
      <c r="M596" t="inlineStr">
        <is>
          <t>Brukerbelønning</t>
        </is>
      </c>
      <c r="N596" s="98" t="n">
        <v>170</v>
      </c>
      <c r="O596" s="98" t="n">
        <v>0</v>
      </c>
      <c r="P596" s="98" t="n">
        <v>170</v>
      </c>
      <c r="Q596" s="98" t="n">
        <v>-170</v>
      </c>
    </row>
    <row r="597">
      <c r="A597" t="inlineStr">
        <is>
          <t>2024-08</t>
        </is>
      </c>
      <c r="B597" t="inlineStr">
        <is>
          <t>August</t>
        </is>
      </c>
      <c r="C597" t="n">
        <v>8</v>
      </c>
      <c r="D597" t="inlineStr">
        <is>
          <t>T2</t>
        </is>
      </c>
      <c r="E597" t="inlineStr">
        <is>
          <t>Bokført</t>
        </is>
      </c>
      <c r="F597" t="inlineStr">
        <is>
          <t>Kommunal Boenhet</t>
        </is>
      </c>
      <c r="G597" t="n">
        <v>254</v>
      </c>
      <c r="H597" t="inlineStr">
        <is>
          <t>Helse og mestring</t>
        </is>
      </c>
      <c r="I597" t="inlineStr">
        <is>
          <t>2 Utgifter</t>
        </is>
      </c>
      <c r="J597" t="inlineStr">
        <is>
          <t>11 Refusjon lønn</t>
        </is>
      </c>
      <c r="K597" t="n">
        <v>1120</v>
      </c>
      <c r="L597" t="n">
        <v>112060</v>
      </c>
      <c r="M597" t="inlineStr">
        <is>
          <t>Brukerbelønning</t>
        </is>
      </c>
      <c r="N597" s="98" t="n">
        <v>170</v>
      </c>
      <c r="O597" s="98" t="n">
        <v>0</v>
      </c>
      <c r="P597" s="98" t="n">
        <v>170</v>
      </c>
      <c r="Q597" s="98" t="n">
        <v>-170</v>
      </c>
    </row>
    <row r="598">
      <c r="A598" t="inlineStr">
        <is>
          <t>2024-09</t>
        </is>
      </c>
      <c r="B598" t="inlineStr">
        <is>
          <t>September</t>
        </is>
      </c>
      <c r="C598" t="n">
        <v>9</v>
      </c>
      <c r="D598" t="inlineStr">
        <is>
          <t>T3</t>
        </is>
      </c>
      <c r="E598" t="inlineStr">
        <is>
          <t>Gjenstående budsjett</t>
        </is>
      </c>
      <c r="F598" t="inlineStr">
        <is>
          <t>Kommunal Boenhet</t>
        </is>
      </c>
      <c r="G598" t="n">
        <v>254</v>
      </c>
      <c r="H598" t="inlineStr">
        <is>
          <t>Helse og mestring</t>
        </is>
      </c>
      <c r="I598" t="inlineStr">
        <is>
          <t>2 Utgifter</t>
        </is>
      </c>
      <c r="J598" t="inlineStr">
        <is>
          <t>11 Refusjon lønn</t>
        </is>
      </c>
      <c r="K598" t="n">
        <v>1120</v>
      </c>
      <c r="L598" t="n">
        <v>112060</v>
      </c>
      <c r="M598" t="inlineStr">
        <is>
          <t>Brukerbelønning</t>
        </is>
      </c>
      <c r="N598" s="98" t="n">
        <v>170</v>
      </c>
      <c r="O598" s="98" t="n">
        <v>0</v>
      </c>
      <c r="P598" s="98" t="n">
        <v>0</v>
      </c>
      <c r="Q598" s="98" t="n">
        <v>-170</v>
      </c>
    </row>
    <row r="599">
      <c r="A599" t="inlineStr">
        <is>
          <t>2024-10</t>
        </is>
      </c>
      <c r="B599" t="inlineStr">
        <is>
          <t>Oktober</t>
        </is>
      </c>
      <c r="C599" t="n">
        <v>10</v>
      </c>
      <c r="D599" t="inlineStr">
        <is>
          <t>T3</t>
        </is>
      </c>
      <c r="E599" t="inlineStr">
        <is>
          <t>Gjenstående budsjett</t>
        </is>
      </c>
      <c r="F599" t="inlineStr">
        <is>
          <t>Kommunal Boenhet</t>
        </is>
      </c>
      <c r="G599" t="n">
        <v>254</v>
      </c>
      <c r="H599" t="inlineStr">
        <is>
          <t>Helse og mestring</t>
        </is>
      </c>
      <c r="I599" t="inlineStr">
        <is>
          <t>2 Utgifter</t>
        </is>
      </c>
      <c r="J599" t="inlineStr">
        <is>
          <t>11 Refusjon lønn</t>
        </is>
      </c>
      <c r="K599" t="n">
        <v>1120</v>
      </c>
      <c r="L599" t="n">
        <v>112060</v>
      </c>
      <c r="M599" t="inlineStr">
        <is>
          <t>Brukerbelønning</t>
        </is>
      </c>
      <c r="N599" s="98" t="n">
        <v>170</v>
      </c>
      <c r="O599" s="98" t="n">
        <v>0</v>
      </c>
      <c r="P599" s="98" t="n">
        <v>0</v>
      </c>
      <c r="Q599" s="98" t="n">
        <v>-170</v>
      </c>
    </row>
    <row r="600">
      <c r="A600" t="inlineStr">
        <is>
          <t>2024-11</t>
        </is>
      </c>
      <c r="B600" t="inlineStr">
        <is>
          <t>November</t>
        </is>
      </c>
      <c r="C600" t="n">
        <v>11</v>
      </c>
      <c r="D600" t="inlineStr">
        <is>
          <t>T3</t>
        </is>
      </c>
      <c r="E600" t="inlineStr">
        <is>
          <t>Gjenstående budsjett</t>
        </is>
      </c>
      <c r="F600" t="inlineStr">
        <is>
          <t>Kommunal Boenhet</t>
        </is>
      </c>
      <c r="G600" t="n">
        <v>254</v>
      </c>
      <c r="H600" t="inlineStr">
        <is>
          <t>Helse og mestring</t>
        </is>
      </c>
      <c r="I600" t="inlineStr">
        <is>
          <t>2 Utgifter</t>
        </is>
      </c>
      <c r="J600" t="inlineStr">
        <is>
          <t>11 Refusjon lønn</t>
        </is>
      </c>
      <c r="K600" t="n">
        <v>1120</v>
      </c>
      <c r="L600" t="n">
        <v>112060</v>
      </c>
      <c r="M600" t="inlineStr">
        <is>
          <t>Brukerbelønning</t>
        </is>
      </c>
      <c r="N600" s="98" t="n">
        <v>170</v>
      </c>
      <c r="O600" s="98" t="n">
        <v>0</v>
      </c>
      <c r="P600" s="98" t="n">
        <v>0</v>
      </c>
      <c r="Q600" s="98" t="n">
        <v>-170</v>
      </c>
    </row>
    <row r="601">
      <c r="A601" t="inlineStr">
        <is>
          <t>2024-12</t>
        </is>
      </c>
      <c r="B601" t="inlineStr">
        <is>
          <t>Desember</t>
        </is>
      </c>
      <c r="C601" t="n">
        <v>12</v>
      </c>
      <c r="D601" t="inlineStr">
        <is>
          <t>T3</t>
        </is>
      </c>
      <c r="E601" t="inlineStr">
        <is>
          <t>Gjenstående budsjett</t>
        </is>
      </c>
      <c r="F601" t="inlineStr">
        <is>
          <t>Kommunal Boenhet</t>
        </is>
      </c>
      <c r="G601" t="n">
        <v>254</v>
      </c>
      <c r="H601" t="inlineStr">
        <is>
          <t>Helse og mestring</t>
        </is>
      </c>
      <c r="I601" t="inlineStr">
        <is>
          <t>2 Utgifter</t>
        </is>
      </c>
      <c r="J601" t="inlineStr">
        <is>
          <t>11 Refusjon lønn</t>
        </is>
      </c>
      <c r="K601" t="n">
        <v>1120</v>
      </c>
      <c r="L601" t="n">
        <v>112060</v>
      </c>
      <c r="M601" t="inlineStr">
        <is>
          <t>Brukerbelønning</t>
        </is>
      </c>
      <c r="N601" s="98" t="n">
        <v>130</v>
      </c>
      <c r="O601" s="98" t="n">
        <v>0</v>
      </c>
      <c r="P601" s="98" t="n">
        <v>0</v>
      </c>
      <c r="Q601" s="98" t="n">
        <v>-130</v>
      </c>
    </row>
    <row r="602">
      <c r="A602" t="inlineStr">
        <is>
          <t>2024-01</t>
        </is>
      </c>
      <c r="B602" t="inlineStr">
        <is>
          <t>Januar</t>
        </is>
      </c>
      <c r="C602" t="n">
        <v>1</v>
      </c>
      <c r="D602" t="inlineStr">
        <is>
          <t>T1</t>
        </is>
      </c>
      <c r="E602" t="inlineStr">
        <is>
          <t>Bokført</t>
        </is>
      </c>
      <c r="F602" t="inlineStr">
        <is>
          <t>Kommunal Boenhet</t>
        </is>
      </c>
      <c r="G602" t="n">
        <v>254</v>
      </c>
      <c r="H602" t="inlineStr">
        <is>
          <t>Helse og mestring</t>
        </is>
      </c>
      <c r="I602" t="inlineStr">
        <is>
          <t>2 Utgifter</t>
        </is>
      </c>
      <c r="J602" t="inlineStr">
        <is>
          <t>11 Refusjon lønn</t>
        </is>
      </c>
      <c r="K602" t="n">
        <v>1120</v>
      </c>
      <c r="L602" t="n">
        <v>112090</v>
      </c>
      <c r="M602" t="inlineStr">
        <is>
          <t>Annet forbruksmateriell, varer og tjenester</t>
        </is>
      </c>
      <c r="N602" s="98" t="n">
        <v>3536</v>
      </c>
      <c r="O602" s="98" t="n">
        <v>4413.72</v>
      </c>
      <c r="P602" s="98" t="n">
        <v>-877.72</v>
      </c>
      <c r="Q602" s="98" t="n">
        <v>877.72</v>
      </c>
    </row>
    <row r="603">
      <c r="A603" t="inlineStr">
        <is>
          <t>2024-02</t>
        </is>
      </c>
      <c r="B603" t="inlineStr">
        <is>
          <t>Februar</t>
        </is>
      </c>
      <c r="C603" t="n">
        <v>2</v>
      </c>
      <c r="D603" t="inlineStr">
        <is>
          <t>T1</t>
        </is>
      </c>
      <c r="E603" t="inlineStr">
        <is>
          <t>Bokført</t>
        </is>
      </c>
      <c r="F603" t="inlineStr">
        <is>
          <t>Kommunal Boenhet</t>
        </is>
      </c>
      <c r="G603" t="n">
        <v>254</v>
      </c>
      <c r="H603" t="inlineStr">
        <is>
          <t>Helse og mestring</t>
        </is>
      </c>
      <c r="I603" t="inlineStr">
        <is>
          <t>2 Utgifter</t>
        </is>
      </c>
      <c r="J603" t="inlineStr">
        <is>
          <t>11 Refusjon lønn</t>
        </is>
      </c>
      <c r="K603" t="n">
        <v>1120</v>
      </c>
      <c r="L603" t="n">
        <v>112090</v>
      </c>
      <c r="M603" t="inlineStr">
        <is>
          <t>Annet forbruksmateriell, varer og tjenester</t>
        </is>
      </c>
      <c r="N603" s="98" t="n">
        <v>3536</v>
      </c>
      <c r="O603" s="98" t="n">
        <v>3804.96</v>
      </c>
      <c r="P603" s="98" t="n">
        <v>-268.96</v>
      </c>
      <c r="Q603" s="98" t="n">
        <v>268.96</v>
      </c>
    </row>
    <row r="604">
      <c r="A604" t="inlineStr">
        <is>
          <t>2024-03</t>
        </is>
      </c>
      <c r="B604" t="inlineStr">
        <is>
          <t>Mars</t>
        </is>
      </c>
      <c r="C604" t="n">
        <v>3</v>
      </c>
      <c r="D604" t="inlineStr">
        <is>
          <t>T1</t>
        </is>
      </c>
      <c r="E604" t="inlineStr">
        <is>
          <t>Bokført</t>
        </is>
      </c>
      <c r="F604" t="inlineStr">
        <is>
          <t>Kommunal Boenhet</t>
        </is>
      </c>
      <c r="G604" t="n">
        <v>254</v>
      </c>
      <c r="H604" t="inlineStr">
        <is>
          <t>Helse og mestring</t>
        </is>
      </c>
      <c r="I604" t="inlineStr">
        <is>
          <t>2 Utgifter</t>
        </is>
      </c>
      <c r="J604" t="inlineStr">
        <is>
          <t>11 Refusjon lønn</t>
        </is>
      </c>
      <c r="K604" t="n">
        <v>1120</v>
      </c>
      <c r="L604" t="n">
        <v>112090</v>
      </c>
      <c r="M604" t="inlineStr">
        <is>
          <t>Annet forbruksmateriell, varer og tjenester</t>
        </is>
      </c>
      <c r="N604" s="98" t="n">
        <v>3536</v>
      </c>
      <c r="O604" s="98" t="n">
        <v>2925.8</v>
      </c>
      <c r="P604" s="98" t="n">
        <v>610.2</v>
      </c>
      <c r="Q604" s="98" t="n">
        <v>-610.2</v>
      </c>
    </row>
    <row r="605">
      <c r="A605" t="inlineStr">
        <is>
          <t>2024-04</t>
        </is>
      </c>
      <c r="B605" t="inlineStr">
        <is>
          <t>April</t>
        </is>
      </c>
      <c r="C605" t="n">
        <v>4</v>
      </c>
      <c r="D605" t="inlineStr">
        <is>
          <t>T1</t>
        </is>
      </c>
      <c r="E605" t="inlineStr">
        <is>
          <t>Bokført</t>
        </is>
      </c>
      <c r="F605" t="inlineStr">
        <is>
          <t>Kommunal Boenhet</t>
        </is>
      </c>
      <c r="G605" t="n">
        <v>254</v>
      </c>
      <c r="H605" t="inlineStr">
        <is>
          <t>Helse og mestring</t>
        </is>
      </c>
      <c r="I605" t="inlineStr">
        <is>
          <t>2 Utgifter</t>
        </is>
      </c>
      <c r="J605" t="inlineStr">
        <is>
          <t>11 Refusjon lønn</t>
        </is>
      </c>
      <c r="K605" t="n">
        <v>1120</v>
      </c>
      <c r="L605" t="n">
        <v>112090</v>
      </c>
      <c r="M605" t="inlineStr">
        <is>
          <t>Annet forbruksmateriell, varer og tjenester</t>
        </is>
      </c>
      <c r="N605" s="98" t="n">
        <v>3536</v>
      </c>
      <c r="O605" s="98" t="n">
        <v>4818.5</v>
      </c>
      <c r="P605" s="98" t="n">
        <v>-1282.5</v>
      </c>
      <c r="Q605" s="98" t="n">
        <v>1282.5</v>
      </c>
    </row>
    <row r="606">
      <c r="A606" t="inlineStr">
        <is>
          <t>2024-05</t>
        </is>
      </c>
      <c r="B606" t="inlineStr">
        <is>
          <t>Mai</t>
        </is>
      </c>
      <c r="C606" t="n">
        <v>5</v>
      </c>
      <c r="D606" t="inlineStr">
        <is>
          <t>T2</t>
        </is>
      </c>
      <c r="E606" t="inlineStr">
        <is>
          <t>Bokført</t>
        </is>
      </c>
      <c r="F606" t="inlineStr">
        <is>
          <t>Kommunal Boenhet</t>
        </is>
      </c>
      <c r="G606" t="n">
        <v>254</v>
      </c>
      <c r="H606" t="inlineStr">
        <is>
          <t>Helse og mestring</t>
        </is>
      </c>
      <c r="I606" t="inlineStr">
        <is>
          <t>2 Utgifter</t>
        </is>
      </c>
      <c r="J606" t="inlineStr">
        <is>
          <t>11 Refusjon lønn</t>
        </is>
      </c>
      <c r="K606" t="n">
        <v>1120</v>
      </c>
      <c r="L606" t="n">
        <v>112090</v>
      </c>
      <c r="M606" t="inlineStr">
        <is>
          <t>Annet forbruksmateriell, varer og tjenester</t>
        </is>
      </c>
      <c r="N606" s="98" t="n">
        <v>3536</v>
      </c>
      <c r="O606" s="98" t="n">
        <v>4414.29</v>
      </c>
      <c r="P606" s="98" t="n">
        <v>-878.29</v>
      </c>
      <c r="Q606" s="98" t="n">
        <v>878.29</v>
      </c>
    </row>
    <row r="607">
      <c r="A607" t="inlineStr">
        <is>
          <t>2024-06</t>
        </is>
      </c>
      <c r="B607" t="inlineStr">
        <is>
          <t>Juni</t>
        </is>
      </c>
      <c r="C607" t="n">
        <v>6</v>
      </c>
      <c r="D607" t="inlineStr">
        <is>
          <t>T2</t>
        </is>
      </c>
      <c r="E607" t="inlineStr">
        <is>
          <t>Bokført</t>
        </is>
      </c>
      <c r="F607" t="inlineStr">
        <is>
          <t>Kommunal Boenhet</t>
        </is>
      </c>
      <c r="G607" t="n">
        <v>254</v>
      </c>
      <c r="H607" t="inlineStr">
        <is>
          <t>Helse og mestring</t>
        </is>
      </c>
      <c r="I607" t="inlineStr">
        <is>
          <t>2 Utgifter</t>
        </is>
      </c>
      <c r="J607" t="inlineStr">
        <is>
          <t>11 Refusjon lønn</t>
        </is>
      </c>
      <c r="K607" t="n">
        <v>1120</v>
      </c>
      <c r="L607" t="n">
        <v>112090</v>
      </c>
      <c r="M607" t="inlineStr">
        <is>
          <t>Annet forbruksmateriell, varer og tjenester</t>
        </is>
      </c>
      <c r="N607" s="98" t="n">
        <v>3536</v>
      </c>
      <c r="O607" s="98" t="n">
        <v>7675.68</v>
      </c>
      <c r="P607" s="98" t="n">
        <v>-4139.68</v>
      </c>
      <c r="Q607" s="98" t="n">
        <v>4139.68</v>
      </c>
    </row>
    <row r="608">
      <c r="A608" t="inlineStr">
        <is>
          <t>2024-07</t>
        </is>
      </c>
      <c r="B608" t="inlineStr">
        <is>
          <t>Juli</t>
        </is>
      </c>
      <c r="C608" t="n">
        <v>7</v>
      </c>
      <c r="D608" t="inlineStr">
        <is>
          <t>T2</t>
        </is>
      </c>
      <c r="E608" t="inlineStr">
        <is>
          <t>Bokført</t>
        </is>
      </c>
      <c r="F608" t="inlineStr">
        <is>
          <t>Kommunal Boenhet</t>
        </is>
      </c>
      <c r="G608" t="n">
        <v>254</v>
      </c>
      <c r="H608" t="inlineStr">
        <is>
          <t>Helse og mestring</t>
        </is>
      </c>
      <c r="I608" t="inlineStr">
        <is>
          <t>2 Utgifter</t>
        </is>
      </c>
      <c r="J608" t="inlineStr">
        <is>
          <t>11 Refusjon lønn</t>
        </is>
      </c>
      <c r="K608" t="n">
        <v>1120</v>
      </c>
      <c r="L608" t="n">
        <v>112090</v>
      </c>
      <c r="M608" t="inlineStr">
        <is>
          <t>Annet forbruksmateriell, varer og tjenester</t>
        </is>
      </c>
      <c r="N608" s="98" t="n">
        <v>3536</v>
      </c>
      <c r="O608" s="98" t="n">
        <v>1358.36</v>
      </c>
      <c r="P608" s="98" t="n">
        <v>2177.64</v>
      </c>
      <c r="Q608" s="98" t="n">
        <v>-2177.64</v>
      </c>
    </row>
    <row r="609">
      <c r="A609" t="inlineStr">
        <is>
          <t>2024-08</t>
        </is>
      </c>
      <c r="B609" t="inlineStr">
        <is>
          <t>August</t>
        </is>
      </c>
      <c r="C609" t="n">
        <v>8</v>
      </c>
      <c r="D609" t="inlineStr">
        <is>
          <t>T2</t>
        </is>
      </c>
      <c r="E609" t="inlineStr">
        <is>
          <t>Bokført</t>
        </is>
      </c>
      <c r="F609" t="inlineStr">
        <is>
          <t>Kommunal Boenhet</t>
        </is>
      </c>
      <c r="G609" t="n">
        <v>254</v>
      </c>
      <c r="H609" t="inlineStr">
        <is>
          <t>Helse og mestring</t>
        </is>
      </c>
      <c r="I609" t="inlineStr">
        <is>
          <t>2 Utgifter</t>
        </is>
      </c>
      <c r="J609" t="inlineStr">
        <is>
          <t>11 Refusjon lønn</t>
        </is>
      </c>
      <c r="K609" t="n">
        <v>1120</v>
      </c>
      <c r="L609" t="n">
        <v>112090</v>
      </c>
      <c r="M609" t="inlineStr">
        <is>
          <t>Annet forbruksmateriell, varer og tjenester</t>
        </is>
      </c>
      <c r="N609" s="98" t="n">
        <v>3536</v>
      </c>
      <c r="O609" s="98" t="n">
        <v>48.4</v>
      </c>
      <c r="P609" s="98" t="n">
        <v>3487.6</v>
      </c>
      <c r="Q609" s="98" t="n">
        <v>-3487.6</v>
      </c>
    </row>
    <row r="610">
      <c r="A610" t="inlineStr">
        <is>
          <t>2024-09</t>
        </is>
      </c>
      <c r="B610" t="inlineStr">
        <is>
          <t>September</t>
        </is>
      </c>
      <c r="C610" t="n">
        <v>9</v>
      </c>
      <c r="D610" t="inlineStr">
        <is>
          <t>T3</t>
        </is>
      </c>
      <c r="E610" t="inlineStr">
        <is>
          <t>Gjenstående budsjett</t>
        </is>
      </c>
      <c r="F610" t="inlineStr">
        <is>
          <t>Kommunal Boenhet</t>
        </is>
      </c>
      <c r="G610" t="n">
        <v>254</v>
      </c>
      <c r="H610" t="inlineStr">
        <is>
          <t>Helse og mestring</t>
        </is>
      </c>
      <c r="I610" t="inlineStr">
        <is>
          <t>2 Utgifter</t>
        </is>
      </c>
      <c r="J610" t="inlineStr">
        <is>
          <t>11 Refusjon lønn</t>
        </is>
      </c>
      <c r="K610" t="n">
        <v>1120</v>
      </c>
      <c r="L610" t="n">
        <v>112090</v>
      </c>
      <c r="M610" t="inlineStr">
        <is>
          <t>Annet forbruksmateriell, varer og tjenester</t>
        </is>
      </c>
      <c r="N610" s="98" t="n">
        <v>3536</v>
      </c>
      <c r="O610" s="98" t="n">
        <v>0</v>
      </c>
      <c r="P610" s="98" t="n">
        <v>0</v>
      </c>
      <c r="Q610" s="98" t="n">
        <v>-3536</v>
      </c>
    </row>
    <row r="611">
      <c r="A611" t="inlineStr">
        <is>
          <t>2024-10</t>
        </is>
      </c>
      <c r="B611" t="inlineStr">
        <is>
          <t>Oktober</t>
        </is>
      </c>
      <c r="C611" t="n">
        <v>10</v>
      </c>
      <c r="D611" t="inlineStr">
        <is>
          <t>T3</t>
        </is>
      </c>
      <c r="E611" t="inlineStr">
        <is>
          <t>Gjenstående budsjett</t>
        </is>
      </c>
      <c r="F611" t="inlineStr">
        <is>
          <t>Kommunal Boenhet</t>
        </is>
      </c>
      <c r="G611" t="n">
        <v>254</v>
      </c>
      <c r="H611" t="inlineStr">
        <is>
          <t>Helse og mestring</t>
        </is>
      </c>
      <c r="I611" t="inlineStr">
        <is>
          <t>2 Utgifter</t>
        </is>
      </c>
      <c r="J611" t="inlineStr">
        <is>
          <t>11 Refusjon lønn</t>
        </is>
      </c>
      <c r="K611" t="n">
        <v>1120</v>
      </c>
      <c r="L611" t="n">
        <v>112090</v>
      </c>
      <c r="M611" t="inlineStr">
        <is>
          <t>Annet forbruksmateriell, varer og tjenester</t>
        </is>
      </c>
      <c r="N611" s="98" t="n">
        <v>3536</v>
      </c>
      <c r="O611" s="98" t="n">
        <v>0</v>
      </c>
      <c r="P611" s="98" t="n">
        <v>0</v>
      </c>
      <c r="Q611" s="98" t="n">
        <v>-3536</v>
      </c>
    </row>
    <row r="612">
      <c r="A612" t="inlineStr">
        <is>
          <t>2024-11</t>
        </is>
      </c>
      <c r="B612" t="inlineStr">
        <is>
          <t>November</t>
        </is>
      </c>
      <c r="C612" t="n">
        <v>11</v>
      </c>
      <c r="D612" t="inlineStr">
        <is>
          <t>T3</t>
        </is>
      </c>
      <c r="E612" t="inlineStr">
        <is>
          <t>Gjenstående budsjett</t>
        </is>
      </c>
      <c r="F612" t="inlineStr">
        <is>
          <t>Kommunal Boenhet</t>
        </is>
      </c>
      <c r="G612" t="n">
        <v>254</v>
      </c>
      <c r="H612" t="inlineStr">
        <is>
          <t>Helse og mestring</t>
        </is>
      </c>
      <c r="I612" t="inlineStr">
        <is>
          <t>2 Utgifter</t>
        </is>
      </c>
      <c r="J612" t="inlineStr">
        <is>
          <t>11 Refusjon lønn</t>
        </is>
      </c>
      <c r="K612" t="n">
        <v>1120</v>
      </c>
      <c r="L612" t="n">
        <v>112090</v>
      </c>
      <c r="M612" t="inlineStr">
        <is>
          <t>Annet forbruksmateriell, varer og tjenester</t>
        </is>
      </c>
      <c r="N612" s="98" t="n">
        <v>3536</v>
      </c>
      <c r="O612" s="98" t="n">
        <v>0</v>
      </c>
      <c r="P612" s="98" t="n">
        <v>0</v>
      </c>
      <c r="Q612" s="98" t="n">
        <v>-3536</v>
      </c>
    </row>
    <row r="613">
      <c r="A613" t="inlineStr">
        <is>
          <t>2024-12</t>
        </is>
      </c>
      <c r="B613" t="inlineStr">
        <is>
          <t>Desember</t>
        </is>
      </c>
      <c r="C613" t="n">
        <v>12</v>
      </c>
      <c r="D613" t="inlineStr">
        <is>
          <t>T3</t>
        </is>
      </c>
      <c r="E613" t="inlineStr">
        <is>
          <t>Gjenstående budsjett</t>
        </is>
      </c>
      <c r="F613" t="inlineStr">
        <is>
          <t>Kommunal Boenhet</t>
        </is>
      </c>
      <c r="G613" t="n">
        <v>254</v>
      </c>
      <c r="H613" t="inlineStr">
        <is>
          <t>Helse og mestring</t>
        </is>
      </c>
      <c r="I613" t="inlineStr">
        <is>
          <t>2 Utgifter</t>
        </is>
      </c>
      <c r="J613" t="inlineStr">
        <is>
          <t>11 Refusjon lønn</t>
        </is>
      </c>
      <c r="K613" t="n">
        <v>1120</v>
      </c>
      <c r="L613" t="n">
        <v>112090</v>
      </c>
      <c r="M613" t="inlineStr">
        <is>
          <t>Annet forbruksmateriell, varer og tjenester</t>
        </is>
      </c>
      <c r="N613" s="98" t="n">
        <v>4104</v>
      </c>
      <c r="O613" s="98" t="n">
        <v>0</v>
      </c>
      <c r="P613" s="98" t="n">
        <v>0</v>
      </c>
      <c r="Q613" s="98" t="n">
        <v>-4104</v>
      </c>
    </row>
    <row r="614">
      <c r="A614" t="inlineStr">
        <is>
          <t>2024-01</t>
        </is>
      </c>
      <c r="B614" t="inlineStr">
        <is>
          <t>Januar</t>
        </is>
      </c>
      <c r="C614" t="n">
        <v>1</v>
      </c>
      <c r="D614" t="inlineStr">
        <is>
          <t>T1</t>
        </is>
      </c>
      <c r="E614" t="inlineStr">
        <is>
          <t>Bokført</t>
        </is>
      </c>
      <c r="F614" t="inlineStr">
        <is>
          <t>Kommunal Boenhet</t>
        </is>
      </c>
      <c r="G614" t="n">
        <v>254</v>
      </c>
      <c r="H614" t="inlineStr">
        <is>
          <t>Helse og mestring</t>
        </is>
      </c>
      <c r="I614" t="inlineStr">
        <is>
          <t>2 Utgifter</t>
        </is>
      </c>
      <c r="J614" t="inlineStr">
        <is>
          <t>11 Refusjon lønn</t>
        </is>
      </c>
      <c r="K614" t="n">
        <v>1120</v>
      </c>
      <c r="L614" t="n">
        <v>112098</v>
      </c>
      <c r="M614" t="inlineStr">
        <is>
          <t>Tilskudd lærlinger (intern)</t>
        </is>
      </c>
      <c r="N614" s="98" t="n">
        <v>0</v>
      </c>
      <c r="O614" s="98" t="n">
        <v>0</v>
      </c>
      <c r="P614" s="98" t="n">
        <v>0</v>
      </c>
      <c r="Q614" s="98" t="n">
        <v>0</v>
      </c>
    </row>
    <row r="615">
      <c r="A615" t="inlineStr">
        <is>
          <t>2024-02</t>
        </is>
      </c>
      <c r="B615" t="inlineStr">
        <is>
          <t>Februar</t>
        </is>
      </c>
      <c r="C615" t="n">
        <v>2</v>
      </c>
      <c r="D615" t="inlineStr">
        <is>
          <t>T1</t>
        </is>
      </c>
      <c r="E615" t="inlineStr">
        <is>
          <t>Bokført</t>
        </is>
      </c>
      <c r="F615" t="inlineStr">
        <is>
          <t>Kommunal Boenhet</t>
        </is>
      </c>
      <c r="G615" t="n">
        <v>254</v>
      </c>
      <c r="H615" t="inlineStr">
        <is>
          <t>Helse og mestring</t>
        </is>
      </c>
      <c r="I615" t="inlineStr">
        <is>
          <t>2 Utgifter</t>
        </is>
      </c>
      <c r="J615" t="inlineStr">
        <is>
          <t>11 Refusjon lønn</t>
        </is>
      </c>
      <c r="K615" t="n">
        <v>1120</v>
      </c>
      <c r="L615" t="n">
        <v>112098</v>
      </c>
      <c r="M615" t="inlineStr">
        <is>
          <t>Tilskudd lærlinger (intern)</t>
        </is>
      </c>
      <c r="N615" s="98" t="n">
        <v>0</v>
      </c>
      <c r="O615" s="98" t="n">
        <v>0</v>
      </c>
      <c r="P615" s="98" t="n">
        <v>0</v>
      </c>
      <c r="Q615" s="98" t="n">
        <v>0</v>
      </c>
    </row>
    <row r="616">
      <c r="A616" t="inlineStr">
        <is>
          <t>2024-03</t>
        </is>
      </c>
      <c r="B616" t="inlineStr">
        <is>
          <t>Mars</t>
        </is>
      </c>
      <c r="C616" t="n">
        <v>3</v>
      </c>
      <c r="D616" t="inlineStr">
        <is>
          <t>T1</t>
        </is>
      </c>
      <c r="E616" t="inlineStr">
        <is>
          <t>Bokført</t>
        </is>
      </c>
      <c r="F616" t="inlineStr">
        <is>
          <t>Kommunal Boenhet</t>
        </is>
      </c>
      <c r="G616" t="n">
        <v>254</v>
      </c>
      <c r="H616" t="inlineStr">
        <is>
          <t>Helse og mestring</t>
        </is>
      </c>
      <c r="I616" t="inlineStr">
        <is>
          <t>2 Utgifter</t>
        </is>
      </c>
      <c r="J616" t="inlineStr">
        <is>
          <t>11 Refusjon lønn</t>
        </is>
      </c>
      <c r="K616" t="n">
        <v>1120</v>
      </c>
      <c r="L616" t="n">
        <v>112098</v>
      </c>
      <c r="M616" t="inlineStr">
        <is>
          <t>Tilskudd lærlinger (intern)</t>
        </is>
      </c>
      <c r="N616" s="98" t="n">
        <v>0</v>
      </c>
      <c r="O616" s="98" t="n">
        <v>0</v>
      </c>
      <c r="P616" s="98" t="n">
        <v>0</v>
      </c>
      <c r="Q616" s="98" t="n">
        <v>0</v>
      </c>
    </row>
    <row r="617">
      <c r="A617" t="inlineStr">
        <is>
          <t>2024-04</t>
        </is>
      </c>
      <c r="B617" t="inlineStr">
        <is>
          <t>April</t>
        </is>
      </c>
      <c r="C617" t="n">
        <v>4</v>
      </c>
      <c r="D617" t="inlineStr">
        <is>
          <t>T1</t>
        </is>
      </c>
      <c r="E617" t="inlineStr">
        <is>
          <t>Bokført</t>
        </is>
      </c>
      <c r="F617" t="inlineStr">
        <is>
          <t>Kommunal Boenhet</t>
        </is>
      </c>
      <c r="G617" t="n">
        <v>254</v>
      </c>
      <c r="H617" t="inlineStr">
        <is>
          <t>Helse og mestring</t>
        </is>
      </c>
      <c r="I617" t="inlineStr">
        <is>
          <t>2 Utgifter</t>
        </is>
      </c>
      <c r="J617" t="inlineStr">
        <is>
          <t>11 Refusjon lønn</t>
        </is>
      </c>
      <c r="K617" t="n">
        <v>1120</v>
      </c>
      <c r="L617" t="n">
        <v>112098</v>
      </c>
      <c r="M617" t="inlineStr">
        <is>
          <t>Tilskudd lærlinger (intern)</t>
        </is>
      </c>
      <c r="N617" s="98" t="n">
        <v>0</v>
      </c>
      <c r="O617" s="98" t="n">
        <v>-61447</v>
      </c>
      <c r="P617" s="98" t="n">
        <v>61447</v>
      </c>
      <c r="Q617" s="98" t="n">
        <v>-61447</v>
      </c>
    </row>
    <row r="618">
      <c r="A618" t="inlineStr">
        <is>
          <t>2024-05</t>
        </is>
      </c>
      <c r="B618" t="inlineStr">
        <is>
          <t>Mai</t>
        </is>
      </c>
      <c r="C618" t="n">
        <v>5</v>
      </c>
      <c r="D618" t="inlineStr">
        <is>
          <t>T2</t>
        </is>
      </c>
      <c r="E618" t="inlineStr">
        <is>
          <t>Bokført</t>
        </is>
      </c>
      <c r="F618" t="inlineStr">
        <is>
          <t>Kommunal Boenhet</t>
        </is>
      </c>
      <c r="G618" t="n">
        <v>254</v>
      </c>
      <c r="H618" t="inlineStr">
        <is>
          <t>Helse og mestring</t>
        </is>
      </c>
      <c r="I618" t="inlineStr">
        <is>
          <t>2 Utgifter</t>
        </is>
      </c>
      <c r="J618" t="inlineStr">
        <is>
          <t>11 Refusjon lønn</t>
        </is>
      </c>
      <c r="K618" t="n">
        <v>1120</v>
      </c>
      <c r="L618" t="n">
        <v>112098</v>
      </c>
      <c r="M618" t="inlineStr">
        <is>
          <t>Tilskudd lærlinger (intern)</t>
        </is>
      </c>
      <c r="N618" s="98" t="n">
        <v>0</v>
      </c>
      <c r="O618" s="98" t="n">
        <v>0</v>
      </c>
      <c r="P618" s="98" t="n">
        <v>0</v>
      </c>
      <c r="Q618" s="98" t="n">
        <v>0</v>
      </c>
    </row>
    <row r="619">
      <c r="A619" t="inlineStr">
        <is>
          <t>2024-06</t>
        </is>
      </c>
      <c r="B619" t="inlineStr">
        <is>
          <t>Juni</t>
        </is>
      </c>
      <c r="C619" t="n">
        <v>6</v>
      </c>
      <c r="D619" t="inlineStr">
        <is>
          <t>T2</t>
        </is>
      </c>
      <c r="E619" t="inlineStr">
        <is>
          <t>Bokført</t>
        </is>
      </c>
      <c r="F619" t="inlineStr">
        <is>
          <t>Kommunal Boenhet</t>
        </is>
      </c>
      <c r="G619" t="n">
        <v>254</v>
      </c>
      <c r="H619" t="inlineStr">
        <is>
          <t>Helse og mestring</t>
        </is>
      </c>
      <c r="I619" t="inlineStr">
        <is>
          <t>2 Utgifter</t>
        </is>
      </c>
      <c r="J619" t="inlineStr">
        <is>
          <t>11 Refusjon lønn</t>
        </is>
      </c>
      <c r="K619" t="n">
        <v>1120</v>
      </c>
      <c r="L619" t="n">
        <v>112098</v>
      </c>
      <c r="M619" t="inlineStr">
        <is>
          <t>Tilskudd lærlinger (intern)</t>
        </is>
      </c>
      <c r="N619" s="98" t="n">
        <v>0</v>
      </c>
      <c r="O619" s="98" t="n">
        <v>0</v>
      </c>
      <c r="P619" s="98" t="n">
        <v>0</v>
      </c>
      <c r="Q619" s="98" t="n">
        <v>0</v>
      </c>
    </row>
    <row r="620">
      <c r="A620" t="inlineStr">
        <is>
          <t>2024-07</t>
        </is>
      </c>
      <c r="B620" t="inlineStr">
        <is>
          <t>Juli</t>
        </is>
      </c>
      <c r="C620" t="n">
        <v>7</v>
      </c>
      <c r="D620" t="inlineStr">
        <is>
          <t>T2</t>
        </is>
      </c>
      <c r="E620" t="inlineStr">
        <is>
          <t>Bokført</t>
        </is>
      </c>
      <c r="F620" t="inlineStr">
        <is>
          <t>Kommunal Boenhet</t>
        </is>
      </c>
      <c r="G620" t="n">
        <v>254</v>
      </c>
      <c r="H620" t="inlineStr">
        <is>
          <t>Helse og mestring</t>
        </is>
      </c>
      <c r="I620" t="inlineStr">
        <is>
          <t>2 Utgifter</t>
        </is>
      </c>
      <c r="J620" t="inlineStr">
        <is>
          <t>11 Refusjon lønn</t>
        </is>
      </c>
      <c r="K620" t="n">
        <v>1120</v>
      </c>
      <c r="L620" t="n">
        <v>112098</v>
      </c>
      <c r="M620" t="inlineStr">
        <is>
          <t>Tilskudd lærlinger (intern)</t>
        </is>
      </c>
      <c r="N620" s="98" t="n">
        <v>0</v>
      </c>
      <c r="O620" s="98" t="n">
        <v>0</v>
      </c>
      <c r="P620" s="98" t="n">
        <v>0</v>
      </c>
      <c r="Q620" s="98" t="n">
        <v>0</v>
      </c>
    </row>
    <row r="621">
      <c r="A621" t="inlineStr">
        <is>
          <t>2024-08</t>
        </is>
      </c>
      <c r="B621" t="inlineStr">
        <is>
          <t>August</t>
        </is>
      </c>
      <c r="C621" t="n">
        <v>8</v>
      </c>
      <c r="D621" t="inlineStr">
        <is>
          <t>T2</t>
        </is>
      </c>
      <c r="E621" t="inlineStr">
        <is>
          <t>Bokført</t>
        </is>
      </c>
      <c r="F621" t="inlineStr">
        <is>
          <t>Kommunal Boenhet</t>
        </is>
      </c>
      <c r="G621" t="n">
        <v>254</v>
      </c>
      <c r="H621" t="inlineStr">
        <is>
          <t>Helse og mestring</t>
        </is>
      </c>
      <c r="I621" t="inlineStr">
        <is>
          <t>2 Utgifter</t>
        </is>
      </c>
      <c r="J621" t="inlineStr">
        <is>
          <t>11 Refusjon lønn</t>
        </is>
      </c>
      <c r="K621" t="n">
        <v>1120</v>
      </c>
      <c r="L621" t="n">
        <v>112098</v>
      </c>
      <c r="M621" t="inlineStr">
        <is>
          <t>Tilskudd lærlinger (intern)</t>
        </is>
      </c>
      <c r="N621" s="98" t="n">
        <v>0</v>
      </c>
      <c r="O621" s="98" t="n">
        <v>-99000</v>
      </c>
      <c r="P621" s="98" t="n">
        <v>99000</v>
      </c>
      <c r="Q621" s="98" t="n">
        <v>-99000</v>
      </c>
    </row>
    <row r="622">
      <c r="A622" t="inlineStr">
        <is>
          <t>2024-09</t>
        </is>
      </c>
      <c r="B622" t="inlineStr">
        <is>
          <t>September</t>
        </is>
      </c>
      <c r="C622" t="n">
        <v>9</v>
      </c>
      <c r="D622" t="inlineStr">
        <is>
          <t>T3</t>
        </is>
      </c>
      <c r="E622" t="inlineStr">
        <is>
          <t>Gjenstående budsjett</t>
        </is>
      </c>
      <c r="F622" t="inlineStr">
        <is>
          <t>Kommunal Boenhet</t>
        </is>
      </c>
      <c r="G622" t="n">
        <v>254</v>
      </c>
      <c r="H622" t="inlineStr">
        <is>
          <t>Helse og mestring</t>
        </is>
      </c>
      <c r="I622" t="inlineStr">
        <is>
          <t>2 Utgifter</t>
        </is>
      </c>
      <c r="J622" t="inlineStr">
        <is>
          <t>11 Refusjon lønn</t>
        </is>
      </c>
      <c r="K622" t="n">
        <v>1120</v>
      </c>
      <c r="L622" t="n">
        <v>112098</v>
      </c>
      <c r="M622" t="inlineStr">
        <is>
          <t>Tilskudd lærlinger (intern)</t>
        </is>
      </c>
      <c r="N622" s="98" t="n">
        <v>0</v>
      </c>
      <c r="O622" s="98" t="n">
        <v>0</v>
      </c>
      <c r="P622" s="98" t="n">
        <v>0</v>
      </c>
      <c r="Q622" s="98" t="n">
        <v>0</v>
      </c>
    </row>
    <row r="623">
      <c r="A623" t="inlineStr">
        <is>
          <t>2024-10</t>
        </is>
      </c>
      <c r="B623" t="inlineStr">
        <is>
          <t>Oktober</t>
        </is>
      </c>
      <c r="C623" t="n">
        <v>10</v>
      </c>
      <c r="D623" t="inlineStr">
        <is>
          <t>T3</t>
        </is>
      </c>
      <c r="E623" t="inlineStr">
        <is>
          <t>Gjenstående budsjett</t>
        </is>
      </c>
      <c r="F623" t="inlineStr">
        <is>
          <t>Kommunal Boenhet</t>
        </is>
      </c>
      <c r="G623" t="n">
        <v>254</v>
      </c>
      <c r="H623" t="inlineStr">
        <is>
          <t>Helse og mestring</t>
        </is>
      </c>
      <c r="I623" t="inlineStr">
        <is>
          <t>2 Utgifter</t>
        </is>
      </c>
      <c r="J623" t="inlineStr">
        <is>
          <t>11 Refusjon lønn</t>
        </is>
      </c>
      <c r="K623" t="n">
        <v>1120</v>
      </c>
      <c r="L623" t="n">
        <v>112098</v>
      </c>
      <c r="M623" t="inlineStr">
        <is>
          <t>Tilskudd lærlinger (intern)</t>
        </is>
      </c>
      <c r="N623" s="98" t="n">
        <v>0</v>
      </c>
      <c r="O623" s="98" t="n">
        <v>0</v>
      </c>
      <c r="P623" s="98" t="n">
        <v>0</v>
      </c>
      <c r="Q623" s="98" t="n">
        <v>0</v>
      </c>
    </row>
    <row r="624">
      <c r="A624" t="inlineStr">
        <is>
          <t>2024-11</t>
        </is>
      </c>
      <c r="B624" t="inlineStr">
        <is>
          <t>November</t>
        </is>
      </c>
      <c r="C624" t="n">
        <v>11</v>
      </c>
      <c r="D624" t="inlineStr">
        <is>
          <t>T3</t>
        </is>
      </c>
      <c r="E624" t="inlineStr">
        <is>
          <t>Gjenstående budsjett</t>
        </is>
      </c>
      <c r="F624" t="inlineStr">
        <is>
          <t>Kommunal Boenhet</t>
        </is>
      </c>
      <c r="G624" t="n">
        <v>254</v>
      </c>
      <c r="H624" t="inlineStr">
        <is>
          <t>Helse og mestring</t>
        </is>
      </c>
      <c r="I624" t="inlineStr">
        <is>
          <t>2 Utgifter</t>
        </is>
      </c>
      <c r="J624" t="inlineStr">
        <is>
          <t>11 Refusjon lønn</t>
        </is>
      </c>
      <c r="K624" t="n">
        <v>1120</v>
      </c>
      <c r="L624" t="n">
        <v>112098</v>
      </c>
      <c r="M624" t="inlineStr">
        <is>
          <t>Tilskudd lærlinger (intern)</t>
        </is>
      </c>
      <c r="N624" s="98" t="n">
        <v>0</v>
      </c>
      <c r="O624" s="98" t="n">
        <v>0</v>
      </c>
      <c r="P624" s="98" t="n">
        <v>0</v>
      </c>
      <c r="Q624" s="98" t="n">
        <v>0</v>
      </c>
    </row>
    <row r="625">
      <c r="A625" t="inlineStr">
        <is>
          <t>2024-12</t>
        </is>
      </c>
      <c r="B625" t="inlineStr">
        <is>
          <t>Desember</t>
        </is>
      </c>
      <c r="C625" t="n">
        <v>12</v>
      </c>
      <c r="D625" t="inlineStr">
        <is>
          <t>T3</t>
        </is>
      </c>
      <c r="E625" t="inlineStr">
        <is>
          <t>Gjenstående budsjett</t>
        </is>
      </c>
      <c r="F625" t="inlineStr">
        <is>
          <t>Kommunal Boenhet</t>
        </is>
      </c>
      <c r="G625" t="n">
        <v>254</v>
      </c>
      <c r="H625" t="inlineStr">
        <is>
          <t>Helse og mestring</t>
        </is>
      </c>
      <c r="I625" t="inlineStr">
        <is>
          <t>2 Utgifter</t>
        </is>
      </c>
      <c r="J625" t="inlineStr">
        <is>
          <t>11 Refusjon lønn</t>
        </is>
      </c>
      <c r="K625" t="n">
        <v>1120</v>
      </c>
      <c r="L625" t="n">
        <v>112098</v>
      </c>
      <c r="M625" t="inlineStr">
        <is>
          <t>Tilskudd lærlinger (intern)</t>
        </is>
      </c>
      <c r="N625" s="98" t="n">
        <v>0</v>
      </c>
      <c r="O625" s="98" t="n">
        <v>0</v>
      </c>
      <c r="P625" s="98" t="n">
        <v>0</v>
      </c>
      <c r="Q625" s="98" t="n">
        <v>0</v>
      </c>
    </row>
    <row r="626">
      <c r="A626" t="inlineStr">
        <is>
          <t>2024-01</t>
        </is>
      </c>
      <c r="B626" t="inlineStr">
        <is>
          <t>Januar</t>
        </is>
      </c>
      <c r="C626" t="n">
        <v>1</v>
      </c>
      <c r="D626" t="inlineStr">
        <is>
          <t>T1</t>
        </is>
      </c>
      <c r="E626" t="inlineStr">
        <is>
          <t>Bokført</t>
        </is>
      </c>
      <c r="F626" t="inlineStr">
        <is>
          <t>Kommunal Boenhet</t>
        </is>
      </c>
      <c r="G626" t="n">
        <v>254</v>
      </c>
      <c r="H626" t="inlineStr">
        <is>
          <t>Helse og mestring</t>
        </is>
      </c>
      <c r="I626" t="inlineStr">
        <is>
          <t>2 Utgifter</t>
        </is>
      </c>
      <c r="J626" t="inlineStr">
        <is>
          <t>11 Refusjon lønn</t>
        </is>
      </c>
      <c r="K626" t="n">
        <v>1120</v>
      </c>
      <c r="L626" t="n">
        <v>112099</v>
      </c>
      <c r="M626" t="inlineStr">
        <is>
          <t>Interne inntekter/utgifter</t>
        </is>
      </c>
      <c r="N626" s="98" t="n">
        <v>0</v>
      </c>
      <c r="O626" s="98" t="n">
        <v>0</v>
      </c>
      <c r="P626" s="98" t="n">
        <v>0</v>
      </c>
      <c r="Q626" s="98" t="n">
        <v>0</v>
      </c>
    </row>
    <row r="627">
      <c r="A627" t="inlineStr">
        <is>
          <t>2024-02</t>
        </is>
      </c>
      <c r="B627" t="inlineStr">
        <is>
          <t>Februar</t>
        </is>
      </c>
      <c r="C627" t="n">
        <v>2</v>
      </c>
      <c r="D627" t="inlineStr">
        <is>
          <t>T1</t>
        </is>
      </c>
      <c r="E627" t="inlineStr">
        <is>
          <t>Bokført</t>
        </is>
      </c>
      <c r="F627" t="inlineStr">
        <is>
          <t>Kommunal Boenhet</t>
        </is>
      </c>
      <c r="G627" t="n">
        <v>254</v>
      </c>
      <c r="H627" t="inlineStr">
        <is>
          <t>Helse og mestring</t>
        </is>
      </c>
      <c r="I627" t="inlineStr">
        <is>
          <t>2 Utgifter</t>
        </is>
      </c>
      <c r="J627" t="inlineStr">
        <is>
          <t>11 Refusjon lønn</t>
        </is>
      </c>
      <c r="K627" t="n">
        <v>1120</v>
      </c>
      <c r="L627" t="n">
        <v>112099</v>
      </c>
      <c r="M627" t="inlineStr">
        <is>
          <t>Interne inntekter/utgifter</t>
        </is>
      </c>
      <c r="N627" s="98" t="n">
        <v>0</v>
      </c>
      <c r="O627" s="98" t="n">
        <v>0</v>
      </c>
      <c r="P627" s="98" t="n">
        <v>0</v>
      </c>
      <c r="Q627" s="98" t="n">
        <v>0</v>
      </c>
    </row>
    <row r="628">
      <c r="A628" t="inlineStr">
        <is>
          <t>2024-03</t>
        </is>
      </c>
      <c r="B628" t="inlineStr">
        <is>
          <t>Mars</t>
        </is>
      </c>
      <c r="C628" t="n">
        <v>3</v>
      </c>
      <c r="D628" t="inlineStr">
        <is>
          <t>T1</t>
        </is>
      </c>
      <c r="E628" t="inlineStr">
        <is>
          <t>Bokført</t>
        </is>
      </c>
      <c r="F628" t="inlineStr">
        <is>
          <t>Kommunal Boenhet</t>
        </is>
      </c>
      <c r="G628" t="n">
        <v>254</v>
      </c>
      <c r="H628" t="inlineStr">
        <is>
          <t>Helse og mestring</t>
        </is>
      </c>
      <c r="I628" t="inlineStr">
        <is>
          <t>2 Utgifter</t>
        </is>
      </c>
      <c r="J628" t="inlineStr">
        <is>
          <t>11 Refusjon lønn</t>
        </is>
      </c>
      <c r="K628" t="n">
        <v>1120</v>
      </c>
      <c r="L628" t="n">
        <v>112099</v>
      </c>
      <c r="M628" t="inlineStr">
        <is>
          <t>Interne inntekter/utgifter</t>
        </is>
      </c>
      <c r="N628" s="98" t="n">
        <v>0</v>
      </c>
      <c r="O628" s="98" t="n">
        <v>100</v>
      </c>
      <c r="P628" s="98" t="n">
        <v>-100</v>
      </c>
      <c r="Q628" s="98" t="n">
        <v>100</v>
      </c>
    </row>
    <row r="629">
      <c r="A629" t="inlineStr">
        <is>
          <t>2024-04</t>
        </is>
      </c>
      <c r="B629" t="inlineStr">
        <is>
          <t>April</t>
        </is>
      </c>
      <c r="C629" t="n">
        <v>4</v>
      </c>
      <c r="D629" t="inlineStr">
        <is>
          <t>T1</t>
        </is>
      </c>
      <c r="E629" t="inlineStr">
        <is>
          <t>Bokført</t>
        </is>
      </c>
      <c r="F629" t="inlineStr">
        <is>
          <t>Kommunal Boenhet</t>
        </is>
      </c>
      <c r="G629" t="n">
        <v>254</v>
      </c>
      <c r="H629" t="inlineStr">
        <is>
          <t>Helse og mestring</t>
        </is>
      </c>
      <c r="I629" t="inlineStr">
        <is>
          <t>2 Utgifter</t>
        </is>
      </c>
      <c r="J629" t="inlineStr">
        <is>
          <t>11 Refusjon lønn</t>
        </is>
      </c>
      <c r="K629" t="n">
        <v>1120</v>
      </c>
      <c r="L629" t="n">
        <v>112099</v>
      </c>
      <c r="M629" t="inlineStr">
        <is>
          <t>Interne inntekter/utgifter</t>
        </is>
      </c>
      <c r="N629" s="98" t="n">
        <v>0</v>
      </c>
      <c r="O629" s="98" t="n">
        <v>308</v>
      </c>
      <c r="P629" s="98" t="n">
        <v>-308</v>
      </c>
      <c r="Q629" s="98" t="n">
        <v>308</v>
      </c>
    </row>
    <row r="630">
      <c r="A630" t="inlineStr">
        <is>
          <t>2024-05</t>
        </is>
      </c>
      <c r="B630" t="inlineStr">
        <is>
          <t>Mai</t>
        </is>
      </c>
      <c r="C630" t="n">
        <v>5</v>
      </c>
      <c r="D630" t="inlineStr">
        <is>
          <t>T2</t>
        </is>
      </c>
      <c r="E630" t="inlineStr">
        <is>
          <t>Bokført</t>
        </is>
      </c>
      <c r="F630" t="inlineStr">
        <is>
          <t>Kommunal Boenhet</t>
        </is>
      </c>
      <c r="G630" t="n">
        <v>254</v>
      </c>
      <c r="H630" t="inlineStr">
        <is>
          <t>Helse og mestring</t>
        </is>
      </c>
      <c r="I630" t="inlineStr">
        <is>
          <t>2 Utgifter</t>
        </is>
      </c>
      <c r="J630" t="inlineStr">
        <is>
          <t>11 Refusjon lønn</t>
        </is>
      </c>
      <c r="K630" t="n">
        <v>1120</v>
      </c>
      <c r="L630" t="n">
        <v>112099</v>
      </c>
      <c r="M630" t="inlineStr">
        <is>
          <t>Interne inntekter/utgifter</t>
        </is>
      </c>
      <c r="N630" s="98" t="n">
        <v>0</v>
      </c>
      <c r="O630" s="98" t="n">
        <v>0</v>
      </c>
      <c r="P630" s="98" t="n">
        <v>0</v>
      </c>
      <c r="Q630" s="98" t="n">
        <v>0</v>
      </c>
    </row>
    <row r="631">
      <c r="A631" t="inlineStr">
        <is>
          <t>2024-06</t>
        </is>
      </c>
      <c r="B631" t="inlineStr">
        <is>
          <t>Juni</t>
        </is>
      </c>
      <c r="C631" t="n">
        <v>6</v>
      </c>
      <c r="D631" t="inlineStr">
        <is>
          <t>T2</t>
        </is>
      </c>
      <c r="E631" t="inlineStr">
        <is>
          <t>Bokført</t>
        </is>
      </c>
      <c r="F631" t="inlineStr">
        <is>
          <t>Kommunal Boenhet</t>
        </is>
      </c>
      <c r="G631" t="n">
        <v>254</v>
      </c>
      <c r="H631" t="inlineStr">
        <is>
          <t>Helse og mestring</t>
        </is>
      </c>
      <c r="I631" t="inlineStr">
        <is>
          <t>2 Utgifter</t>
        </is>
      </c>
      <c r="J631" t="inlineStr">
        <is>
          <t>11 Refusjon lønn</t>
        </is>
      </c>
      <c r="K631" t="n">
        <v>1120</v>
      </c>
      <c r="L631" t="n">
        <v>112099</v>
      </c>
      <c r="M631" t="inlineStr">
        <is>
          <t>Interne inntekter/utgifter</t>
        </is>
      </c>
      <c r="N631" s="98" t="n">
        <v>0</v>
      </c>
      <c r="O631" s="98" t="n">
        <v>205</v>
      </c>
      <c r="P631" s="98" t="n">
        <v>-205</v>
      </c>
      <c r="Q631" s="98" t="n">
        <v>205</v>
      </c>
    </row>
    <row r="632">
      <c r="A632" t="inlineStr">
        <is>
          <t>2024-07</t>
        </is>
      </c>
      <c r="B632" t="inlineStr">
        <is>
          <t>Juli</t>
        </is>
      </c>
      <c r="C632" t="n">
        <v>7</v>
      </c>
      <c r="D632" t="inlineStr">
        <is>
          <t>T2</t>
        </is>
      </c>
      <c r="E632" t="inlineStr">
        <is>
          <t>Bokført</t>
        </is>
      </c>
      <c r="F632" t="inlineStr">
        <is>
          <t>Kommunal Boenhet</t>
        </is>
      </c>
      <c r="G632" t="n">
        <v>254</v>
      </c>
      <c r="H632" t="inlineStr">
        <is>
          <t>Helse og mestring</t>
        </is>
      </c>
      <c r="I632" t="inlineStr">
        <is>
          <t>2 Utgifter</t>
        </is>
      </c>
      <c r="J632" t="inlineStr">
        <is>
          <t>11 Refusjon lønn</t>
        </is>
      </c>
      <c r="K632" t="n">
        <v>1120</v>
      </c>
      <c r="L632" t="n">
        <v>112099</v>
      </c>
      <c r="M632" t="inlineStr">
        <is>
          <t>Interne inntekter/utgifter</t>
        </is>
      </c>
      <c r="N632" s="98" t="n">
        <v>0</v>
      </c>
      <c r="O632" s="98" t="n">
        <v>0</v>
      </c>
      <c r="P632" s="98" t="n">
        <v>0</v>
      </c>
      <c r="Q632" s="98" t="n">
        <v>0</v>
      </c>
    </row>
    <row r="633">
      <c r="A633" t="inlineStr">
        <is>
          <t>2024-08</t>
        </is>
      </c>
      <c r="B633" t="inlineStr">
        <is>
          <t>August</t>
        </is>
      </c>
      <c r="C633" t="n">
        <v>8</v>
      </c>
      <c r="D633" t="inlineStr">
        <is>
          <t>T2</t>
        </is>
      </c>
      <c r="E633" t="inlineStr">
        <is>
          <t>Bokført</t>
        </is>
      </c>
      <c r="F633" t="inlineStr">
        <is>
          <t>Kommunal Boenhet</t>
        </is>
      </c>
      <c r="G633" t="n">
        <v>254</v>
      </c>
      <c r="H633" t="inlineStr">
        <is>
          <t>Helse og mestring</t>
        </is>
      </c>
      <c r="I633" t="inlineStr">
        <is>
          <t>2 Utgifter</t>
        </is>
      </c>
      <c r="J633" t="inlineStr">
        <is>
          <t>11 Refusjon lønn</t>
        </is>
      </c>
      <c r="K633" t="n">
        <v>1120</v>
      </c>
      <c r="L633" t="n">
        <v>112099</v>
      </c>
      <c r="M633" t="inlineStr">
        <is>
          <t>Interne inntekter/utgifter</t>
        </is>
      </c>
      <c r="N633" s="98" t="n">
        <v>0</v>
      </c>
      <c r="O633" s="98" t="n">
        <v>0</v>
      </c>
      <c r="P633" s="98" t="n">
        <v>0</v>
      </c>
      <c r="Q633" s="98" t="n">
        <v>0</v>
      </c>
    </row>
    <row r="634">
      <c r="A634" t="inlineStr">
        <is>
          <t>2024-09</t>
        </is>
      </c>
      <c r="B634" t="inlineStr">
        <is>
          <t>September</t>
        </is>
      </c>
      <c r="C634" t="n">
        <v>9</v>
      </c>
      <c r="D634" t="inlineStr">
        <is>
          <t>T3</t>
        </is>
      </c>
      <c r="E634" t="inlineStr">
        <is>
          <t>Gjenstående budsjett</t>
        </is>
      </c>
      <c r="F634" t="inlineStr">
        <is>
          <t>Kommunal Boenhet</t>
        </is>
      </c>
      <c r="G634" t="n">
        <v>254</v>
      </c>
      <c r="H634" t="inlineStr">
        <is>
          <t>Helse og mestring</t>
        </is>
      </c>
      <c r="I634" t="inlineStr">
        <is>
          <t>2 Utgifter</t>
        </is>
      </c>
      <c r="J634" t="inlineStr">
        <is>
          <t>11 Refusjon lønn</t>
        </is>
      </c>
      <c r="K634" t="n">
        <v>1120</v>
      </c>
      <c r="L634" t="n">
        <v>112099</v>
      </c>
      <c r="M634" t="inlineStr">
        <is>
          <t>Interne inntekter/utgifter</t>
        </is>
      </c>
      <c r="N634" s="98" t="n">
        <v>0</v>
      </c>
      <c r="O634" s="98" t="n">
        <v>0</v>
      </c>
      <c r="P634" s="98" t="n">
        <v>0</v>
      </c>
      <c r="Q634" s="98" t="n">
        <v>0</v>
      </c>
    </row>
    <row r="635">
      <c r="A635" t="inlineStr">
        <is>
          <t>2024-10</t>
        </is>
      </c>
      <c r="B635" t="inlineStr">
        <is>
          <t>Oktober</t>
        </is>
      </c>
      <c r="C635" t="n">
        <v>10</v>
      </c>
      <c r="D635" t="inlineStr">
        <is>
          <t>T3</t>
        </is>
      </c>
      <c r="E635" t="inlineStr">
        <is>
          <t>Gjenstående budsjett</t>
        </is>
      </c>
      <c r="F635" t="inlineStr">
        <is>
          <t>Kommunal Boenhet</t>
        </is>
      </c>
      <c r="G635" t="n">
        <v>254</v>
      </c>
      <c r="H635" t="inlineStr">
        <is>
          <t>Helse og mestring</t>
        </is>
      </c>
      <c r="I635" t="inlineStr">
        <is>
          <t>2 Utgifter</t>
        </is>
      </c>
      <c r="J635" t="inlineStr">
        <is>
          <t>11 Refusjon lønn</t>
        </is>
      </c>
      <c r="K635" t="n">
        <v>1120</v>
      </c>
      <c r="L635" t="n">
        <v>112099</v>
      </c>
      <c r="M635" t="inlineStr">
        <is>
          <t>Interne inntekter/utgifter</t>
        </is>
      </c>
      <c r="N635" s="98" t="n">
        <v>0</v>
      </c>
      <c r="O635" s="98" t="n">
        <v>0</v>
      </c>
      <c r="P635" s="98" t="n">
        <v>0</v>
      </c>
      <c r="Q635" s="98" t="n">
        <v>0</v>
      </c>
    </row>
    <row r="636">
      <c r="A636" t="inlineStr">
        <is>
          <t>2024-11</t>
        </is>
      </c>
      <c r="B636" t="inlineStr">
        <is>
          <t>November</t>
        </is>
      </c>
      <c r="C636" t="n">
        <v>11</v>
      </c>
      <c r="D636" t="inlineStr">
        <is>
          <t>T3</t>
        </is>
      </c>
      <c r="E636" t="inlineStr">
        <is>
          <t>Gjenstående budsjett</t>
        </is>
      </c>
      <c r="F636" t="inlineStr">
        <is>
          <t>Kommunal Boenhet</t>
        </is>
      </c>
      <c r="G636" t="n">
        <v>254</v>
      </c>
      <c r="H636" t="inlineStr">
        <is>
          <t>Helse og mestring</t>
        </is>
      </c>
      <c r="I636" t="inlineStr">
        <is>
          <t>2 Utgifter</t>
        </is>
      </c>
      <c r="J636" t="inlineStr">
        <is>
          <t>11 Refusjon lønn</t>
        </is>
      </c>
      <c r="K636" t="n">
        <v>1120</v>
      </c>
      <c r="L636" t="n">
        <v>112099</v>
      </c>
      <c r="M636" t="inlineStr">
        <is>
          <t>Interne inntekter/utgifter</t>
        </is>
      </c>
      <c r="N636" s="98" t="n">
        <v>0</v>
      </c>
      <c r="O636" s="98" t="n">
        <v>0</v>
      </c>
      <c r="P636" s="98" t="n">
        <v>0</v>
      </c>
      <c r="Q636" s="98" t="n">
        <v>0</v>
      </c>
    </row>
    <row r="637">
      <c r="A637" t="inlineStr">
        <is>
          <t>2024-12</t>
        </is>
      </c>
      <c r="B637" t="inlineStr">
        <is>
          <t>Desember</t>
        </is>
      </c>
      <c r="C637" t="n">
        <v>12</v>
      </c>
      <c r="D637" t="inlineStr">
        <is>
          <t>T3</t>
        </is>
      </c>
      <c r="E637" t="inlineStr">
        <is>
          <t>Gjenstående budsjett</t>
        </is>
      </c>
      <c r="F637" t="inlineStr">
        <is>
          <t>Kommunal Boenhet</t>
        </is>
      </c>
      <c r="G637" t="n">
        <v>254</v>
      </c>
      <c r="H637" t="inlineStr">
        <is>
          <t>Helse og mestring</t>
        </is>
      </c>
      <c r="I637" t="inlineStr">
        <is>
          <t>2 Utgifter</t>
        </is>
      </c>
      <c r="J637" t="inlineStr">
        <is>
          <t>11 Refusjon lønn</t>
        </is>
      </c>
      <c r="K637" t="n">
        <v>1120</v>
      </c>
      <c r="L637" t="n">
        <v>112099</v>
      </c>
      <c r="M637" t="inlineStr">
        <is>
          <t>Interne inntekter/utgifter</t>
        </is>
      </c>
      <c r="N637" s="98" t="n">
        <v>0</v>
      </c>
      <c r="O637" s="98" t="n">
        <v>0</v>
      </c>
      <c r="P637" s="98" t="n">
        <v>0</v>
      </c>
      <c r="Q637" s="98" t="n">
        <v>0</v>
      </c>
    </row>
    <row r="638">
      <c r="A638" t="inlineStr">
        <is>
          <t>2024-01</t>
        </is>
      </c>
      <c r="B638" t="inlineStr">
        <is>
          <t>Januar</t>
        </is>
      </c>
      <c r="C638" t="n">
        <v>1</v>
      </c>
      <c r="D638" t="inlineStr">
        <is>
          <t>T1</t>
        </is>
      </c>
      <c r="E638" t="inlineStr">
        <is>
          <t>Bokført</t>
        </is>
      </c>
      <c r="F638" t="inlineStr">
        <is>
          <t>Kommunal Boenhet</t>
        </is>
      </c>
      <c r="G638" t="n">
        <v>254</v>
      </c>
      <c r="H638" t="inlineStr">
        <is>
          <t>Helse og mestring</t>
        </is>
      </c>
      <c r="I638" t="inlineStr">
        <is>
          <t>2 Utgifter</t>
        </is>
      </c>
      <c r="J638" t="inlineStr">
        <is>
          <t>11 Refusjon lønn</t>
        </is>
      </c>
      <c r="K638" t="n">
        <v>1130</v>
      </c>
      <c r="L638" t="n">
        <v>113000</v>
      </c>
      <c r="M638" t="inlineStr">
        <is>
          <t>Abonnement / samtale for mobil, telefon, nettbrett</t>
        </is>
      </c>
      <c r="N638" s="98" t="n">
        <v>850</v>
      </c>
      <c r="O638" s="98" t="n">
        <v>0</v>
      </c>
      <c r="P638" s="98" t="n">
        <v>850</v>
      </c>
      <c r="Q638" s="98" t="n">
        <v>-850</v>
      </c>
    </row>
    <row r="639">
      <c r="A639" t="inlineStr">
        <is>
          <t>2024-02</t>
        </is>
      </c>
      <c r="B639" t="inlineStr">
        <is>
          <t>Februar</t>
        </is>
      </c>
      <c r="C639" t="n">
        <v>2</v>
      </c>
      <c r="D639" t="inlineStr">
        <is>
          <t>T1</t>
        </is>
      </c>
      <c r="E639" t="inlineStr">
        <is>
          <t>Bokført</t>
        </is>
      </c>
      <c r="F639" t="inlineStr">
        <is>
          <t>Kommunal Boenhet</t>
        </is>
      </c>
      <c r="G639" t="n">
        <v>254</v>
      </c>
      <c r="H639" t="inlineStr">
        <is>
          <t>Helse og mestring</t>
        </is>
      </c>
      <c r="I639" t="inlineStr">
        <is>
          <t>2 Utgifter</t>
        </is>
      </c>
      <c r="J639" t="inlineStr">
        <is>
          <t>11 Refusjon lønn</t>
        </is>
      </c>
      <c r="K639" t="n">
        <v>1130</v>
      </c>
      <c r="L639" t="n">
        <v>113000</v>
      </c>
      <c r="M639" t="inlineStr">
        <is>
          <t>Abonnement / samtale for mobil, telefon, nettbrett</t>
        </is>
      </c>
      <c r="N639" s="98" t="n">
        <v>850</v>
      </c>
      <c r="O639" s="98" t="n">
        <v>137.99</v>
      </c>
      <c r="P639" s="98" t="n">
        <v>712.01</v>
      </c>
      <c r="Q639" s="98" t="n">
        <v>-712.01</v>
      </c>
    </row>
    <row r="640">
      <c r="A640" t="inlineStr">
        <is>
          <t>2024-03</t>
        </is>
      </c>
      <c r="B640" t="inlineStr">
        <is>
          <t>Mars</t>
        </is>
      </c>
      <c r="C640" t="n">
        <v>3</v>
      </c>
      <c r="D640" t="inlineStr">
        <is>
          <t>T1</t>
        </is>
      </c>
      <c r="E640" t="inlineStr">
        <is>
          <t>Bokført</t>
        </is>
      </c>
      <c r="F640" t="inlineStr">
        <is>
          <t>Kommunal Boenhet</t>
        </is>
      </c>
      <c r="G640" t="n">
        <v>254</v>
      </c>
      <c r="H640" t="inlineStr">
        <is>
          <t>Helse og mestring</t>
        </is>
      </c>
      <c r="I640" t="inlineStr">
        <is>
          <t>2 Utgifter</t>
        </is>
      </c>
      <c r="J640" t="inlineStr">
        <is>
          <t>11 Refusjon lønn</t>
        </is>
      </c>
      <c r="K640" t="n">
        <v>1130</v>
      </c>
      <c r="L640" t="n">
        <v>113000</v>
      </c>
      <c r="M640" t="inlineStr">
        <is>
          <t>Abonnement / samtale for mobil, telefon, nettbrett</t>
        </is>
      </c>
      <c r="N640" s="98" t="n">
        <v>850</v>
      </c>
      <c r="O640" s="98" t="n">
        <v>273.21</v>
      </c>
      <c r="P640" s="98" t="n">
        <v>576.79</v>
      </c>
      <c r="Q640" s="98" t="n">
        <v>-576.79</v>
      </c>
    </row>
    <row r="641">
      <c r="A641" t="inlineStr">
        <is>
          <t>2024-04</t>
        </is>
      </c>
      <c r="B641" t="inlineStr">
        <is>
          <t>April</t>
        </is>
      </c>
      <c r="C641" t="n">
        <v>4</v>
      </c>
      <c r="D641" t="inlineStr">
        <is>
          <t>T1</t>
        </is>
      </c>
      <c r="E641" t="inlineStr">
        <is>
          <t>Bokført</t>
        </is>
      </c>
      <c r="F641" t="inlineStr">
        <is>
          <t>Kommunal Boenhet</t>
        </is>
      </c>
      <c r="G641" t="n">
        <v>254</v>
      </c>
      <c r="H641" t="inlineStr">
        <is>
          <t>Helse og mestring</t>
        </is>
      </c>
      <c r="I641" t="inlineStr">
        <is>
          <t>2 Utgifter</t>
        </is>
      </c>
      <c r="J641" t="inlineStr">
        <is>
          <t>11 Refusjon lønn</t>
        </is>
      </c>
      <c r="K641" t="n">
        <v>1130</v>
      </c>
      <c r="L641" t="n">
        <v>113000</v>
      </c>
      <c r="M641" t="inlineStr">
        <is>
          <t>Abonnement / samtale for mobil, telefon, nettbrett</t>
        </is>
      </c>
      <c r="N641" s="98" t="n">
        <v>850</v>
      </c>
      <c r="O641" s="98" t="n">
        <v>137</v>
      </c>
      <c r="P641" s="98" t="n">
        <v>713</v>
      </c>
      <c r="Q641" s="98" t="n">
        <v>-713</v>
      </c>
    </row>
    <row r="642">
      <c r="A642" t="inlineStr">
        <is>
          <t>2024-05</t>
        </is>
      </c>
      <c r="B642" t="inlineStr">
        <is>
          <t>Mai</t>
        </is>
      </c>
      <c r="C642" t="n">
        <v>5</v>
      </c>
      <c r="D642" t="inlineStr">
        <is>
          <t>T2</t>
        </is>
      </c>
      <c r="E642" t="inlineStr">
        <is>
          <t>Bokført</t>
        </is>
      </c>
      <c r="F642" t="inlineStr">
        <is>
          <t>Kommunal Boenhet</t>
        </is>
      </c>
      <c r="G642" t="n">
        <v>254</v>
      </c>
      <c r="H642" t="inlineStr">
        <is>
          <t>Helse og mestring</t>
        </is>
      </c>
      <c r="I642" t="inlineStr">
        <is>
          <t>2 Utgifter</t>
        </is>
      </c>
      <c r="J642" t="inlineStr">
        <is>
          <t>11 Refusjon lønn</t>
        </is>
      </c>
      <c r="K642" t="n">
        <v>1130</v>
      </c>
      <c r="L642" t="n">
        <v>113000</v>
      </c>
      <c r="M642" t="inlineStr">
        <is>
          <t>Abonnement / samtale for mobil, telefon, nettbrett</t>
        </is>
      </c>
      <c r="N642" s="98" t="n">
        <v>850</v>
      </c>
      <c r="O642" s="98" t="n">
        <v>138.98</v>
      </c>
      <c r="P642" s="98" t="n">
        <v>711.02</v>
      </c>
      <c r="Q642" s="98" t="n">
        <v>-711.02</v>
      </c>
    </row>
    <row r="643">
      <c r="A643" t="inlineStr">
        <is>
          <t>2024-06</t>
        </is>
      </c>
      <c r="B643" t="inlineStr">
        <is>
          <t>Juni</t>
        </is>
      </c>
      <c r="C643" t="n">
        <v>6</v>
      </c>
      <c r="D643" t="inlineStr">
        <is>
          <t>T2</t>
        </is>
      </c>
      <c r="E643" t="inlineStr">
        <is>
          <t>Bokført</t>
        </is>
      </c>
      <c r="F643" t="inlineStr">
        <is>
          <t>Kommunal Boenhet</t>
        </is>
      </c>
      <c r="G643" t="n">
        <v>254</v>
      </c>
      <c r="H643" t="inlineStr">
        <is>
          <t>Helse og mestring</t>
        </is>
      </c>
      <c r="I643" t="inlineStr">
        <is>
          <t>2 Utgifter</t>
        </is>
      </c>
      <c r="J643" t="inlineStr">
        <is>
          <t>11 Refusjon lønn</t>
        </is>
      </c>
      <c r="K643" t="n">
        <v>1130</v>
      </c>
      <c r="L643" t="n">
        <v>113000</v>
      </c>
      <c r="M643" t="inlineStr">
        <is>
          <t>Abonnement / samtale for mobil, telefon, nettbrett</t>
        </is>
      </c>
      <c r="N643" s="98" t="n">
        <v>850</v>
      </c>
      <c r="O643" s="98" t="n">
        <v>135.42</v>
      </c>
      <c r="P643" s="98" t="n">
        <v>714.58</v>
      </c>
      <c r="Q643" s="98" t="n">
        <v>-714.58</v>
      </c>
    </row>
    <row r="644">
      <c r="A644" t="inlineStr">
        <is>
          <t>2024-07</t>
        </is>
      </c>
      <c r="B644" t="inlineStr">
        <is>
          <t>Juli</t>
        </is>
      </c>
      <c r="C644" t="n">
        <v>7</v>
      </c>
      <c r="D644" t="inlineStr">
        <is>
          <t>T2</t>
        </is>
      </c>
      <c r="E644" t="inlineStr">
        <is>
          <t>Bokført</t>
        </is>
      </c>
      <c r="F644" t="inlineStr">
        <is>
          <t>Kommunal Boenhet</t>
        </is>
      </c>
      <c r="G644" t="n">
        <v>254</v>
      </c>
      <c r="H644" t="inlineStr">
        <is>
          <t>Helse og mestring</t>
        </is>
      </c>
      <c r="I644" t="inlineStr">
        <is>
          <t>2 Utgifter</t>
        </is>
      </c>
      <c r="J644" t="inlineStr">
        <is>
          <t>11 Refusjon lønn</t>
        </is>
      </c>
      <c r="K644" t="n">
        <v>1130</v>
      </c>
      <c r="L644" t="n">
        <v>113000</v>
      </c>
      <c r="M644" t="inlineStr">
        <is>
          <t>Abonnement / samtale for mobil, telefon, nettbrett</t>
        </is>
      </c>
      <c r="N644" s="98" t="n">
        <v>850</v>
      </c>
      <c r="O644" s="98" t="n">
        <v>545.08</v>
      </c>
      <c r="P644" s="98" t="n">
        <v>304.92</v>
      </c>
      <c r="Q644" s="98" t="n">
        <v>-304.92</v>
      </c>
    </row>
    <row r="645">
      <c r="A645" t="inlineStr">
        <is>
          <t>2024-08</t>
        </is>
      </c>
      <c r="B645" t="inlineStr">
        <is>
          <t>August</t>
        </is>
      </c>
      <c r="C645" t="n">
        <v>8</v>
      </c>
      <c r="D645" t="inlineStr">
        <is>
          <t>T2</t>
        </is>
      </c>
      <c r="E645" t="inlineStr">
        <is>
          <t>Bokført</t>
        </is>
      </c>
      <c r="F645" t="inlineStr">
        <is>
          <t>Kommunal Boenhet</t>
        </is>
      </c>
      <c r="G645" t="n">
        <v>254</v>
      </c>
      <c r="H645" t="inlineStr">
        <is>
          <t>Helse og mestring</t>
        </is>
      </c>
      <c r="I645" t="inlineStr">
        <is>
          <t>2 Utgifter</t>
        </is>
      </c>
      <c r="J645" t="inlineStr">
        <is>
          <t>11 Refusjon lønn</t>
        </is>
      </c>
      <c r="K645" t="n">
        <v>1130</v>
      </c>
      <c r="L645" t="n">
        <v>113000</v>
      </c>
      <c r="M645" t="inlineStr">
        <is>
          <t>Abonnement / samtale for mobil, telefon, nettbrett</t>
        </is>
      </c>
      <c r="N645" s="98" t="n">
        <v>850</v>
      </c>
      <c r="O645" s="98" t="n">
        <v>491.99</v>
      </c>
      <c r="P645" s="98" t="n">
        <v>358.01</v>
      </c>
      <c r="Q645" s="98" t="n">
        <v>-358.01</v>
      </c>
    </row>
    <row r="646">
      <c r="A646" t="inlineStr">
        <is>
          <t>2024-09</t>
        </is>
      </c>
      <c r="B646" t="inlineStr">
        <is>
          <t>September</t>
        </is>
      </c>
      <c r="C646" t="n">
        <v>9</v>
      </c>
      <c r="D646" t="inlineStr">
        <is>
          <t>T3</t>
        </is>
      </c>
      <c r="E646" t="inlineStr">
        <is>
          <t>Gjenstående budsjett</t>
        </is>
      </c>
      <c r="F646" t="inlineStr">
        <is>
          <t>Kommunal Boenhet</t>
        </is>
      </c>
      <c r="G646" t="n">
        <v>254</v>
      </c>
      <c r="H646" t="inlineStr">
        <is>
          <t>Helse og mestring</t>
        </is>
      </c>
      <c r="I646" t="inlineStr">
        <is>
          <t>2 Utgifter</t>
        </is>
      </c>
      <c r="J646" t="inlineStr">
        <is>
          <t>11 Refusjon lønn</t>
        </is>
      </c>
      <c r="K646" t="n">
        <v>1130</v>
      </c>
      <c r="L646" t="n">
        <v>113000</v>
      </c>
      <c r="M646" t="inlineStr">
        <is>
          <t>Abonnement / samtale for mobil, telefon, nettbrett</t>
        </is>
      </c>
      <c r="N646" s="98" t="n">
        <v>850</v>
      </c>
      <c r="O646" s="98" t="n">
        <v>0</v>
      </c>
      <c r="P646" s="98" t="n">
        <v>0</v>
      </c>
      <c r="Q646" s="98" t="n">
        <v>-850</v>
      </c>
    </row>
    <row r="647">
      <c r="A647" t="inlineStr">
        <is>
          <t>2024-10</t>
        </is>
      </c>
      <c r="B647" t="inlineStr">
        <is>
          <t>Oktober</t>
        </is>
      </c>
      <c r="C647" t="n">
        <v>10</v>
      </c>
      <c r="D647" t="inlineStr">
        <is>
          <t>T3</t>
        </is>
      </c>
      <c r="E647" t="inlineStr">
        <is>
          <t>Gjenstående budsjett</t>
        </is>
      </c>
      <c r="F647" t="inlineStr">
        <is>
          <t>Kommunal Boenhet</t>
        </is>
      </c>
      <c r="G647" t="n">
        <v>254</v>
      </c>
      <c r="H647" t="inlineStr">
        <is>
          <t>Helse og mestring</t>
        </is>
      </c>
      <c r="I647" t="inlineStr">
        <is>
          <t>2 Utgifter</t>
        </is>
      </c>
      <c r="J647" t="inlineStr">
        <is>
          <t>11 Refusjon lønn</t>
        </is>
      </c>
      <c r="K647" t="n">
        <v>1130</v>
      </c>
      <c r="L647" t="n">
        <v>113000</v>
      </c>
      <c r="M647" t="inlineStr">
        <is>
          <t>Abonnement / samtale for mobil, telefon, nettbrett</t>
        </is>
      </c>
      <c r="N647" s="98" t="n">
        <v>850</v>
      </c>
      <c r="O647" s="98" t="n">
        <v>0</v>
      </c>
      <c r="P647" s="98" t="n">
        <v>0</v>
      </c>
      <c r="Q647" s="98" t="n">
        <v>-850</v>
      </c>
    </row>
    <row r="648">
      <c r="A648" t="inlineStr">
        <is>
          <t>2024-11</t>
        </is>
      </c>
      <c r="B648" t="inlineStr">
        <is>
          <t>November</t>
        </is>
      </c>
      <c r="C648" t="n">
        <v>11</v>
      </c>
      <c r="D648" t="inlineStr">
        <is>
          <t>T3</t>
        </is>
      </c>
      <c r="E648" t="inlineStr">
        <is>
          <t>Gjenstående budsjett</t>
        </is>
      </c>
      <c r="F648" t="inlineStr">
        <is>
          <t>Kommunal Boenhet</t>
        </is>
      </c>
      <c r="G648" t="n">
        <v>254</v>
      </c>
      <c r="H648" t="inlineStr">
        <is>
          <t>Helse og mestring</t>
        </is>
      </c>
      <c r="I648" t="inlineStr">
        <is>
          <t>2 Utgifter</t>
        </is>
      </c>
      <c r="J648" t="inlineStr">
        <is>
          <t>11 Refusjon lønn</t>
        </is>
      </c>
      <c r="K648" t="n">
        <v>1130</v>
      </c>
      <c r="L648" t="n">
        <v>113000</v>
      </c>
      <c r="M648" t="inlineStr">
        <is>
          <t>Abonnement / samtale for mobil, telefon, nettbrett</t>
        </is>
      </c>
      <c r="N648" s="98" t="n">
        <v>850</v>
      </c>
      <c r="O648" s="98" t="n">
        <v>0</v>
      </c>
      <c r="P648" s="98" t="n">
        <v>0</v>
      </c>
      <c r="Q648" s="98" t="n">
        <v>-850</v>
      </c>
    </row>
    <row r="649">
      <c r="A649" t="inlineStr">
        <is>
          <t>2024-12</t>
        </is>
      </c>
      <c r="B649" t="inlineStr">
        <is>
          <t>Desember</t>
        </is>
      </c>
      <c r="C649" t="n">
        <v>12</v>
      </c>
      <c r="D649" t="inlineStr">
        <is>
          <t>T3</t>
        </is>
      </c>
      <c r="E649" t="inlineStr">
        <is>
          <t>Gjenstående budsjett</t>
        </is>
      </c>
      <c r="F649" t="inlineStr">
        <is>
          <t>Kommunal Boenhet</t>
        </is>
      </c>
      <c r="G649" t="n">
        <v>254</v>
      </c>
      <c r="H649" t="inlineStr">
        <is>
          <t>Helse og mestring</t>
        </is>
      </c>
      <c r="I649" t="inlineStr">
        <is>
          <t>2 Utgifter</t>
        </is>
      </c>
      <c r="J649" t="inlineStr">
        <is>
          <t>11 Refusjon lønn</t>
        </is>
      </c>
      <c r="K649" t="n">
        <v>1130</v>
      </c>
      <c r="L649" t="n">
        <v>113000</v>
      </c>
      <c r="M649" t="inlineStr">
        <is>
          <t>Abonnement / samtale for mobil, telefon, nettbrett</t>
        </is>
      </c>
      <c r="N649" s="98" t="n">
        <v>650</v>
      </c>
      <c r="O649" s="98" t="n">
        <v>0</v>
      </c>
      <c r="P649" s="98" t="n">
        <v>0</v>
      </c>
      <c r="Q649" s="98" t="n">
        <v>-650</v>
      </c>
    </row>
    <row r="650">
      <c r="A650" t="inlineStr">
        <is>
          <t>2024-01</t>
        </is>
      </c>
      <c r="B650" t="inlineStr">
        <is>
          <t>Januar</t>
        </is>
      </c>
      <c r="C650" t="n">
        <v>1</v>
      </c>
      <c r="D650" t="inlineStr">
        <is>
          <t>T1</t>
        </is>
      </c>
      <c r="E650" t="inlineStr">
        <is>
          <t>Bokført</t>
        </is>
      </c>
      <c r="F650" t="inlineStr">
        <is>
          <t>Kommunal Boenhet</t>
        </is>
      </c>
      <c r="G650" t="n">
        <v>254</v>
      </c>
      <c r="H650" t="inlineStr">
        <is>
          <t>Helse og mestring</t>
        </is>
      </c>
      <c r="I650" t="inlineStr">
        <is>
          <t>2 Utgifter</t>
        </is>
      </c>
      <c r="J650" t="inlineStr">
        <is>
          <t>11 Refusjon lønn</t>
        </is>
      </c>
      <c r="K650" t="n">
        <v>1130</v>
      </c>
      <c r="L650" t="n">
        <v>113004</v>
      </c>
      <c r="M650" t="inlineStr">
        <is>
          <t>Bank og finansielle gebyrer</t>
        </is>
      </c>
      <c r="N650" s="98" t="n">
        <v>0</v>
      </c>
      <c r="O650" s="98" t="n">
        <v>0</v>
      </c>
      <c r="P650" s="98" t="n">
        <v>0</v>
      </c>
      <c r="Q650" s="98" t="n">
        <v>0</v>
      </c>
    </row>
    <row r="651">
      <c r="A651" t="inlineStr">
        <is>
          <t>2024-02</t>
        </is>
      </c>
      <c r="B651" t="inlineStr">
        <is>
          <t>Februar</t>
        </is>
      </c>
      <c r="C651" t="n">
        <v>2</v>
      </c>
      <c r="D651" t="inlineStr">
        <is>
          <t>T1</t>
        </is>
      </c>
      <c r="E651" t="inlineStr">
        <is>
          <t>Bokført</t>
        </is>
      </c>
      <c r="F651" t="inlineStr">
        <is>
          <t>Kommunal Boenhet</t>
        </is>
      </c>
      <c r="G651" t="n">
        <v>254</v>
      </c>
      <c r="H651" t="inlineStr">
        <is>
          <t>Helse og mestring</t>
        </is>
      </c>
      <c r="I651" t="inlineStr">
        <is>
          <t>2 Utgifter</t>
        </is>
      </c>
      <c r="J651" t="inlineStr">
        <is>
          <t>11 Refusjon lønn</t>
        </is>
      </c>
      <c r="K651" t="n">
        <v>1130</v>
      </c>
      <c r="L651" t="n">
        <v>113004</v>
      </c>
      <c r="M651" t="inlineStr">
        <is>
          <t>Bank og finansielle gebyrer</t>
        </is>
      </c>
      <c r="N651" s="98" t="n">
        <v>0</v>
      </c>
      <c r="O651" s="98" t="n">
        <v>0</v>
      </c>
      <c r="P651" s="98" t="n">
        <v>0</v>
      </c>
      <c r="Q651" s="98" t="n">
        <v>0</v>
      </c>
    </row>
    <row r="652">
      <c r="A652" t="inlineStr">
        <is>
          <t>2024-03</t>
        </is>
      </c>
      <c r="B652" t="inlineStr">
        <is>
          <t>Mars</t>
        </is>
      </c>
      <c r="C652" t="n">
        <v>3</v>
      </c>
      <c r="D652" t="inlineStr">
        <is>
          <t>T1</t>
        </is>
      </c>
      <c r="E652" t="inlineStr">
        <is>
          <t>Bokført</t>
        </is>
      </c>
      <c r="F652" t="inlineStr">
        <is>
          <t>Kommunal Boenhet</t>
        </is>
      </c>
      <c r="G652" t="n">
        <v>254</v>
      </c>
      <c r="H652" t="inlineStr">
        <is>
          <t>Helse og mestring</t>
        </is>
      </c>
      <c r="I652" t="inlineStr">
        <is>
          <t>2 Utgifter</t>
        </is>
      </c>
      <c r="J652" t="inlineStr">
        <is>
          <t>11 Refusjon lønn</t>
        </is>
      </c>
      <c r="K652" t="n">
        <v>1130</v>
      </c>
      <c r="L652" t="n">
        <v>113004</v>
      </c>
      <c r="M652" t="inlineStr">
        <is>
          <t>Bank og finansielle gebyrer</t>
        </is>
      </c>
      <c r="N652" s="98" t="n">
        <v>0</v>
      </c>
      <c r="O652" s="98" t="n">
        <v>0</v>
      </c>
      <c r="P652" s="98" t="n">
        <v>0</v>
      </c>
      <c r="Q652" s="98" t="n">
        <v>0</v>
      </c>
    </row>
    <row r="653">
      <c r="A653" t="inlineStr">
        <is>
          <t>2024-04</t>
        </is>
      </c>
      <c r="B653" t="inlineStr">
        <is>
          <t>April</t>
        </is>
      </c>
      <c r="C653" t="n">
        <v>4</v>
      </c>
      <c r="D653" t="inlineStr">
        <is>
          <t>T1</t>
        </is>
      </c>
      <c r="E653" t="inlineStr">
        <is>
          <t>Bokført</t>
        </is>
      </c>
      <c r="F653" t="inlineStr">
        <is>
          <t>Kommunal Boenhet</t>
        </is>
      </c>
      <c r="G653" t="n">
        <v>254</v>
      </c>
      <c r="H653" t="inlineStr">
        <is>
          <t>Helse og mestring</t>
        </is>
      </c>
      <c r="I653" t="inlineStr">
        <is>
          <t>2 Utgifter</t>
        </is>
      </c>
      <c r="J653" t="inlineStr">
        <is>
          <t>11 Refusjon lønn</t>
        </is>
      </c>
      <c r="K653" t="n">
        <v>1130</v>
      </c>
      <c r="L653" t="n">
        <v>113004</v>
      </c>
      <c r="M653" t="inlineStr">
        <is>
          <t>Bank og finansielle gebyrer</t>
        </is>
      </c>
      <c r="N653" s="98" t="n">
        <v>0</v>
      </c>
      <c r="O653" s="98" t="n">
        <v>0</v>
      </c>
      <c r="P653" s="98" t="n">
        <v>0</v>
      </c>
      <c r="Q653" s="98" t="n">
        <v>0</v>
      </c>
    </row>
    <row r="654">
      <c r="A654" t="inlineStr">
        <is>
          <t>2024-05</t>
        </is>
      </c>
      <c r="B654" t="inlineStr">
        <is>
          <t>Mai</t>
        </is>
      </c>
      <c r="C654" t="n">
        <v>5</v>
      </c>
      <c r="D654" t="inlineStr">
        <is>
          <t>T2</t>
        </is>
      </c>
      <c r="E654" t="inlineStr">
        <is>
          <t>Bokført</t>
        </is>
      </c>
      <c r="F654" t="inlineStr">
        <is>
          <t>Kommunal Boenhet</t>
        </is>
      </c>
      <c r="G654" t="n">
        <v>254</v>
      </c>
      <c r="H654" t="inlineStr">
        <is>
          <t>Helse og mestring</t>
        </is>
      </c>
      <c r="I654" t="inlineStr">
        <is>
          <t>2 Utgifter</t>
        </is>
      </c>
      <c r="J654" t="inlineStr">
        <is>
          <t>11 Refusjon lønn</t>
        </is>
      </c>
      <c r="K654" t="n">
        <v>1130</v>
      </c>
      <c r="L654" t="n">
        <v>113004</v>
      </c>
      <c r="M654" t="inlineStr">
        <is>
          <t>Bank og finansielle gebyrer</t>
        </is>
      </c>
      <c r="N654" s="98" t="n">
        <v>0</v>
      </c>
      <c r="O654" s="98" t="n">
        <v>295</v>
      </c>
      <c r="P654" s="98" t="n">
        <v>-295</v>
      </c>
      <c r="Q654" s="98" t="n">
        <v>295</v>
      </c>
    </row>
    <row r="655">
      <c r="A655" t="inlineStr">
        <is>
          <t>2024-06</t>
        </is>
      </c>
      <c r="B655" t="inlineStr">
        <is>
          <t>Juni</t>
        </is>
      </c>
      <c r="C655" t="n">
        <v>6</v>
      </c>
      <c r="D655" t="inlineStr">
        <is>
          <t>T2</t>
        </is>
      </c>
      <c r="E655" t="inlineStr">
        <is>
          <t>Bokført</t>
        </is>
      </c>
      <c r="F655" t="inlineStr">
        <is>
          <t>Kommunal Boenhet</t>
        </is>
      </c>
      <c r="G655" t="n">
        <v>254</v>
      </c>
      <c r="H655" t="inlineStr">
        <is>
          <t>Helse og mestring</t>
        </is>
      </c>
      <c r="I655" t="inlineStr">
        <is>
          <t>2 Utgifter</t>
        </is>
      </c>
      <c r="J655" t="inlineStr">
        <is>
          <t>11 Refusjon lønn</t>
        </is>
      </c>
      <c r="K655" t="n">
        <v>1130</v>
      </c>
      <c r="L655" t="n">
        <v>113004</v>
      </c>
      <c r="M655" t="inlineStr">
        <is>
          <t>Bank og finansielle gebyrer</t>
        </is>
      </c>
      <c r="N655" s="98" t="n">
        <v>0</v>
      </c>
      <c r="O655" s="98" t="n">
        <v>0</v>
      </c>
      <c r="P655" s="98" t="n">
        <v>0</v>
      </c>
      <c r="Q655" s="98" t="n">
        <v>0</v>
      </c>
    </row>
    <row r="656">
      <c r="A656" t="inlineStr">
        <is>
          <t>2024-07</t>
        </is>
      </c>
      <c r="B656" t="inlineStr">
        <is>
          <t>Juli</t>
        </is>
      </c>
      <c r="C656" t="n">
        <v>7</v>
      </c>
      <c r="D656" t="inlineStr">
        <is>
          <t>T2</t>
        </is>
      </c>
      <c r="E656" t="inlineStr">
        <is>
          <t>Bokført</t>
        </is>
      </c>
      <c r="F656" t="inlineStr">
        <is>
          <t>Kommunal Boenhet</t>
        </is>
      </c>
      <c r="G656" t="n">
        <v>254</v>
      </c>
      <c r="H656" t="inlineStr">
        <is>
          <t>Helse og mestring</t>
        </is>
      </c>
      <c r="I656" t="inlineStr">
        <is>
          <t>2 Utgifter</t>
        </is>
      </c>
      <c r="J656" t="inlineStr">
        <is>
          <t>11 Refusjon lønn</t>
        </is>
      </c>
      <c r="K656" t="n">
        <v>1130</v>
      </c>
      <c r="L656" t="n">
        <v>113004</v>
      </c>
      <c r="M656" t="inlineStr">
        <is>
          <t>Bank og finansielle gebyrer</t>
        </is>
      </c>
      <c r="N656" s="98" t="n">
        <v>0</v>
      </c>
      <c r="O656" s="98" t="n">
        <v>0</v>
      </c>
      <c r="P656" s="98" t="n">
        <v>0</v>
      </c>
      <c r="Q656" s="98" t="n">
        <v>0</v>
      </c>
    </row>
    <row r="657">
      <c r="A657" t="inlineStr">
        <is>
          <t>2024-08</t>
        </is>
      </c>
      <c r="B657" t="inlineStr">
        <is>
          <t>August</t>
        </is>
      </c>
      <c r="C657" t="n">
        <v>8</v>
      </c>
      <c r="D657" t="inlineStr">
        <is>
          <t>T2</t>
        </is>
      </c>
      <c r="E657" t="inlineStr">
        <is>
          <t>Bokført</t>
        </is>
      </c>
      <c r="F657" t="inlineStr">
        <is>
          <t>Kommunal Boenhet</t>
        </is>
      </c>
      <c r="G657" t="n">
        <v>254</v>
      </c>
      <c r="H657" t="inlineStr">
        <is>
          <t>Helse og mestring</t>
        </is>
      </c>
      <c r="I657" t="inlineStr">
        <is>
          <t>2 Utgifter</t>
        </is>
      </c>
      <c r="J657" t="inlineStr">
        <is>
          <t>11 Refusjon lønn</t>
        </is>
      </c>
      <c r="K657" t="n">
        <v>1130</v>
      </c>
      <c r="L657" t="n">
        <v>113004</v>
      </c>
      <c r="M657" t="inlineStr">
        <is>
          <t>Bank og finansielle gebyrer</t>
        </is>
      </c>
      <c r="N657" s="98" t="n">
        <v>0</v>
      </c>
      <c r="O657" s="98" t="n">
        <v>0</v>
      </c>
      <c r="P657" s="98" t="n">
        <v>0</v>
      </c>
      <c r="Q657" s="98" t="n">
        <v>0</v>
      </c>
    </row>
    <row r="658">
      <c r="A658" t="inlineStr">
        <is>
          <t>2024-09</t>
        </is>
      </c>
      <c r="B658" t="inlineStr">
        <is>
          <t>September</t>
        </is>
      </c>
      <c r="C658" t="n">
        <v>9</v>
      </c>
      <c r="D658" t="inlineStr">
        <is>
          <t>T3</t>
        </is>
      </c>
      <c r="E658" t="inlineStr">
        <is>
          <t>Gjenstående budsjett</t>
        </is>
      </c>
      <c r="F658" t="inlineStr">
        <is>
          <t>Kommunal Boenhet</t>
        </is>
      </c>
      <c r="G658" t="n">
        <v>254</v>
      </c>
      <c r="H658" t="inlineStr">
        <is>
          <t>Helse og mestring</t>
        </is>
      </c>
      <c r="I658" t="inlineStr">
        <is>
          <t>2 Utgifter</t>
        </is>
      </c>
      <c r="J658" t="inlineStr">
        <is>
          <t>11 Refusjon lønn</t>
        </is>
      </c>
      <c r="K658" t="n">
        <v>1130</v>
      </c>
      <c r="L658" t="n">
        <v>113004</v>
      </c>
      <c r="M658" t="inlineStr">
        <is>
          <t>Bank og finansielle gebyrer</t>
        </is>
      </c>
      <c r="N658" s="98" t="n">
        <v>0</v>
      </c>
      <c r="O658" s="98" t="n">
        <v>0</v>
      </c>
      <c r="P658" s="98" t="n">
        <v>0</v>
      </c>
      <c r="Q658" s="98" t="n">
        <v>0</v>
      </c>
    </row>
    <row r="659">
      <c r="A659" t="inlineStr">
        <is>
          <t>2024-10</t>
        </is>
      </c>
      <c r="B659" t="inlineStr">
        <is>
          <t>Oktober</t>
        </is>
      </c>
      <c r="C659" t="n">
        <v>10</v>
      </c>
      <c r="D659" t="inlineStr">
        <is>
          <t>T3</t>
        </is>
      </c>
      <c r="E659" t="inlineStr">
        <is>
          <t>Gjenstående budsjett</t>
        </is>
      </c>
      <c r="F659" t="inlineStr">
        <is>
          <t>Kommunal Boenhet</t>
        </is>
      </c>
      <c r="G659" t="n">
        <v>254</v>
      </c>
      <c r="H659" t="inlineStr">
        <is>
          <t>Helse og mestring</t>
        </is>
      </c>
      <c r="I659" t="inlineStr">
        <is>
          <t>2 Utgifter</t>
        </is>
      </c>
      <c r="J659" t="inlineStr">
        <is>
          <t>11 Refusjon lønn</t>
        </is>
      </c>
      <c r="K659" t="n">
        <v>1130</v>
      </c>
      <c r="L659" t="n">
        <v>113004</v>
      </c>
      <c r="M659" t="inlineStr">
        <is>
          <t>Bank og finansielle gebyrer</t>
        </is>
      </c>
      <c r="N659" s="98" t="n">
        <v>0</v>
      </c>
      <c r="O659" s="98" t="n">
        <v>0</v>
      </c>
      <c r="P659" s="98" t="n">
        <v>0</v>
      </c>
      <c r="Q659" s="98" t="n">
        <v>0</v>
      </c>
    </row>
    <row r="660">
      <c r="A660" t="inlineStr">
        <is>
          <t>2024-11</t>
        </is>
      </c>
      <c r="B660" t="inlineStr">
        <is>
          <t>November</t>
        </is>
      </c>
      <c r="C660" t="n">
        <v>11</v>
      </c>
      <c r="D660" t="inlineStr">
        <is>
          <t>T3</t>
        </is>
      </c>
      <c r="E660" t="inlineStr">
        <is>
          <t>Gjenstående budsjett</t>
        </is>
      </c>
      <c r="F660" t="inlineStr">
        <is>
          <t>Kommunal Boenhet</t>
        </is>
      </c>
      <c r="G660" t="n">
        <v>254</v>
      </c>
      <c r="H660" t="inlineStr">
        <is>
          <t>Helse og mestring</t>
        </is>
      </c>
      <c r="I660" t="inlineStr">
        <is>
          <t>2 Utgifter</t>
        </is>
      </c>
      <c r="J660" t="inlineStr">
        <is>
          <t>11 Refusjon lønn</t>
        </is>
      </c>
      <c r="K660" t="n">
        <v>1130</v>
      </c>
      <c r="L660" t="n">
        <v>113004</v>
      </c>
      <c r="M660" t="inlineStr">
        <is>
          <t>Bank og finansielle gebyrer</t>
        </is>
      </c>
      <c r="N660" s="98" t="n">
        <v>0</v>
      </c>
      <c r="O660" s="98" t="n">
        <v>0</v>
      </c>
      <c r="P660" s="98" t="n">
        <v>0</v>
      </c>
      <c r="Q660" s="98" t="n">
        <v>0</v>
      </c>
    </row>
    <row r="661">
      <c r="A661" t="inlineStr">
        <is>
          <t>2024-12</t>
        </is>
      </c>
      <c r="B661" t="inlineStr">
        <is>
          <t>Desember</t>
        </is>
      </c>
      <c r="C661" t="n">
        <v>12</v>
      </c>
      <c r="D661" t="inlineStr">
        <is>
          <t>T3</t>
        </is>
      </c>
      <c r="E661" t="inlineStr">
        <is>
          <t>Gjenstående budsjett</t>
        </is>
      </c>
      <c r="F661" t="inlineStr">
        <is>
          <t>Kommunal Boenhet</t>
        </is>
      </c>
      <c r="G661" t="n">
        <v>254</v>
      </c>
      <c r="H661" t="inlineStr">
        <is>
          <t>Helse og mestring</t>
        </is>
      </c>
      <c r="I661" t="inlineStr">
        <is>
          <t>2 Utgifter</t>
        </is>
      </c>
      <c r="J661" t="inlineStr">
        <is>
          <t>11 Refusjon lønn</t>
        </is>
      </c>
      <c r="K661" t="n">
        <v>1130</v>
      </c>
      <c r="L661" t="n">
        <v>113004</v>
      </c>
      <c r="M661" t="inlineStr">
        <is>
          <t>Bank og finansielle gebyrer</t>
        </is>
      </c>
      <c r="N661" s="98" t="n">
        <v>0</v>
      </c>
      <c r="O661" s="98" t="n">
        <v>0</v>
      </c>
      <c r="P661" s="98" t="n">
        <v>0</v>
      </c>
      <c r="Q661" s="98" t="n">
        <v>0</v>
      </c>
    </row>
    <row r="662">
      <c r="A662" t="inlineStr">
        <is>
          <t>2024-01</t>
        </is>
      </c>
      <c r="B662" t="inlineStr">
        <is>
          <t>Januar</t>
        </is>
      </c>
      <c r="C662" t="n">
        <v>1</v>
      </c>
      <c r="D662" t="inlineStr">
        <is>
          <t>T1</t>
        </is>
      </c>
      <c r="E662" t="inlineStr">
        <is>
          <t>Bokført</t>
        </is>
      </c>
      <c r="F662" t="inlineStr">
        <is>
          <t>Kommunal Boenhet</t>
        </is>
      </c>
      <c r="G662" t="n">
        <v>254</v>
      </c>
      <c r="H662" t="inlineStr">
        <is>
          <t>Helse og mestring</t>
        </is>
      </c>
      <c r="I662" t="inlineStr">
        <is>
          <t>2 Utgifter</t>
        </is>
      </c>
      <c r="J662" t="inlineStr">
        <is>
          <t>11 Refusjon lønn</t>
        </is>
      </c>
      <c r="K662" t="n">
        <v>1140</v>
      </c>
      <c r="L662" t="n">
        <v>114000</v>
      </c>
      <c r="M662" t="inlineStr">
        <is>
          <t>Stillingsannonser</t>
        </is>
      </c>
      <c r="N662" s="98" t="n">
        <v>2550</v>
      </c>
      <c r="O662" s="98" t="n">
        <v>0</v>
      </c>
      <c r="P662" s="98" t="n">
        <v>2550</v>
      </c>
      <c r="Q662" s="98" t="n">
        <v>-2550</v>
      </c>
    </row>
    <row r="663">
      <c r="A663" t="inlineStr">
        <is>
          <t>2024-02</t>
        </is>
      </c>
      <c r="B663" t="inlineStr">
        <is>
          <t>Februar</t>
        </is>
      </c>
      <c r="C663" t="n">
        <v>2</v>
      </c>
      <c r="D663" t="inlineStr">
        <is>
          <t>T1</t>
        </is>
      </c>
      <c r="E663" t="inlineStr">
        <is>
          <t>Bokført</t>
        </is>
      </c>
      <c r="F663" t="inlineStr">
        <is>
          <t>Kommunal Boenhet</t>
        </is>
      </c>
      <c r="G663" t="n">
        <v>254</v>
      </c>
      <c r="H663" t="inlineStr">
        <is>
          <t>Helse og mestring</t>
        </is>
      </c>
      <c r="I663" t="inlineStr">
        <is>
          <t>2 Utgifter</t>
        </is>
      </c>
      <c r="J663" t="inlineStr">
        <is>
          <t>11 Refusjon lønn</t>
        </is>
      </c>
      <c r="K663" t="n">
        <v>1140</v>
      </c>
      <c r="L663" t="n">
        <v>114000</v>
      </c>
      <c r="M663" t="inlineStr">
        <is>
          <t>Stillingsannonser</t>
        </is>
      </c>
      <c r="N663" s="98" t="n">
        <v>2550</v>
      </c>
      <c r="O663" s="98" t="n">
        <v>6875</v>
      </c>
      <c r="P663" s="98" t="n">
        <v>-4325</v>
      </c>
      <c r="Q663" s="98" t="n">
        <v>4325</v>
      </c>
    </row>
    <row r="664">
      <c r="A664" t="inlineStr">
        <is>
          <t>2024-03</t>
        </is>
      </c>
      <c r="B664" t="inlineStr">
        <is>
          <t>Mars</t>
        </is>
      </c>
      <c r="C664" t="n">
        <v>3</v>
      </c>
      <c r="D664" t="inlineStr">
        <is>
          <t>T1</t>
        </is>
      </c>
      <c r="E664" t="inlineStr">
        <is>
          <t>Bokført</t>
        </is>
      </c>
      <c r="F664" t="inlineStr">
        <is>
          <t>Kommunal Boenhet</t>
        </is>
      </c>
      <c r="G664" t="n">
        <v>254</v>
      </c>
      <c r="H664" t="inlineStr">
        <is>
          <t>Helse og mestring</t>
        </is>
      </c>
      <c r="I664" t="inlineStr">
        <is>
          <t>2 Utgifter</t>
        </is>
      </c>
      <c r="J664" t="inlineStr">
        <is>
          <t>11 Refusjon lønn</t>
        </is>
      </c>
      <c r="K664" t="n">
        <v>1140</v>
      </c>
      <c r="L664" t="n">
        <v>114000</v>
      </c>
      <c r="M664" t="inlineStr">
        <is>
          <t>Stillingsannonser</t>
        </is>
      </c>
      <c r="N664" s="98" t="n">
        <v>2550</v>
      </c>
      <c r="O664" s="98" t="n">
        <v>137.5</v>
      </c>
      <c r="P664" s="98" t="n">
        <v>2412.5</v>
      </c>
      <c r="Q664" s="98" t="n">
        <v>-2412.5</v>
      </c>
    </row>
    <row r="665">
      <c r="A665" t="inlineStr">
        <is>
          <t>2024-04</t>
        </is>
      </c>
      <c r="B665" t="inlineStr">
        <is>
          <t>April</t>
        </is>
      </c>
      <c r="C665" t="n">
        <v>4</v>
      </c>
      <c r="D665" t="inlineStr">
        <is>
          <t>T1</t>
        </is>
      </c>
      <c r="E665" t="inlineStr">
        <is>
          <t>Bokført</t>
        </is>
      </c>
      <c r="F665" t="inlineStr">
        <is>
          <t>Kommunal Boenhet</t>
        </is>
      </c>
      <c r="G665" t="n">
        <v>254</v>
      </c>
      <c r="H665" t="inlineStr">
        <is>
          <t>Helse og mestring</t>
        </is>
      </c>
      <c r="I665" t="inlineStr">
        <is>
          <t>2 Utgifter</t>
        </is>
      </c>
      <c r="J665" t="inlineStr">
        <is>
          <t>11 Refusjon lønn</t>
        </is>
      </c>
      <c r="K665" t="n">
        <v>1140</v>
      </c>
      <c r="L665" t="n">
        <v>114000</v>
      </c>
      <c r="M665" t="inlineStr">
        <is>
          <t>Stillingsannonser</t>
        </is>
      </c>
      <c r="N665" s="98" t="n">
        <v>2550</v>
      </c>
      <c r="O665" s="98" t="n">
        <v>0</v>
      </c>
      <c r="P665" s="98" t="n">
        <v>2550</v>
      </c>
      <c r="Q665" s="98" t="n">
        <v>-2550</v>
      </c>
    </row>
    <row r="666">
      <c r="A666" t="inlineStr">
        <is>
          <t>2024-05</t>
        </is>
      </c>
      <c r="B666" t="inlineStr">
        <is>
          <t>Mai</t>
        </is>
      </c>
      <c r="C666" t="n">
        <v>5</v>
      </c>
      <c r="D666" t="inlineStr">
        <is>
          <t>T2</t>
        </is>
      </c>
      <c r="E666" t="inlineStr">
        <is>
          <t>Bokført</t>
        </is>
      </c>
      <c r="F666" t="inlineStr">
        <is>
          <t>Kommunal Boenhet</t>
        </is>
      </c>
      <c r="G666" t="n">
        <v>254</v>
      </c>
      <c r="H666" t="inlineStr">
        <is>
          <t>Helse og mestring</t>
        </is>
      </c>
      <c r="I666" t="inlineStr">
        <is>
          <t>2 Utgifter</t>
        </is>
      </c>
      <c r="J666" t="inlineStr">
        <is>
          <t>11 Refusjon lønn</t>
        </is>
      </c>
      <c r="K666" t="n">
        <v>1140</v>
      </c>
      <c r="L666" t="n">
        <v>114000</v>
      </c>
      <c r="M666" t="inlineStr">
        <is>
          <t>Stillingsannonser</t>
        </is>
      </c>
      <c r="N666" s="98" t="n">
        <v>2550</v>
      </c>
      <c r="O666" s="98" t="n">
        <v>0</v>
      </c>
      <c r="P666" s="98" t="n">
        <v>2550</v>
      </c>
      <c r="Q666" s="98" t="n">
        <v>-2550</v>
      </c>
    </row>
    <row r="667">
      <c r="A667" t="inlineStr">
        <is>
          <t>2024-06</t>
        </is>
      </c>
      <c r="B667" t="inlineStr">
        <is>
          <t>Juni</t>
        </is>
      </c>
      <c r="C667" t="n">
        <v>6</v>
      </c>
      <c r="D667" t="inlineStr">
        <is>
          <t>T2</t>
        </is>
      </c>
      <c r="E667" t="inlineStr">
        <is>
          <t>Bokført</t>
        </is>
      </c>
      <c r="F667" t="inlineStr">
        <is>
          <t>Kommunal Boenhet</t>
        </is>
      </c>
      <c r="G667" t="n">
        <v>254</v>
      </c>
      <c r="H667" t="inlineStr">
        <is>
          <t>Helse og mestring</t>
        </is>
      </c>
      <c r="I667" t="inlineStr">
        <is>
          <t>2 Utgifter</t>
        </is>
      </c>
      <c r="J667" t="inlineStr">
        <is>
          <t>11 Refusjon lønn</t>
        </is>
      </c>
      <c r="K667" t="n">
        <v>1140</v>
      </c>
      <c r="L667" t="n">
        <v>114000</v>
      </c>
      <c r="M667" t="inlineStr">
        <is>
          <t>Stillingsannonser</t>
        </is>
      </c>
      <c r="N667" s="98" t="n">
        <v>2550</v>
      </c>
      <c r="O667" s="98" t="n">
        <v>3300</v>
      </c>
      <c r="P667" s="98" t="n">
        <v>-750</v>
      </c>
      <c r="Q667" s="98" t="n">
        <v>750</v>
      </c>
    </row>
    <row r="668">
      <c r="A668" t="inlineStr">
        <is>
          <t>2024-07</t>
        </is>
      </c>
      <c r="B668" t="inlineStr">
        <is>
          <t>Juli</t>
        </is>
      </c>
      <c r="C668" t="n">
        <v>7</v>
      </c>
      <c r="D668" t="inlineStr">
        <is>
          <t>T2</t>
        </is>
      </c>
      <c r="E668" t="inlineStr">
        <is>
          <t>Bokført</t>
        </is>
      </c>
      <c r="F668" t="inlineStr">
        <is>
          <t>Kommunal Boenhet</t>
        </is>
      </c>
      <c r="G668" t="n">
        <v>254</v>
      </c>
      <c r="H668" t="inlineStr">
        <is>
          <t>Helse og mestring</t>
        </is>
      </c>
      <c r="I668" t="inlineStr">
        <is>
          <t>2 Utgifter</t>
        </is>
      </c>
      <c r="J668" t="inlineStr">
        <is>
          <t>11 Refusjon lønn</t>
        </is>
      </c>
      <c r="K668" t="n">
        <v>1140</v>
      </c>
      <c r="L668" t="n">
        <v>114000</v>
      </c>
      <c r="M668" t="inlineStr">
        <is>
          <t>Stillingsannonser</t>
        </is>
      </c>
      <c r="N668" s="98" t="n">
        <v>2550</v>
      </c>
      <c r="O668" s="98" t="n">
        <v>0</v>
      </c>
      <c r="P668" s="98" t="n">
        <v>2550</v>
      </c>
      <c r="Q668" s="98" t="n">
        <v>-2550</v>
      </c>
    </row>
    <row r="669">
      <c r="A669" t="inlineStr">
        <is>
          <t>2024-08</t>
        </is>
      </c>
      <c r="B669" t="inlineStr">
        <is>
          <t>August</t>
        </is>
      </c>
      <c r="C669" t="n">
        <v>8</v>
      </c>
      <c r="D669" t="inlineStr">
        <is>
          <t>T2</t>
        </is>
      </c>
      <c r="E669" t="inlineStr">
        <is>
          <t>Bokført</t>
        </is>
      </c>
      <c r="F669" t="inlineStr">
        <is>
          <t>Kommunal Boenhet</t>
        </is>
      </c>
      <c r="G669" t="n">
        <v>254</v>
      </c>
      <c r="H669" t="inlineStr">
        <is>
          <t>Helse og mestring</t>
        </is>
      </c>
      <c r="I669" t="inlineStr">
        <is>
          <t>2 Utgifter</t>
        </is>
      </c>
      <c r="J669" t="inlineStr">
        <is>
          <t>11 Refusjon lønn</t>
        </is>
      </c>
      <c r="K669" t="n">
        <v>1140</v>
      </c>
      <c r="L669" t="n">
        <v>114000</v>
      </c>
      <c r="M669" t="inlineStr">
        <is>
          <t>Stillingsannonser</t>
        </is>
      </c>
      <c r="N669" s="98" t="n">
        <v>2550</v>
      </c>
      <c r="O669" s="98" t="n">
        <v>0</v>
      </c>
      <c r="P669" s="98" t="n">
        <v>2550</v>
      </c>
      <c r="Q669" s="98" t="n">
        <v>-2550</v>
      </c>
    </row>
    <row r="670">
      <c r="A670" t="inlineStr">
        <is>
          <t>2024-09</t>
        </is>
      </c>
      <c r="B670" t="inlineStr">
        <is>
          <t>September</t>
        </is>
      </c>
      <c r="C670" t="n">
        <v>9</v>
      </c>
      <c r="D670" t="inlineStr">
        <is>
          <t>T3</t>
        </is>
      </c>
      <c r="E670" t="inlineStr">
        <is>
          <t>Gjenstående budsjett</t>
        </is>
      </c>
      <c r="F670" t="inlineStr">
        <is>
          <t>Kommunal Boenhet</t>
        </is>
      </c>
      <c r="G670" t="n">
        <v>254</v>
      </c>
      <c r="H670" t="inlineStr">
        <is>
          <t>Helse og mestring</t>
        </is>
      </c>
      <c r="I670" t="inlineStr">
        <is>
          <t>2 Utgifter</t>
        </is>
      </c>
      <c r="J670" t="inlineStr">
        <is>
          <t>11 Refusjon lønn</t>
        </is>
      </c>
      <c r="K670" t="n">
        <v>1140</v>
      </c>
      <c r="L670" t="n">
        <v>114000</v>
      </c>
      <c r="M670" t="inlineStr">
        <is>
          <t>Stillingsannonser</t>
        </is>
      </c>
      <c r="N670" s="98" t="n">
        <v>2550</v>
      </c>
      <c r="O670" s="98" t="n">
        <v>0</v>
      </c>
      <c r="P670" s="98" t="n">
        <v>0</v>
      </c>
      <c r="Q670" s="98" t="n">
        <v>-2550</v>
      </c>
    </row>
    <row r="671">
      <c r="A671" t="inlineStr">
        <is>
          <t>2024-10</t>
        </is>
      </c>
      <c r="B671" t="inlineStr">
        <is>
          <t>Oktober</t>
        </is>
      </c>
      <c r="C671" t="n">
        <v>10</v>
      </c>
      <c r="D671" t="inlineStr">
        <is>
          <t>T3</t>
        </is>
      </c>
      <c r="E671" t="inlineStr">
        <is>
          <t>Gjenstående budsjett</t>
        </is>
      </c>
      <c r="F671" t="inlineStr">
        <is>
          <t>Kommunal Boenhet</t>
        </is>
      </c>
      <c r="G671" t="n">
        <v>254</v>
      </c>
      <c r="H671" t="inlineStr">
        <is>
          <t>Helse og mestring</t>
        </is>
      </c>
      <c r="I671" t="inlineStr">
        <is>
          <t>2 Utgifter</t>
        </is>
      </c>
      <c r="J671" t="inlineStr">
        <is>
          <t>11 Refusjon lønn</t>
        </is>
      </c>
      <c r="K671" t="n">
        <v>1140</v>
      </c>
      <c r="L671" t="n">
        <v>114000</v>
      </c>
      <c r="M671" t="inlineStr">
        <is>
          <t>Stillingsannonser</t>
        </is>
      </c>
      <c r="N671" s="98" t="n">
        <v>2550</v>
      </c>
      <c r="O671" s="98" t="n">
        <v>0</v>
      </c>
      <c r="P671" s="98" t="n">
        <v>0</v>
      </c>
      <c r="Q671" s="98" t="n">
        <v>-2550</v>
      </c>
    </row>
    <row r="672">
      <c r="A672" t="inlineStr">
        <is>
          <t>2024-11</t>
        </is>
      </c>
      <c r="B672" t="inlineStr">
        <is>
          <t>November</t>
        </is>
      </c>
      <c r="C672" t="n">
        <v>11</v>
      </c>
      <c r="D672" t="inlineStr">
        <is>
          <t>T3</t>
        </is>
      </c>
      <c r="E672" t="inlineStr">
        <is>
          <t>Gjenstående budsjett</t>
        </is>
      </c>
      <c r="F672" t="inlineStr">
        <is>
          <t>Kommunal Boenhet</t>
        </is>
      </c>
      <c r="G672" t="n">
        <v>254</v>
      </c>
      <c r="H672" t="inlineStr">
        <is>
          <t>Helse og mestring</t>
        </is>
      </c>
      <c r="I672" t="inlineStr">
        <is>
          <t>2 Utgifter</t>
        </is>
      </c>
      <c r="J672" t="inlineStr">
        <is>
          <t>11 Refusjon lønn</t>
        </is>
      </c>
      <c r="K672" t="n">
        <v>1140</v>
      </c>
      <c r="L672" t="n">
        <v>114000</v>
      </c>
      <c r="M672" t="inlineStr">
        <is>
          <t>Stillingsannonser</t>
        </is>
      </c>
      <c r="N672" s="98" t="n">
        <v>2550</v>
      </c>
      <c r="O672" s="98" t="n">
        <v>0</v>
      </c>
      <c r="P672" s="98" t="n">
        <v>0</v>
      </c>
      <c r="Q672" s="98" t="n">
        <v>-2550</v>
      </c>
    </row>
    <row r="673">
      <c r="A673" t="inlineStr">
        <is>
          <t>2024-12</t>
        </is>
      </c>
      <c r="B673" t="inlineStr">
        <is>
          <t>Desember</t>
        </is>
      </c>
      <c r="C673" t="n">
        <v>12</v>
      </c>
      <c r="D673" t="inlineStr">
        <is>
          <t>T3</t>
        </is>
      </c>
      <c r="E673" t="inlineStr">
        <is>
          <t>Gjenstående budsjett</t>
        </is>
      </c>
      <c r="F673" t="inlineStr">
        <is>
          <t>Kommunal Boenhet</t>
        </is>
      </c>
      <c r="G673" t="n">
        <v>254</v>
      </c>
      <c r="H673" t="inlineStr">
        <is>
          <t>Helse og mestring</t>
        </is>
      </c>
      <c r="I673" t="inlineStr">
        <is>
          <t>2 Utgifter</t>
        </is>
      </c>
      <c r="J673" t="inlineStr">
        <is>
          <t>11 Refusjon lønn</t>
        </is>
      </c>
      <c r="K673" t="n">
        <v>1140</v>
      </c>
      <c r="L673" t="n">
        <v>114000</v>
      </c>
      <c r="M673" t="inlineStr">
        <is>
          <t>Stillingsannonser</t>
        </is>
      </c>
      <c r="N673" s="98" t="n">
        <v>2950</v>
      </c>
      <c r="O673" s="98" t="n">
        <v>0</v>
      </c>
      <c r="P673" s="98" t="n">
        <v>0</v>
      </c>
      <c r="Q673" s="98" t="n">
        <v>-2950</v>
      </c>
    </row>
    <row r="674">
      <c r="A674" t="inlineStr">
        <is>
          <t>2024-01</t>
        </is>
      </c>
      <c r="B674" t="inlineStr">
        <is>
          <t>Januar</t>
        </is>
      </c>
      <c r="C674" t="n">
        <v>1</v>
      </c>
      <c r="D674" t="inlineStr">
        <is>
          <t>T1</t>
        </is>
      </c>
      <c r="E674" t="inlineStr">
        <is>
          <t>Bokført</t>
        </is>
      </c>
      <c r="F674" t="inlineStr">
        <is>
          <t>Kommunal Boenhet</t>
        </is>
      </c>
      <c r="G674" t="n">
        <v>254</v>
      </c>
      <c r="H674" t="inlineStr">
        <is>
          <t>Helse og mestring</t>
        </is>
      </c>
      <c r="I674" t="inlineStr">
        <is>
          <t>2 Utgifter</t>
        </is>
      </c>
      <c r="J674" t="inlineStr">
        <is>
          <t>11 Refusjon lønn</t>
        </is>
      </c>
      <c r="K674" t="n">
        <v>1150</v>
      </c>
      <c r="L674" t="n">
        <v>115000</v>
      </c>
      <c r="M674" t="inlineStr">
        <is>
          <t>Kurs / konferanser/opplæring - inkl. hotell</t>
        </is>
      </c>
      <c r="N674" s="98" t="n">
        <v>5268</v>
      </c>
      <c r="O674" s="98" t="n">
        <v>0</v>
      </c>
      <c r="P674" s="98" t="n">
        <v>5268</v>
      </c>
      <c r="Q674" s="98" t="n">
        <v>-5268</v>
      </c>
    </row>
    <row r="675">
      <c r="A675" t="inlineStr">
        <is>
          <t>2024-02</t>
        </is>
      </c>
      <c r="B675" t="inlineStr">
        <is>
          <t>Februar</t>
        </is>
      </c>
      <c r="C675" t="n">
        <v>2</v>
      </c>
      <c r="D675" t="inlineStr">
        <is>
          <t>T1</t>
        </is>
      </c>
      <c r="E675" t="inlineStr">
        <is>
          <t>Bokført</t>
        </is>
      </c>
      <c r="F675" t="inlineStr">
        <is>
          <t>Kommunal Boenhet</t>
        </is>
      </c>
      <c r="G675" t="n">
        <v>254</v>
      </c>
      <c r="H675" t="inlineStr">
        <is>
          <t>Helse og mestring</t>
        </is>
      </c>
      <c r="I675" t="inlineStr">
        <is>
          <t>2 Utgifter</t>
        </is>
      </c>
      <c r="J675" t="inlineStr">
        <is>
          <t>11 Refusjon lønn</t>
        </is>
      </c>
      <c r="K675" t="n">
        <v>1150</v>
      </c>
      <c r="L675" t="n">
        <v>115000</v>
      </c>
      <c r="M675" t="inlineStr">
        <is>
          <t>Kurs / konferanser/opplæring - inkl. hotell</t>
        </is>
      </c>
      <c r="N675" s="98" t="n">
        <v>5268</v>
      </c>
      <c r="O675" s="98" t="n">
        <v>0</v>
      </c>
      <c r="P675" s="98" t="n">
        <v>5268</v>
      </c>
      <c r="Q675" s="98" t="n">
        <v>-5268</v>
      </c>
    </row>
    <row r="676">
      <c r="A676" t="inlineStr">
        <is>
          <t>2024-03</t>
        </is>
      </c>
      <c r="B676" t="inlineStr">
        <is>
          <t>Mars</t>
        </is>
      </c>
      <c r="C676" t="n">
        <v>3</v>
      </c>
      <c r="D676" t="inlineStr">
        <is>
          <t>T1</t>
        </is>
      </c>
      <c r="E676" t="inlineStr">
        <is>
          <t>Bokført</t>
        </is>
      </c>
      <c r="F676" t="inlineStr">
        <is>
          <t>Kommunal Boenhet</t>
        </is>
      </c>
      <c r="G676" t="n">
        <v>254</v>
      </c>
      <c r="H676" t="inlineStr">
        <is>
          <t>Helse og mestring</t>
        </is>
      </c>
      <c r="I676" t="inlineStr">
        <is>
          <t>2 Utgifter</t>
        </is>
      </c>
      <c r="J676" t="inlineStr">
        <is>
          <t>11 Refusjon lønn</t>
        </is>
      </c>
      <c r="K676" t="n">
        <v>1150</v>
      </c>
      <c r="L676" t="n">
        <v>115000</v>
      </c>
      <c r="M676" t="inlineStr">
        <is>
          <t>Kurs / konferanser/opplæring - inkl. hotell</t>
        </is>
      </c>
      <c r="N676" s="98" t="n">
        <v>5268</v>
      </c>
      <c r="O676" s="98" t="n">
        <v>282</v>
      </c>
      <c r="P676" s="98" t="n">
        <v>4986</v>
      </c>
      <c r="Q676" s="98" t="n">
        <v>-4986</v>
      </c>
    </row>
    <row r="677">
      <c r="A677" t="inlineStr">
        <is>
          <t>2024-04</t>
        </is>
      </c>
      <c r="B677" t="inlineStr">
        <is>
          <t>April</t>
        </is>
      </c>
      <c r="C677" t="n">
        <v>4</v>
      </c>
      <c r="D677" t="inlineStr">
        <is>
          <t>T1</t>
        </is>
      </c>
      <c r="E677" t="inlineStr">
        <is>
          <t>Bokført</t>
        </is>
      </c>
      <c r="F677" t="inlineStr">
        <is>
          <t>Kommunal Boenhet</t>
        </is>
      </c>
      <c r="G677" t="n">
        <v>254</v>
      </c>
      <c r="H677" t="inlineStr">
        <is>
          <t>Helse og mestring</t>
        </is>
      </c>
      <c r="I677" t="inlineStr">
        <is>
          <t>2 Utgifter</t>
        </is>
      </c>
      <c r="J677" t="inlineStr">
        <is>
          <t>11 Refusjon lønn</t>
        </is>
      </c>
      <c r="K677" t="n">
        <v>1150</v>
      </c>
      <c r="L677" t="n">
        <v>115000</v>
      </c>
      <c r="M677" t="inlineStr">
        <is>
          <t>Kurs / konferanser/opplæring - inkl. hotell</t>
        </is>
      </c>
      <c r="N677" s="98" t="n">
        <v>5268</v>
      </c>
      <c r="O677" s="98" t="n">
        <v>1125</v>
      </c>
      <c r="P677" s="98" t="n">
        <v>4143</v>
      </c>
      <c r="Q677" s="98" t="n">
        <v>-4143</v>
      </c>
    </row>
    <row r="678">
      <c r="A678" t="inlineStr">
        <is>
          <t>2024-05</t>
        </is>
      </c>
      <c r="B678" t="inlineStr">
        <is>
          <t>Mai</t>
        </is>
      </c>
      <c r="C678" t="n">
        <v>5</v>
      </c>
      <c r="D678" t="inlineStr">
        <is>
          <t>T2</t>
        </is>
      </c>
      <c r="E678" t="inlineStr">
        <is>
          <t>Bokført</t>
        </is>
      </c>
      <c r="F678" t="inlineStr">
        <is>
          <t>Kommunal Boenhet</t>
        </is>
      </c>
      <c r="G678" t="n">
        <v>254</v>
      </c>
      <c r="H678" t="inlineStr">
        <is>
          <t>Helse og mestring</t>
        </is>
      </c>
      <c r="I678" t="inlineStr">
        <is>
          <t>2 Utgifter</t>
        </is>
      </c>
      <c r="J678" t="inlineStr">
        <is>
          <t>11 Refusjon lønn</t>
        </is>
      </c>
      <c r="K678" t="n">
        <v>1150</v>
      </c>
      <c r="L678" t="n">
        <v>115000</v>
      </c>
      <c r="M678" t="inlineStr">
        <is>
          <t>Kurs / konferanser/opplæring - inkl. hotell</t>
        </is>
      </c>
      <c r="N678" s="98" t="n">
        <v>5268</v>
      </c>
      <c r="O678" s="98" t="n">
        <v>6640.18</v>
      </c>
      <c r="P678" s="98" t="n">
        <v>-1372.18</v>
      </c>
      <c r="Q678" s="98" t="n">
        <v>1372.18</v>
      </c>
    </row>
    <row r="679">
      <c r="A679" t="inlineStr">
        <is>
          <t>2024-06</t>
        </is>
      </c>
      <c r="B679" t="inlineStr">
        <is>
          <t>Juni</t>
        </is>
      </c>
      <c r="C679" t="n">
        <v>6</v>
      </c>
      <c r="D679" t="inlineStr">
        <is>
          <t>T2</t>
        </is>
      </c>
      <c r="E679" t="inlineStr">
        <is>
          <t>Bokført</t>
        </is>
      </c>
      <c r="F679" t="inlineStr">
        <is>
          <t>Kommunal Boenhet</t>
        </is>
      </c>
      <c r="G679" t="n">
        <v>254</v>
      </c>
      <c r="H679" t="inlineStr">
        <is>
          <t>Helse og mestring</t>
        </is>
      </c>
      <c r="I679" t="inlineStr">
        <is>
          <t>2 Utgifter</t>
        </is>
      </c>
      <c r="J679" t="inlineStr">
        <is>
          <t>11 Refusjon lønn</t>
        </is>
      </c>
      <c r="K679" t="n">
        <v>1150</v>
      </c>
      <c r="L679" t="n">
        <v>115000</v>
      </c>
      <c r="M679" t="inlineStr">
        <is>
          <t>Kurs / konferanser/opplæring - inkl. hotell</t>
        </is>
      </c>
      <c r="N679" s="98" t="n">
        <v>5268</v>
      </c>
      <c r="O679" s="98" t="n">
        <v>0</v>
      </c>
      <c r="P679" s="98" t="n">
        <v>5268</v>
      </c>
      <c r="Q679" s="98" t="n">
        <v>-5268</v>
      </c>
    </row>
    <row r="680">
      <c r="A680" t="inlineStr">
        <is>
          <t>2024-07</t>
        </is>
      </c>
      <c r="B680" t="inlineStr">
        <is>
          <t>Juli</t>
        </is>
      </c>
      <c r="C680" t="n">
        <v>7</v>
      </c>
      <c r="D680" t="inlineStr">
        <is>
          <t>T2</t>
        </is>
      </c>
      <c r="E680" t="inlineStr">
        <is>
          <t>Bokført</t>
        </is>
      </c>
      <c r="F680" t="inlineStr">
        <is>
          <t>Kommunal Boenhet</t>
        </is>
      </c>
      <c r="G680" t="n">
        <v>254</v>
      </c>
      <c r="H680" t="inlineStr">
        <is>
          <t>Helse og mestring</t>
        </is>
      </c>
      <c r="I680" t="inlineStr">
        <is>
          <t>2 Utgifter</t>
        </is>
      </c>
      <c r="J680" t="inlineStr">
        <is>
          <t>11 Refusjon lønn</t>
        </is>
      </c>
      <c r="K680" t="n">
        <v>1150</v>
      </c>
      <c r="L680" t="n">
        <v>115000</v>
      </c>
      <c r="M680" t="inlineStr">
        <is>
          <t>Kurs / konferanser/opplæring - inkl. hotell</t>
        </is>
      </c>
      <c r="N680" s="98" t="n">
        <v>5268</v>
      </c>
      <c r="O680" s="98" t="n">
        <v>0</v>
      </c>
      <c r="P680" s="98" t="n">
        <v>5268</v>
      </c>
      <c r="Q680" s="98" t="n">
        <v>-5268</v>
      </c>
    </row>
    <row r="681">
      <c r="A681" t="inlineStr">
        <is>
          <t>2024-08</t>
        </is>
      </c>
      <c r="B681" t="inlineStr">
        <is>
          <t>August</t>
        </is>
      </c>
      <c r="C681" t="n">
        <v>8</v>
      </c>
      <c r="D681" t="inlineStr">
        <is>
          <t>T2</t>
        </is>
      </c>
      <c r="E681" t="inlineStr">
        <is>
          <t>Bokført</t>
        </is>
      </c>
      <c r="F681" t="inlineStr">
        <is>
          <t>Kommunal Boenhet</t>
        </is>
      </c>
      <c r="G681" t="n">
        <v>254</v>
      </c>
      <c r="H681" t="inlineStr">
        <is>
          <t>Helse og mestring</t>
        </is>
      </c>
      <c r="I681" t="inlineStr">
        <is>
          <t>2 Utgifter</t>
        </is>
      </c>
      <c r="J681" t="inlineStr">
        <is>
          <t>11 Refusjon lønn</t>
        </is>
      </c>
      <c r="K681" t="n">
        <v>1150</v>
      </c>
      <c r="L681" t="n">
        <v>115000</v>
      </c>
      <c r="M681" t="inlineStr">
        <is>
          <t>Kurs / konferanser/opplæring - inkl. hotell</t>
        </is>
      </c>
      <c r="N681" s="98" t="n">
        <v>5268</v>
      </c>
      <c r="O681" s="98" t="n">
        <v>0</v>
      </c>
      <c r="P681" s="98" t="n">
        <v>5268</v>
      </c>
      <c r="Q681" s="98" t="n">
        <v>-5268</v>
      </c>
    </row>
    <row r="682">
      <c r="A682" t="inlineStr">
        <is>
          <t>2024-09</t>
        </is>
      </c>
      <c r="B682" t="inlineStr">
        <is>
          <t>September</t>
        </is>
      </c>
      <c r="C682" t="n">
        <v>9</v>
      </c>
      <c r="D682" t="inlineStr">
        <is>
          <t>T3</t>
        </is>
      </c>
      <c r="E682" t="inlineStr">
        <is>
          <t>Gjenstående budsjett</t>
        </is>
      </c>
      <c r="F682" t="inlineStr">
        <is>
          <t>Kommunal Boenhet</t>
        </is>
      </c>
      <c r="G682" t="n">
        <v>254</v>
      </c>
      <c r="H682" t="inlineStr">
        <is>
          <t>Helse og mestring</t>
        </is>
      </c>
      <c r="I682" t="inlineStr">
        <is>
          <t>2 Utgifter</t>
        </is>
      </c>
      <c r="J682" t="inlineStr">
        <is>
          <t>11 Refusjon lønn</t>
        </is>
      </c>
      <c r="K682" t="n">
        <v>1150</v>
      </c>
      <c r="L682" t="n">
        <v>115000</v>
      </c>
      <c r="M682" t="inlineStr">
        <is>
          <t>Kurs / konferanser/opplæring - inkl. hotell</t>
        </is>
      </c>
      <c r="N682" s="98" t="n">
        <v>5268</v>
      </c>
      <c r="O682" s="98" t="n">
        <v>0</v>
      </c>
      <c r="P682" s="98" t="n">
        <v>0</v>
      </c>
      <c r="Q682" s="98" t="n">
        <v>-5268</v>
      </c>
    </row>
    <row r="683">
      <c r="A683" t="inlineStr">
        <is>
          <t>2024-10</t>
        </is>
      </c>
      <c r="B683" t="inlineStr">
        <is>
          <t>Oktober</t>
        </is>
      </c>
      <c r="C683" t="n">
        <v>10</v>
      </c>
      <c r="D683" t="inlineStr">
        <is>
          <t>T3</t>
        </is>
      </c>
      <c r="E683" t="inlineStr">
        <is>
          <t>Gjenstående budsjett</t>
        </is>
      </c>
      <c r="F683" t="inlineStr">
        <is>
          <t>Kommunal Boenhet</t>
        </is>
      </c>
      <c r="G683" t="n">
        <v>254</v>
      </c>
      <c r="H683" t="inlineStr">
        <is>
          <t>Helse og mestring</t>
        </is>
      </c>
      <c r="I683" t="inlineStr">
        <is>
          <t>2 Utgifter</t>
        </is>
      </c>
      <c r="J683" t="inlineStr">
        <is>
          <t>11 Refusjon lønn</t>
        </is>
      </c>
      <c r="K683" t="n">
        <v>1150</v>
      </c>
      <c r="L683" t="n">
        <v>115000</v>
      </c>
      <c r="M683" t="inlineStr">
        <is>
          <t>Kurs / konferanser/opplæring - inkl. hotell</t>
        </is>
      </c>
      <c r="N683" s="98" t="n">
        <v>5268</v>
      </c>
      <c r="O683" s="98" t="n">
        <v>0</v>
      </c>
      <c r="P683" s="98" t="n">
        <v>0</v>
      </c>
      <c r="Q683" s="98" t="n">
        <v>-5268</v>
      </c>
    </row>
    <row r="684">
      <c r="A684" t="inlineStr">
        <is>
          <t>2024-11</t>
        </is>
      </c>
      <c r="B684" t="inlineStr">
        <is>
          <t>November</t>
        </is>
      </c>
      <c r="C684" t="n">
        <v>11</v>
      </c>
      <c r="D684" t="inlineStr">
        <is>
          <t>T3</t>
        </is>
      </c>
      <c r="E684" t="inlineStr">
        <is>
          <t>Gjenstående budsjett</t>
        </is>
      </c>
      <c r="F684" t="inlineStr">
        <is>
          <t>Kommunal Boenhet</t>
        </is>
      </c>
      <c r="G684" t="n">
        <v>254</v>
      </c>
      <c r="H684" t="inlineStr">
        <is>
          <t>Helse og mestring</t>
        </is>
      </c>
      <c r="I684" t="inlineStr">
        <is>
          <t>2 Utgifter</t>
        </is>
      </c>
      <c r="J684" t="inlineStr">
        <is>
          <t>11 Refusjon lønn</t>
        </is>
      </c>
      <c r="K684" t="n">
        <v>1150</v>
      </c>
      <c r="L684" t="n">
        <v>115000</v>
      </c>
      <c r="M684" t="inlineStr">
        <is>
          <t>Kurs / konferanser/opplæring - inkl. hotell</t>
        </is>
      </c>
      <c r="N684" s="98" t="n">
        <v>5268</v>
      </c>
      <c r="O684" s="98" t="n">
        <v>0</v>
      </c>
      <c r="P684" s="98" t="n">
        <v>0</v>
      </c>
      <c r="Q684" s="98" t="n">
        <v>-5268</v>
      </c>
    </row>
    <row r="685">
      <c r="A685" t="inlineStr">
        <is>
          <t>2024-12</t>
        </is>
      </c>
      <c r="B685" t="inlineStr">
        <is>
          <t>Desember</t>
        </is>
      </c>
      <c r="C685" t="n">
        <v>12</v>
      </c>
      <c r="D685" t="inlineStr">
        <is>
          <t>T3</t>
        </is>
      </c>
      <c r="E685" t="inlineStr">
        <is>
          <t>Gjenstående budsjett</t>
        </is>
      </c>
      <c r="F685" t="inlineStr">
        <is>
          <t>Kommunal Boenhet</t>
        </is>
      </c>
      <c r="G685" t="n">
        <v>254</v>
      </c>
      <c r="H685" t="inlineStr">
        <is>
          <t>Helse og mestring</t>
        </is>
      </c>
      <c r="I685" t="inlineStr">
        <is>
          <t>2 Utgifter</t>
        </is>
      </c>
      <c r="J685" t="inlineStr">
        <is>
          <t>11 Refusjon lønn</t>
        </is>
      </c>
      <c r="K685" t="n">
        <v>1150</v>
      </c>
      <c r="L685" t="n">
        <v>115000</v>
      </c>
      <c r="M685" t="inlineStr">
        <is>
          <t>Kurs / konferanser/opplæring - inkl. hotell</t>
        </is>
      </c>
      <c r="N685" s="98" t="n">
        <v>5052</v>
      </c>
      <c r="O685" s="98" t="n">
        <v>0</v>
      </c>
      <c r="P685" s="98" t="n">
        <v>0</v>
      </c>
      <c r="Q685" s="98" t="n">
        <v>-5052</v>
      </c>
    </row>
    <row r="686">
      <c r="A686" t="inlineStr">
        <is>
          <t>2024-01</t>
        </is>
      </c>
      <c r="B686" t="inlineStr">
        <is>
          <t>Januar</t>
        </is>
      </c>
      <c r="C686" t="n">
        <v>1</v>
      </c>
      <c r="D686" t="inlineStr">
        <is>
          <t>T1</t>
        </is>
      </c>
      <c r="E686" t="inlineStr">
        <is>
          <t>Bokført</t>
        </is>
      </c>
      <c r="F686" t="inlineStr">
        <is>
          <t>Kommunal Boenhet</t>
        </is>
      </c>
      <c r="G686" t="n">
        <v>254</v>
      </c>
      <c r="H686" t="inlineStr">
        <is>
          <t>Helse og mestring</t>
        </is>
      </c>
      <c r="I686" t="inlineStr">
        <is>
          <t>2 Utgifter</t>
        </is>
      </c>
      <c r="J686" t="inlineStr">
        <is>
          <t>11 Refusjon lønn</t>
        </is>
      </c>
      <c r="K686" t="n">
        <v>1160</v>
      </c>
      <c r="L686" t="n">
        <v>116000</v>
      </c>
      <c r="M686" t="inlineStr">
        <is>
          <t>Km-godtgjørelse, inkl. passasjertillegg - oppl.pl</t>
        </is>
      </c>
      <c r="N686" s="98" t="n">
        <v>850</v>
      </c>
      <c r="O686" s="98" t="n">
        <v>0</v>
      </c>
      <c r="P686" s="98" t="n">
        <v>850</v>
      </c>
      <c r="Q686" s="98" t="n">
        <v>-850</v>
      </c>
    </row>
    <row r="687">
      <c r="A687" t="inlineStr">
        <is>
          <t>2024-02</t>
        </is>
      </c>
      <c r="B687" t="inlineStr">
        <is>
          <t>Februar</t>
        </is>
      </c>
      <c r="C687" t="n">
        <v>2</v>
      </c>
      <c r="D687" t="inlineStr">
        <is>
          <t>T1</t>
        </is>
      </c>
      <c r="E687" t="inlineStr">
        <is>
          <t>Bokført</t>
        </is>
      </c>
      <c r="F687" t="inlineStr">
        <is>
          <t>Kommunal Boenhet</t>
        </is>
      </c>
      <c r="G687" t="n">
        <v>254</v>
      </c>
      <c r="H687" t="inlineStr">
        <is>
          <t>Helse og mestring</t>
        </is>
      </c>
      <c r="I687" t="inlineStr">
        <is>
          <t>2 Utgifter</t>
        </is>
      </c>
      <c r="J687" t="inlineStr">
        <is>
          <t>11 Refusjon lønn</t>
        </is>
      </c>
      <c r="K687" t="n">
        <v>1160</v>
      </c>
      <c r="L687" t="n">
        <v>116000</v>
      </c>
      <c r="M687" t="inlineStr">
        <is>
          <t>Km-godtgjørelse, inkl. passasjertillegg - oppl.pl</t>
        </is>
      </c>
      <c r="N687" s="98" t="n">
        <v>850</v>
      </c>
      <c r="O687" s="98" t="n">
        <v>0</v>
      </c>
      <c r="P687" s="98" t="n">
        <v>850</v>
      </c>
      <c r="Q687" s="98" t="n">
        <v>-850</v>
      </c>
    </row>
    <row r="688">
      <c r="A688" t="inlineStr">
        <is>
          <t>2024-03</t>
        </is>
      </c>
      <c r="B688" t="inlineStr">
        <is>
          <t>Mars</t>
        </is>
      </c>
      <c r="C688" t="n">
        <v>3</v>
      </c>
      <c r="D688" t="inlineStr">
        <is>
          <t>T1</t>
        </is>
      </c>
      <c r="E688" t="inlineStr">
        <is>
          <t>Bokført</t>
        </is>
      </c>
      <c r="F688" t="inlineStr">
        <is>
          <t>Kommunal Boenhet</t>
        </is>
      </c>
      <c r="G688" t="n">
        <v>254</v>
      </c>
      <c r="H688" t="inlineStr">
        <is>
          <t>Helse og mestring</t>
        </is>
      </c>
      <c r="I688" t="inlineStr">
        <is>
          <t>2 Utgifter</t>
        </is>
      </c>
      <c r="J688" t="inlineStr">
        <is>
          <t>11 Refusjon lønn</t>
        </is>
      </c>
      <c r="K688" t="n">
        <v>1160</v>
      </c>
      <c r="L688" t="n">
        <v>116000</v>
      </c>
      <c r="M688" t="inlineStr">
        <is>
          <t>Km-godtgjørelse, inkl. passasjertillegg - oppl.pl</t>
        </is>
      </c>
      <c r="N688" s="98" t="n">
        <v>850</v>
      </c>
      <c r="O688" s="98" t="n">
        <v>0</v>
      </c>
      <c r="P688" s="98" t="n">
        <v>850</v>
      </c>
      <c r="Q688" s="98" t="n">
        <v>-850</v>
      </c>
    </row>
    <row r="689">
      <c r="A689" t="inlineStr">
        <is>
          <t>2024-04</t>
        </is>
      </c>
      <c r="B689" t="inlineStr">
        <is>
          <t>April</t>
        </is>
      </c>
      <c r="C689" t="n">
        <v>4</v>
      </c>
      <c r="D689" t="inlineStr">
        <is>
          <t>T1</t>
        </is>
      </c>
      <c r="E689" t="inlineStr">
        <is>
          <t>Bokført</t>
        </is>
      </c>
      <c r="F689" t="inlineStr">
        <is>
          <t>Kommunal Boenhet</t>
        </is>
      </c>
      <c r="G689" t="n">
        <v>254</v>
      </c>
      <c r="H689" t="inlineStr">
        <is>
          <t>Helse og mestring</t>
        </is>
      </c>
      <c r="I689" t="inlineStr">
        <is>
          <t>2 Utgifter</t>
        </is>
      </c>
      <c r="J689" t="inlineStr">
        <is>
          <t>11 Refusjon lønn</t>
        </is>
      </c>
      <c r="K689" t="n">
        <v>1160</v>
      </c>
      <c r="L689" t="n">
        <v>116000</v>
      </c>
      <c r="M689" t="inlineStr">
        <is>
          <t>Km-godtgjørelse, inkl. passasjertillegg - oppl.pl</t>
        </is>
      </c>
      <c r="N689" s="98" t="n">
        <v>850</v>
      </c>
      <c r="O689" s="98" t="n">
        <v>0</v>
      </c>
      <c r="P689" s="98" t="n">
        <v>850</v>
      </c>
      <c r="Q689" s="98" t="n">
        <v>-850</v>
      </c>
    </row>
    <row r="690">
      <c r="A690" t="inlineStr">
        <is>
          <t>2024-05</t>
        </is>
      </c>
      <c r="B690" t="inlineStr">
        <is>
          <t>Mai</t>
        </is>
      </c>
      <c r="C690" t="n">
        <v>5</v>
      </c>
      <c r="D690" t="inlineStr">
        <is>
          <t>T2</t>
        </is>
      </c>
      <c r="E690" t="inlineStr">
        <is>
          <t>Bokført</t>
        </is>
      </c>
      <c r="F690" t="inlineStr">
        <is>
          <t>Kommunal Boenhet</t>
        </is>
      </c>
      <c r="G690" t="n">
        <v>254</v>
      </c>
      <c r="H690" t="inlineStr">
        <is>
          <t>Helse og mestring</t>
        </is>
      </c>
      <c r="I690" t="inlineStr">
        <is>
          <t>2 Utgifter</t>
        </is>
      </c>
      <c r="J690" t="inlineStr">
        <is>
          <t>11 Refusjon lønn</t>
        </is>
      </c>
      <c r="K690" t="n">
        <v>1160</v>
      </c>
      <c r="L690" t="n">
        <v>116000</v>
      </c>
      <c r="M690" t="inlineStr">
        <is>
          <t>Km-godtgjørelse, inkl. passasjertillegg - oppl.pl</t>
        </is>
      </c>
      <c r="N690" s="98" t="n">
        <v>850</v>
      </c>
      <c r="O690" s="98" t="n">
        <v>0</v>
      </c>
      <c r="P690" s="98" t="n">
        <v>850</v>
      </c>
      <c r="Q690" s="98" t="n">
        <v>-850</v>
      </c>
    </row>
    <row r="691">
      <c r="A691" t="inlineStr">
        <is>
          <t>2024-06</t>
        </is>
      </c>
      <c r="B691" t="inlineStr">
        <is>
          <t>Juni</t>
        </is>
      </c>
      <c r="C691" t="n">
        <v>6</v>
      </c>
      <c r="D691" t="inlineStr">
        <is>
          <t>T2</t>
        </is>
      </c>
      <c r="E691" t="inlineStr">
        <is>
          <t>Bokført</t>
        </is>
      </c>
      <c r="F691" t="inlineStr">
        <is>
          <t>Kommunal Boenhet</t>
        </is>
      </c>
      <c r="G691" t="n">
        <v>254</v>
      </c>
      <c r="H691" t="inlineStr">
        <is>
          <t>Helse og mestring</t>
        </is>
      </c>
      <c r="I691" t="inlineStr">
        <is>
          <t>2 Utgifter</t>
        </is>
      </c>
      <c r="J691" t="inlineStr">
        <is>
          <t>11 Refusjon lønn</t>
        </is>
      </c>
      <c r="K691" t="n">
        <v>1160</v>
      </c>
      <c r="L691" t="n">
        <v>116000</v>
      </c>
      <c r="M691" t="inlineStr">
        <is>
          <t>Km-godtgjørelse, inkl. passasjertillegg - oppl.pl</t>
        </is>
      </c>
      <c r="N691" s="98" t="n">
        <v>850</v>
      </c>
      <c r="O691" s="98" t="n">
        <v>538.2</v>
      </c>
      <c r="P691" s="98" t="n">
        <v>311.8</v>
      </c>
      <c r="Q691" s="98" t="n">
        <v>-311.8</v>
      </c>
    </row>
    <row r="692">
      <c r="A692" t="inlineStr">
        <is>
          <t>2024-07</t>
        </is>
      </c>
      <c r="B692" t="inlineStr">
        <is>
          <t>Juli</t>
        </is>
      </c>
      <c r="C692" t="n">
        <v>7</v>
      </c>
      <c r="D692" t="inlineStr">
        <is>
          <t>T2</t>
        </is>
      </c>
      <c r="E692" t="inlineStr">
        <is>
          <t>Bokført</t>
        </is>
      </c>
      <c r="F692" t="inlineStr">
        <is>
          <t>Kommunal Boenhet</t>
        </is>
      </c>
      <c r="G692" t="n">
        <v>254</v>
      </c>
      <c r="H692" t="inlineStr">
        <is>
          <t>Helse og mestring</t>
        </is>
      </c>
      <c r="I692" t="inlineStr">
        <is>
          <t>2 Utgifter</t>
        </is>
      </c>
      <c r="J692" t="inlineStr">
        <is>
          <t>11 Refusjon lønn</t>
        </is>
      </c>
      <c r="K692" t="n">
        <v>1160</v>
      </c>
      <c r="L692" t="n">
        <v>116000</v>
      </c>
      <c r="M692" t="inlineStr">
        <is>
          <t>Km-godtgjørelse, inkl. passasjertillegg - oppl.pl</t>
        </is>
      </c>
      <c r="N692" s="98" t="n">
        <v>850</v>
      </c>
      <c r="O692" s="98" t="n">
        <v>1471.05</v>
      </c>
      <c r="P692" s="98" t="n">
        <v>-621.05</v>
      </c>
      <c r="Q692" s="98" t="n">
        <v>621.05</v>
      </c>
    </row>
    <row r="693">
      <c r="A693" t="inlineStr">
        <is>
          <t>2024-08</t>
        </is>
      </c>
      <c r="B693" t="inlineStr">
        <is>
          <t>August</t>
        </is>
      </c>
      <c r="C693" t="n">
        <v>8</v>
      </c>
      <c r="D693" t="inlineStr">
        <is>
          <t>T2</t>
        </is>
      </c>
      <c r="E693" t="inlineStr">
        <is>
          <t>Bokført</t>
        </is>
      </c>
      <c r="F693" t="inlineStr">
        <is>
          <t>Kommunal Boenhet</t>
        </is>
      </c>
      <c r="G693" t="n">
        <v>254</v>
      </c>
      <c r="H693" t="inlineStr">
        <is>
          <t>Helse og mestring</t>
        </is>
      </c>
      <c r="I693" t="inlineStr">
        <is>
          <t>2 Utgifter</t>
        </is>
      </c>
      <c r="J693" t="inlineStr">
        <is>
          <t>11 Refusjon lønn</t>
        </is>
      </c>
      <c r="K693" t="n">
        <v>1160</v>
      </c>
      <c r="L693" t="n">
        <v>116000</v>
      </c>
      <c r="M693" t="inlineStr">
        <is>
          <t>Km-godtgjørelse, inkl. passasjertillegg - oppl.pl</t>
        </is>
      </c>
      <c r="N693" s="98" t="n">
        <v>850</v>
      </c>
      <c r="O693" s="98" t="n">
        <v>0</v>
      </c>
      <c r="P693" s="98" t="n">
        <v>850</v>
      </c>
      <c r="Q693" s="98" t="n">
        <v>-850</v>
      </c>
    </row>
    <row r="694">
      <c r="A694" t="inlineStr">
        <is>
          <t>2024-09</t>
        </is>
      </c>
      <c r="B694" t="inlineStr">
        <is>
          <t>September</t>
        </is>
      </c>
      <c r="C694" t="n">
        <v>9</v>
      </c>
      <c r="D694" t="inlineStr">
        <is>
          <t>T3</t>
        </is>
      </c>
      <c r="E694" t="inlineStr">
        <is>
          <t>Gjenstående budsjett</t>
        </is>
      </c>
      <c r="F694" t="inlineStr">
        <is>
          <t>Kommunal Boenhet</t>
        </is>
      </c>
      <c r="G694" t="n">
        <v>254</v>
      </c>
      <c r="H694" t="inlineStr">
        <is>
          <t>Helse og mestring</t>
        </is>
      </c>
      <c r="I694" t="inlineStr">
        <is>
          <t>2 Utgifter</t>
        </is>
      </c>
      <c r="J694" t="inlineStr">
        <is>
          <t>11 Refusjon lønn</t>
        </is>
      </c>
      <c r="K694" t="n">
        <v>1160</v>
      </c>
      <c r="L694" t="n">
        <v>116000</v>
      </c>
      <c r="M694" t="inlineStr">
        <is>
          <t>Km-godtgjørelse, inkl. passasjertillegg - oppl.pl</t>
        </is>
      </c>
      <c r="N694" s="98" t="n">
        <v>850</v>
      </c>
      <c r="O694" s="98" t="n">
        <v>0</v>
      </c>
      <c r="P694" s="98" t="n">
        <v>0</v>
      </c>
      <c r="Q694" s="98" t="n">
        <v>-850</v>
      </c>
    </row>
    <row r="695">
      <c r="A695" t="inlineStr">
        <is>
          <t>2024-10</t>
        </is>
      </c>
      <c r="B695" t="inlineStr">
        <is>
          <t>Oktober</t>
        </is>
      </c>
      <c r="C695" t="n">
        <v>10</v>
      </c>
      <c r="D695" t="inlineStr">
        <is>
          <t>T3</t>
        </is>
      </c>
      <c r="E695" t="inlineStr">
        <is>
          <t>Gjenstående budsjett</t>
        </is>
      </c>
      <c r="F695" t="inlineStr">
        <is>
          <t>Kommunal Boenhet</t>
        </is>
      </c>
      <c r="G695" t="n">
        <v>254</v>
      </c>
      <c r="H695" t="inlineStr">
        <is>
          <t>Helse og mestring</t>
        </is>
      </c>
      <c r="I695" t="inlineStr">
        <is>
          <t>2 Utgifter</t>
        </is>
      </c>
      <c r="J695" t="inlineStr">
        <is>
          <t>11 Refusjon lønn</t>
        </is>
      </c>
      <c r="K695" t="n">
        <v>1160</v>
      </c>
      <c r="L695" t="n">
        <v>116000</v>
      </c>
      <c r="M695" t="inlineStr">
        <is>
          <t>Km-godtgjørelse, inkl. passasjertillegg - oppl.pl</t>
        </is>
      </c>
      <c r="N695" s="98" t="n">
        <v>850</v>
      </c>
      <c r="O695" s="98" t="n">
        <v>0</v>
      </c>
      <c r="P695" s="98" t="n">
        <v>0</v>
      </c>
      <c r="Q695" s="98" t="n">
        <v>-850</v>
      </c>
    </row>
    <row r="696">
      <c r="A696" t="inlineStr">
        <is>
          <t>2024-11</t>
        </is>
      </c>
      <c r="B696" t="inlineStr">
        <is>
          <t>November</t>
        </is>
      </c>
      <c r="C696" t="n">
        <v>11</v>
      </c>
      <c r="D696" t="inlineStr">
        <is>
          <t>T3</t>
        </is>
      </c>
      <c r="E696" t="inlineStr">
        <is>
          <t>Gjenstående budsjett</t>
        </is>
      </c>
      <c r="F696" t="inlineStr">
        <is>
          <t>Kommunal Boenhet</t>
        </is>
      </c>
      <c r="G696" t="n">
        <v>254</v>
      </c>
      <c r="H696" t="inlineStr">
        <is>
          <t>Helse og mestring</t>
        </is>
      </c>
      <c r="I696" t="inlineStr">
        <is>
          <t>2 Utgifter</t>
        </is>
      </c>
      <c r="J696" t="inlineStr">
        <is>
          <t>11 Refusjon lønn</t>
        </is>
      </c>
      <c r="K696" t="n">
        <v>1160</v>
      </c>
      <c r="L696" t="n">
        <v>116000</v>
      </c>
      <c r="M696" t="inlineStr">
        <is>
          <t>Km-godtgjørelse, inkl. passasjertillegg - oppl.pl</t>
        </is>
      </c>
      <c r="N696" s="98" t="n">
        <v>850</v>
      </c>
      <c r="O696" s="98" t="n">
        <v>0</v>
      </c>
      <c r="P696" s="98" t="n">
        <v>0</v>
      </c>
      <c r="Q696" s="98" t="n">
        <v>-850</v>
      </c>
    </row>
    <row r="697">
      <c r="A697" t="inlineStr">
        <is>
          <t>2024-12</t>
        </is>
      </c>
      <c r="B697" t="inlineStr">
        <is>
          <t>Desember</t>
        </is>
      </c>
      <c r="C697" t="n">
        <v>12</v>
      </c>
      <c r="D697" t="inlineStr">
        <is>
          <t>T3</t>
        </is>
      </c>
      <c r="E697" t="inlineStr">
        <is>
          <t>Gjenstående budsjett</t>
        </is>
      </c>
      <c r="F697" t="inlineStr">
        <is>
          <t>Kommunal Boenhet</t>
        </is>
      </c>
      <c r="G697" t="n">
        <v>254</v>
      </c>
      <c r="H697" t="inlineStr">
        <is>
          <t>Helse og mestring</t>
        </is>
      </c>
      <c r="I697" t="inlineStr">
        <is>
          <t>2 Utgifter</t>
        </is>
      </c>
      <c r="J697" t="inlineStr">
        <is>
          <t>11 Refusjon lønn</t>
        </is>
      </c>
      <c r="K697" t="n">
        <v>1160</v>
      </c>
      <c r="L697" t="n">
        <v>116000</v>
      </c>
      <c r="M697" t="inlineStr">
        <is>
          <t>Km-godtgjørelse, inkl. passasjertillegg - oppl.pl</t>
        </is>
      </c>
      <c r="N697" s="98" t="n">
        <v>650</v>
      </c>
      <c r="O697" s="98" t="n">
        <v>0</v>
      </c>
      <c r="P697" s="98" t="n">
        <v>0</v>
      </c>
      <c r="Q697" s="98" t="n">
        <v>-650</v>
      </c>
    </row>
    <row r="698">
      <c r="A698" t="inlineStr">
        <is>
          <t>2024-01</t>
        </is>
      </c>
      <c r="B698" t="inlineStr">
        <is>
          <t>Januar</t>
        </is>
      </c>
      <c r="C698" t="n">
        <v>1</v>
      </c>
      <c r="D698" t="inlineStr">
        <is>
          <t>T1</t>
        </is>
      </c>
      <c r="E698" t="inlineStr">
        <is>
          <t>Bokført</t>
        </is>
      </c>
      <c r="F698" t="inlineStr">
        <is>
          <t>Kommunal Boenhet</t>
        </is>
      </c>
      <c r="G698" t="n">
        <v>254</v>
      </c>
      <c r="H698" t="inlineStr">
        <is>
          <t>Helse og mestring</t>
        </is>
      </c>
      <c r="I698" t="inlineStr">
        <is>
          <t>2 Utgifter</t>
        </is>
      </c>
      <c r="J698" t="inlineStr">
        <is>
          <t>11 Refusjon lønn</t>
        </is>
      </c>
      <c r="K698" t="n">
        <v>1170</v>
      </c>
      <c r="L698" t="n">
        <v>117000</v>
      </c>
      <c r="M698" t="inlineStr">
        <is>
          <t>Drivstoff - inkludert strøm til el-biler, bio</t>
        </is>
      </c>
      <c r="N698" s="98" t="n">
        <v>4078</v>
      </c>
      <c r="O698" s="98" t="n">
        <v>1287.68</v>
      </c>
      <c r="P698" s="98" t="n">
        <v>2790.32</v>
      </c>
      <c r="Q698" s="98" t="n">
        <v>-2790.32</v>
      </c>
    </row>
    <row r="699">
      <c r="A699" t="inlineStr">
        <is>
          <t>2024-02</t>
        </is>
      </c>
      <c r="B699" t="inlineStr">
        <is>
          <t>Februar</t>
        </is>
      </c>
      <c r="C699" t="n">
        <v>2</v>
      </c>
      <c r="D699" t="inlineStr">
        <is>
          <t>T1</t>
        </is>
      </c>
      <c r="E699" t="inlineStr">
        <is>
          <t>Bokført</t>
        </is>
      </c>
      <c r="F699" t="inlineStr">
        <is>
          <t>Kommunal Boenhet</t>
        </is>
      </c>
      <c r="G699" t="n">
        <v>254</v>
      </c>
      <c r="H699" t="inlineStr">
        <is>
          <t>Helse og mestring</t>
        </is>
      </c>
      <c r="I699" t="inlineStr">
        <is>
          <t>2 Utgifter</t>
        </is>
      </c>
      <c r="J699" t="inlineStr">
        <is>
          <t>11 Refusjon lønn</t>
        </is>
      </c>
      <c r="K699" t="n">
        <v>1170</v>
      </c>
      <c r="L699" t="n">
        <v>117000</v>
      </c>
      <c r="M699" t="inlineStr">
        <is>
          <t>Drivstoff - inkludert strøm til el-biler, bio</t>
        </is>
      </c>
      <c r="N699" s="98" t="n">
        <v>4078</v>
      </c>
      <c r="O699" s="98" t="n">
        <v>1206.14</v>
      </c>
      <c r="P699" s="98" t="n">
        <v>2871.86</v>
      </c>
      <c r="Q699" s="98" t="n">
        <v>-2871.86</v>
      </c>
    </row>
    <row r="700">
      <c r="A700" t="inlineStr">
        <is>
          <t>2024-03</t>
        </is>
      </c>
      <c r="B700" t="inlineStr">
        <is>
          <t>Mars</t>
        </is>
      </c>
      <c r="C700" t="n">
        <v>3</v>
      </c>
      <c r="D700" t="inlineStr">
        <is>
          <t>T1</t>
        </is>
      </c>
      <c r="E700" t="inlineStr">
        <is>
          <t>Bokført</t>
        </is>
      </c>
      <c r="F700" t="inlineStr">
        <is>
          <t>Kommunal Boenhet</t>
        </is>
      </c>
      <c r="G700" t="n">
        <v>254</v>
      </c>
      <c r="H700" t="inlineStr">
        <is>
          <t>Helse og mestring</t>
        </is>
      </c>
      <c r="I700" t="inlineStr">
        <is>
          <t>2 Utgifter</t>
        </is>
      </c>
      <c r="J700" t="inlineStr">
        <is>
          <t>11 Refusjon lønn</t>
        </is>
      </c>
      <c r="K700" t="n">
        <v>1170</v>
      </c>
      <c r="L700" t="n">
        <v>117000</v>
      </c>
      <c r="M700" t="inlineStr">
        <is>
          <t>Drivstoff - inkludert strøm til el-biler, bio</t>
        </is>
      </c>
      <c r="N700" s="98" t="n">
        <v>4078</v>
      </c>
      <c r="O700" s="98" t="n">
        <v>1272.76</v>
      </c>
      <c r="P700" s="98" t="n">
        <v>2805.24</v>
      </c>
      <c r="Q700" s="98" t="n">
        <v>-2805.24</v>
      </c>
    </row>
    <row r="701">
      <c r="A701" t="inlineStr">
        <is>
          <t>2024-04</t>
        </is>
      </c>
      <c r="B701" t="inlineStr">
        <is>
          <t>April</t>
        </is>
      </c>
      <c r="C701" t="n">
        <v>4</v>
      </c>
      <c r="D701" t="inlineStr">
        <is>
          <t>T1</t>
        </is>
      </c>
      <c r="E701" t="inlineStr">
        <is>
          <t>Bokført</t>
        </is>
      </c>
      <c r="F701" t="inlineStr">
        <is>
          <t>Kommunal Boenhet</t>
        </is>
      </c>
      <c r="G701" t="n">
        <v>254</v>
      </c>
      <c r="H701" t="inlineStr">
        <is>
          <t>Helse og mestring</t>
        </is>
      </c>
      <c r="I701" t="inlineStr">
        <is>
          <t>2 Utgifter</t>
        </is>
      </c>
      <c r="J701" t="inlineStr">
        <is>
          <t>11 Refusjon lønn</t>
        </is>
      </c>
      <c r="K701" t="n">
        <v>1170</v>
      </c>
      <c r="L701" t="n">
        <v>117000</v>
      </c>
      <c r="M701" t="inlineStr">
        <is>
          <t>Drivstoff - inkludert strøm til el-biler, bio</t>
        </is>
      </c>
      <c r="N701" s="98" t="n">
        <v>4078</v>
      </c>
      <c r="O701" s="98" t="n">
        <v>1002.81</v>
      </c>
      <c r="P701" s="98" t="n">
        <v>3075.19</v>
      </c>
      <c r="Q701" s="98" t="n">
        <v>-3075.19</v>
      </c>
    </row>
    <row r="702">
      <c r="A702" t="inlineStr">
        <is>
          <t>2024-05</t>
        </is>
      </c>
      <c r="B702" t="inlineStr">
        <is>
          <t>Mai</t>
        </is>
      </c>
      <c r="C702" t="n">
        <v>5</v>
      </c>
      <c r="D702" t="inlineStr">
        <is>
          <t>T2</t>
        </is>
      </c>
      <c r="E702" t="inlineStr">
        <is>
          <t>Bokført</t>
        </is>
      </c>
      <c r="F702" t="inlineStr">
        <is>
          <t>Kommunal Boenhet</t>
        </is>
      </c>
      <c r="G702" t="n">
        <v>254</v>
      </c>
      <c r="H702" t="inlineStr">
        <is>
          <t>Helse og mestring</t>
        </is>
      </c>
      <c r="I702" t="inlineStr">
        <is>
          <t>2 Utgifter</t>
        </is>
      </c>
      <c r="J702" t="inlineStr">
        <is>
          <t>11 Refusjon lønn</t>
        </is>
      </c>
      <c r="K702" t="n">
        <v>1170</v>
      </c>
      <c r="L702" t="n">
        <v>117000</v>
      </c>
      <c r="M702" t="inlineStr">
        <is>
          <t>Drivstoff - inkludert strøm til el-biler, bio</t>
        </is>
      </c>
      <c r="N702" s="98" t="n">
        <v>4078</v>
      </c>
      <c r="O702" s="98" t="n">
        <v>1113.62</v>
      </c>
      <c r="P702" s="98" t="n">
        <v>2964.38</v>
      </c>
      <c r="Q702" s="98" t="n">
        <v>-2964.38</v>
      </c>
    </row>
    <row r="703">
      <c r="A703" t="inlineStr">
        <is>
          <t>2024-06</t>
        </is>
      </c>
      <c r="B703" t="inlineStr">
        <is>
          <t>Juni</t>
        </is>
      </c>
      <c r="C703" t="n">
        <v>6</v>
      </c>
      <c r="D703" t="inlineStr">
        <is>
          <t>T2</t>
        </is>
      </c>
      <c r="E703" t="inlineStr">
        <is>
          <t>Bokført</t>
        </is>
      </c>
      <c r="F703" t="inlineStr">
        <is>
          <t>Kommunal Boenhet</t>
        </is>
      </c>
      <c r="G703" t="n">
        <v>254</v>
      </c>
      <c r="H703" t="inlineStr">
        <is>
          <t>Helse og mestring</t>
        </is>
      </c>
      <c r="I703" t="inlineStr">
        <is>
          <t>2 Utgifter</t>
        </is>
      </c>
      <c r="J703" t="inlineStr">
        <is>
          <t>11 Refusjon lønn</t>
        </is>
      </c>
      <c r="K703" t="n">
        <v>1170</v>
      </c>
      <c r="L703" t="n">
        <v>117000</v>
      </c>
      <c r="M703" t="inlineStr">
        <is>
          <t>Drivstoff - inkludert strøm til el-biler, bio</t>
        </is>
      </c>
      <c r="N703" s="98" t="n">
        <v>4078</v>
      </c>
      <c r="O703" s="98" t="n">
        <v>999.62</v>
      </c>
      <c r="P703" s="98" t="n">
        <v>3078.38</v>
      </c>
      <c r="Q703" s="98" t="n">
        <v>-3078.38</v>
      </c>
    </row>
    <row r="704">
      <c r="A704" t="inlineStr">
        <is>
          <t>2024-07</t>
        </is>
      </c>
      <c r="B704" t="inlineStr">
        <is>
          <t>Juli</t>
        </is>
      </c>
      <c r="C704" t="n">
        <v>7</v>
      </c>
      <c r="D704" t="inlineStr">
        <is>
          <t>T2</t>
        </is>
      </c>
      <c r="E704" t="inlineStr">
        <is>
          <t>Bokført</t>
        </is>
      </c>
      <c r="F704" t="inlineStr">
        <is>
          <t>Kommunal Boenhet</t>
        </is>
      </c>
      <c r="G704" t="n">
        <v>254</v>
      </c>
      <c r="H704" t="inlineStr">
        <is>
          <t>Helse og mestring</t>
        </is>
      </c>
      <c r="I704" t="inlineStr">
        <is>
          <t>2 Utgifter</t>
        </is>
      </c>
      <c r="J704" t="inlineStr">
        <is>
          <t>11 Refusjon lønn</t>
        </is>
      </c>
      <c r="K704" t="n">
        <v>1170</v>
      </c>
      <c r="L704" t="n">
        <v>117000</v>
      </c>
      <c r="M704" t="inlineStr">
        <is>
          <t>Drivstoff - inkludert strøm til el-biler, bio</t>
        </is>
      </c>
      <c r="N704" s="98" t="n">
        <v>4078</v>
      </c>
      <c r="O704" s="98" t="n">
        <v>3184.4</v>
      </c>
      <c r="P704" s="98" t="n">
        <v>893.6</v>
      </c>
      <c r="Q704" s="98" t="n">
        <v>-893.6</v>
      </c>
    </row>
    <row r="705">
      <c r="A705" t="inlineStr">
        <is>
          <t>2024-08</t>
        </is>
      </c>
      <c r="B705" t="inlineStr">
        <is>
          <t>August</t>
        </is>
      </c>
      <c r="C705" t="n">
        <v>8</v>
      </c>
      <c r="D705" t="inlineStr">
        <is>
          <t>T2</t>
        </is>
      </c>
      <c r="E705" t="inlineStr">
        <is>
          <t>Bokført</t>
        </is>
      </c>
      <c r="F705" t="inlineStr">
        <is>
          <t>Kommunal Boenhet</t>
        </is>
      </c>
      <c r="G705" t="n">
        <v>254</v>
      </c>
      <c r="H705" t="inlineStr">
        <is>
          <t>Helse og mestring</t>
        </is>
      </c>
      <c r="I705" t="inlineStr">
        <is>
          <t>2 Utgifter</t>
        </is>
      </c>
      <c r="J705" t="inlineStr">
        <is>
          <t>11 Refusjon lønn</t>
        </is>
      </c>
      <c r="K705" t="n">
        <v>1170</v>
      </c>
      <c r="L705" t="n">
        <v>117000</v>
      </c>
      <c r="M705" t="inlineStr">
        <is>
          <t>Drivstoff - inkludert strøm til el-biler, bio</t>
        </is>
      </c>
      <c r="N705" s="98" t="n">
        <v>4078</v>
      </c>
      <c r="O705" s="98" t="n">
        <v>1211.48</v>
      </c>
      <c r="P705" s="98" t="n">
        <v>2866.52</v>
      </c>
      <c r="Q705" s="98" t="n">
        <v>-2866.52</v>
      </c>
    </row>
    <row r="706">
      <c r="A706" t="inlineStr">
        <is>
          <t>2024-09</t>
        </is>
      </c>
      <c r="B706" t="inlineStr">
        <is>
          <t>September</t>
        </is>
      </c>
      <c r="C706" t="n">
        <v>9</v>
      </c>
      <c r="D706" t="inlineStr">
        <is>
          <t>T3</t>
        </is>
      </c>
      <c r="E706" t="inlineStr">
        <is>
          <t>Gjenstående budsjett</t>
        </is>
      </c>
      <c r="F706" t="inlineStr">
        <is>
          <t>Kommunal Boenhet</t>
        </is>
      </c>
      <c r="G706" t="n">
        <v>254</v>
      </c>
      <c r="H706" t="inlineStr">
        <is>
          <t>Helse og mestring</t>
        </is>
      </c>
      <c r="I706" t="inlineStr">
        <is>
          <t>2 Utgifter</t>
        </is>
      </c>
      <c r="J706" t="inlineStr">
        <is>
          <t>11 Refusjon lønn</t>
        </is>
      </c>
      <c r="K706" t="n">
        <v>1170</v>
      </c>
      <c r="L706" t="n">
        <v>117000</v>
      </c>
      <c r="M706" t="inlineStr">
        <is>
          <t>Drivstoff - inkludert strøm til el-biler, bio</t>
        </is>
      </c>
      <c r="N706" s="98" t="n">
        <v>4078</v>
      </c>
      <c r="O706" s="98" t="n">
        <v>0</v>
      </c>
      <c r="P706" s="98" t="n">
        <v>0</v>
      </c>
      <c r="Q706" s="98" t="n">
        <v>-4078</v>
      </c>
    </row>
    <row r="707">
      <c r="A707" t="inlineStr">
        <is>
          <t>2024-10</t>
        </is>
      </c>
      <c r="B707" t="inlineStr">
        <is>
          <t>Oktober</t>
        </is>
      </c>
      <c r="C707" t="n">
        <v>10</v>
      </c>
      <c r="D707" t="inlineStr">
        <is>
          <t>T3</t>
        </is>
      </c>
      <c r="E707" t="inlineStr">
        <is>
          <t>Gjenstående budsjett</t>
        </is>
      </c>
      <c r="F707" t="inlineStr">
        <is>
          <t>Kommunal Boenhet</t>
        </is>
      </c>
      <c r="G707" t="n">
        <v>254</v>
      </c>
      <c r="H707" t="inlineStr">
        <is>
          <t>Helse og mestring</t>
        </is>
      </c>
      <c r="I707" t="inlineStr">
        <is>
          <t>2 Utgifter</t>
        </is>
      </c>
      <c r="J707" t="inlineStr">
        <is>
          <t>11 Refusjon lønn</t>
        </is>
      </c>
      <c r="K707" t="n">
        <v>1170</v>
      </c>
      <c r="L707" t="n">
        <v>117000</v>
      </c>
      <c r="M707" t="inlineStr">
        <is>
          <t>Drivstoff - inkludert strøm til el-biler, bio</t>
        </is>
      </c>
      <c r="N707" s="98" t="n">
        <v>4078</v>
      </c>
      <c r="O707" s="98" t="n">
        <v>0</v>
      </c>
      <c r="P707" s="98" t="n">
        <v>0</v>
      </c>
      <c r="Q707" s="98" t="n">
        <v>-4078</v>
      </c>
    </row>
    <row r="708">
      <c r="A708" t="inlineStr">
        <is>
          <t>2024-11</t>
        </is>
      </c>
      <c r="B708" t="inlineStr">
        <is>
          <t>November</t>
        </is>
      </c>
      <c r="C708" t="n">
        <v>11</v>
      </c>
      <c r="D708" t="inlineStr">
        <is>
          <t>T3</t>
        </is>
      </c>
      <c r="E708" t="inlineStr">
        <is>
          <t>Gjenstående budsjett</t>
        </is>
      </c>
      <c r="F708" t="inlineStr">
        <is>
          <t>Kommunal Boenhet</t>
        </is>
      </c>
      <c r="G708" t="n">
        <v>254</v>
      </c>
      <c r="H708" t="inlineStr">
        <is>
          <t>Helse og mestring</t>
        </is>
      </c>
      <c r="I708" t="inlineStr">
        <is>
          <t>2 Utgifter</t>
        </is>
      </c>
      <c r="J708" t="inlineStr">
        <is>
          <t>11 Refusjon lønn</t>
        </is>
      </c>
      <c r="K708" t="n">
        <v>1170</v>
      </c>
      <c r="L708" t="n">
        <v>117000</v>
      </c>
      <c r="M708" t="inlineStr">
        <is>
          <t>Drivstoff - inkludert strøm til el-biler, bio</t>
        </is>
      </c>
      <c r="N708" s="98" t="n">
        <v>4078</v>
      </c>
      <c r="O708" s="98" t="n">
        <v>0</v>
      </c>
      <c r="P708" s="98" t="n">
        <v>0</v>
      </c>
      <c r="Q708" s="98" t="n">
        <v>-4078</v>
      </c>
    </row>
    <row r="709">
      <c r="A709" t="inlineStr">
        <is>
          <t>2024-12</t>
        </is>
      </c>
      <c r="B709" t="inlineStr">
        <is>
          <t>Desember</t>
        </is>
      </c>
      <c r="C709" t="n">
        <v>12</v>
      </c>
      <c r="D709" t="inlineStr">
        <is>
          <t>T3</t>
        </is>
      </c>
      <c r="E709" t="inlineStr">
        <is>
          <t>Gjenstående budsjett</t>
        </is>
      </c>
      <c r="F709" t="inlineStr">
        <is>
          <t>Kommunal Boenhet</t>
        </is>
      </c>
      <c r="G709" t="n">
        <v>254</v>
      </c>
      <c r="H709" t="inlineStr">
        <is>
          <t>Helse og mestring</t>
        </is>
      </c>
      <c r="I709" t="inlineStr">
        <is>
          <t>2 Utgifter</t>
        </is>
      </c>
      <c r="J709" t="inlineStr">
        <is>
          <t>11 Refusjon lønn</t>
        </is>
      </c>
      <c r="K709" t="n">
        <v>1170</v>
      </c>
      <c r="L709" t="n">
        <v>117000</v>
      </c>
      <c r="M709" t="inlineStr">
        <is>
          <t>Drivstoff - inkludert strøm til el-biler, bio</t>
        </is>
      </c>
      <c r="N709" s="98" t="n">
        <v>4142</v>
      </c>
      <c r="O709" s="98" t="n">
        <v>0</v>
      </c>
      <c r="P709" s="98" t="n">
        <v>0</v>
      </c>
      <c r="Q709" s="98" t="n">
        <v>-4142</v>
      </c>
    </row>
    <row r="710">
      <c r="A710" t="inlineStr">
        <is>
          <t>2024-01</t>
        </is>
      </c>
      <c r="B710" t="inlineStr">
        <is>
          <t>Januar</t>
        </is>
      </c>
      <c r="C710" t="n">
        <v>1</v>
      </c>
      <c r="D710" t="inlineStr">
        <is>
          <t>T1</t>
        </is>
      </c>
      <c r="E710" t="inlineStr">
        <is>
          <t>Bokført</t>
        </is>
      </c>
      <c r="F710" t="inlineStr">
        <is>
          <t>Kommunal Boenhet</t>
        </is>
      </c>
      <c r="G710" t="n">
        <v>254</v>
      </c>
      <c r="H710" t="inlineStr">
        <is>
          <t>Helse og mestring</t>
        </is>
      </c>
      <c r="I710" t="inlineStr">
        <is>
          <t>2 Utgifter</t>
        </is>
      </c>
      <c r="J710" t="inlineStr">
        <is>
          <t>11 Refusjon lønn</t>
        </is>
      </c>
      <c r="K710" t="n">
        <v>1170</v>
      </c>
      <c r="L710" t="n">
        <v>117002</v>
      </c>
      <c r="M710" t="inlineStr">
        <is>
          <t>Vedlikehold / service transportmidler og anleggsm.</t>
        </is>
      </c>
      <c r="N710" s="98" t="n">
        <v>0</v>
      </c>
      <c r="O710" s="98" t="n">
        <v>0</v>
      </c>
      <c r="P710" s="98" t="n">
        <v>0</v>
      </c>
      <c r="Q710" s="98" t="n">
        <v>0</v>
      </c>
    </row>
    <row r="711">
      <c r="A711" t="inlineStr">
        <is>
          <t>2024-02</t>
        </is>
      </c>
      <c r="B711" t="inlineStr">
        <is>
          <t>Februar</t>
        </is>
      </c>
      <c r="C711" t="n">
        <v>2</v>
      </c>
      <c r="D711" t="inlineStr">
        <is>
          <t>T1</t>
        </is>
      </c>
      <c r="E711" t="inlineStr">
        <is>
          <t>Bokført</t>
        </is>
      </c>
      <c r="F711" t="inlineStr">
        <is>
          <t>Kommunal Boenhet</t>
        </is>
      </c>
      <c r="G711" t="n">
        <v>254</v>
      </c>
      <c r="H711" t="inlineStr">
        <is>
          <t>Helse og mestring</t>
        </is>
      </c>
      <c r="I711" t="inlineStr">
        <is>
          <t>2 Utgifter</t>
        </is>
      </c>
      <c r="J711" t="inlineStr">
        <is>
          <t>11 Refusjon lønn</t>
        </is>
      </c>
      <c r="K711" t="n">
        <v>1170</v>
      </c>
      <c r="L711" t="n">
        <v>117002</v>
      </c>
      <c r="M711" t="inlineStr">
        <is>
          <t>Vedlikehold / service transportmidler og anleggsm.</t>
        </is>
      </c>
      <c r="N711" s="98" t="n">
        <v>0</v>
      </c>
      <c r="O711" s="98" t="n">
        <v>0</v>
      </c>
      <c r="P711" s="98" t="n">
        <v>0</v>
      </c>
      <c r="Q711" s="98" t="n">
        <v>0</v>
      </c>
    </row>
    <row r="712">
      <c r="A712" t="inlineStr">
        <is>
          <t>2024-03</t>
        </is>
      </c>
      <c r="B712" t="inlineStr">
        <is>
          <t>Mars</t>
        </is>
      </c>
      <c r="C712" t="n">
        <v>3</v>
      </c>
      <c r="D712" t="inlineStr">
        <is>
          <t>T1</t>
        </is>
      </c>
      <c r="E712" t="inlineStr">
        <is>
          <t>Bokført</t>
        </is>
      </c>
      <c r="F712" t="inlineStr">
        <is>
          <t>Kommunal Boenhet</t>
        </is>
      </c>
      <c r="G712" t="n">
        <v>254</v>
      </c>
      <c r="H712" t="inlineStr">
        <is>
          <t>Helse og mestring</t>
        </is>
      </c>
      <c r="I712" t="inlineStr">
        <is>
          <t>2 Utgifter</t>
        </is>
      </c>
      <c r="J712" t="inlineStr">
        <is>
          <t>11 Refusjon lønn</t>
        </is>
      </c>
      <c r="K712" t="n">
        <v>1170</v>
      </c>
      <c r="L712" t="n">
        <v>117002</v>
      </c>
      <c r="M712" t="inlineStr">
        <is>
          <t>Vedlikehold / service transportmidler og anleggsm.</t>
        </is>
      </c>
      <c r="N712" s="98" t="n">
        <v>0</v>
      </c>
      <c r="O712" s="98" t="n">
        <v>400</v>
      </c>
      <c r="P712" s="98" t="n">
        <v>-400</v>
      </c>
      <c r="Q712" s="98" t="n">
        <v>400</v>
      </c>
    </row>
    <row r="713">
      <c r="A713" t="inlineStr">
        <is>
          <t>2024-04</t>
        </is>
      </c>
      <c r="B713" t="inlineStr">
        <is>
          <t>April</t>
        </is>
      </c>
      <c r="C713" t="n">
        <v>4</v>
      </c>
      <c r="D713" t="inlineStr">
        <is>
          <t>T1</t>
        </is>
      </c>
      <c r="E713" t="inlineStr">
        <is>
          <t>Bokført</t>
        </is>
      </c>
      <c r="F713" t="inlineStr">
        <is>
          <t>Kommunal Boenhet</t>
        </is>
      </c>
      <c r="G713" t="n">
        <v>254</v>
      </c>
      <c r="H713" t="inlineStr">
        <is>
          <t>Helse og mestring</t>
        </is>
      </c>
      <c r="I713" t="inlineStr">
        <is>
          <t>2 Utgifter</t>
        </is>
      </c>
      <c r="J713" t="inlineStr">
        <is>
          <t>11 Refusjon lønn</t>
        </is>
      </c>
      <c r="K713" t="n">
        <v>1170</v>
      </c>
      <c r="L713" t="n">
        <v>117002</v>
      </c>
      <c r="M713" t="inlineStr">
        <is>
          <t>Vedlikehold / service transportmidler og anleggsm.</t>
        </is>
      </c>
      <c r="N713" s="98" t="n">
        <v>0</v>
      </c>
      <c r="O713" s="98" t="n">
        <v>0</v>
      </c>
      <c r="P713" s="98" t="n">
        <v>0</v>
      </c>
      <c r="Q713" s="98" t="n">
        <v>0</v>
      </c>
    </row>
    <row r="714">
      <c r="A714" t="inlineStr">
        <is>
          <t>2024-05</t>
        </is>
      </c>
      <c r="B714" t="inlineStr">
        <is>
          <t>Mai</t>
        </is>
      </c>
      <c r="C714" t="n">
        <v>5</v>
      </c>
      <c r="D714" t="inlineStr">
        <is>
          <t>T2</t>
        </is>
      </c>
      <c r="E714" t="inlineStr">
        <is>
          <t>Bokført</t>
        </is>
      </c>
      <c r="F714" t="inlineStr">
        <is>
          <t>Kommunal Boenhet</t>
        </is>
      </c>
      <c r="G714" t="n">
        <v>254</v>
      </c>
      <c r="H714" t="inlineStr">
        <is>
          <t>Helse og mestring</t>
        </is>
      </c>
      <c r="I714" t="inlineStr">
        <is>
          <t>2 Utgifter</t>
        </is>
      </c>
      <c r="J714" t="inlineStr">
        <is>
          <t>11 Refusjon lønn</t>
        </is>
      </c>
      <c r="K714" t="n">
        <v>1170</v>
      </c>
      <c r="L714" t="n">
        <v>117002</v>
      </c>
      <c r="M714" t="inlineStr">
        <is>
          <t>Vedlikehold / service transportmidler og anleggsm.</t>
        </is>
      </c>
      <c r="N714" s="98" t="n">
        <v>0</v>
      </c>
      <c r="O714" s="98" t="n">
        <v>0</v>
      </c>
      <c r="P714" s="98" t="n">
        <v>0</v>
      </c>
      <c r="Q714" s="98" t="n">
        <v>0</v>
      </c>
    </row>
    <row r="715">
      <c r="A715" t="inlineStr">
        <is>
          <t>2024-06</t>
        </is>
      </c>
      <c r="B715" t="inlineStr">
        <is>
          <t>Juni</t>
        </is>
      </c>
      <c r="C715" t="n">
        <v>6</v>
      </c>
      <c r="D715" t="inlineStr">
        <is>
          <t>T2</t>
        </is>
      </c>
      <c r="E715" t="inlineStr">
        <is>
          <t>Bokført</t>
        </is>
      </c>
      <c r="F715" t="inlineStr">
        <is>
          <t>Kommunal Boenhet</t>
        </is>
      </c>
      <c r="G715" t="n">
        <v>254</v>
      </c>
      <c r="H715" t="inlineStr">
        <is>
          <t>Helse og mestring</t>
        </is>
      </c>
      <c r="I715" t="inlineStr">
        <is>
          <t>2 Utgifter</t>
        </is>
      </c>
      <c r="J715" t="inlineStr">
        <is>
          <t>11 Refusjon lønn</t>
        </is>
      </c>
      <c r="K715" t="n">
        <v>1170</v>
      </c>
      <c r="L715" t="n">
        <v>117002</v>
      </c>
      <c r="M715" t="inlineStr">
        <is>
          <t>Vedlikehold / service transportmidler og anleggsm.</t>
        </is>
      </c>
      <c r="N715" s="98" t="n">
        <v>0</v>
      </c>
      <c r="O715" s="98" t="n">
        <v>0</v>
      </c>
      <c r="P715" s="98" t="n">
        <v>0</v>
      </c>
      <c r="Q715" s="98" t="n">
        <v>0</v>
      </c>
    </row>
    <row r="716">
      <c r="A716" t="inlineStr">
        <is>
          <t>2024-07</t>
        </is>
      </c>
      <c r="B716" t="inlineStr">
        <is>
          <t>Juli</t>
        </is>
      </c>
      <c r="C716" t="n">
        <v>7</v>
      </c>
      <c r="D716" t="inlineStr">
        <is>
          <t>T2</t>
        </is>
      </c>
      <c r="E716" t="inlineStr">
        <is>
          <t>Bokført</t>
        </is>
      </c>
      <c r="F716" t="inlineStr">
        <is>
          <t>Kommunal Boenhet</t>
        </is>
      </c>
      <c r="G716" t="n">
        <v>254</v>
      </c>
      <c r="H716" t="inlineStr">
        <is>
          <t>Helse og mestring</t>
        </is>
      </c>
      <c r="I716" t="inlineStr">
        <is>
          <t>2 Utgifter</t>
        </is>
      </c>
      <c r="J716" t="inlineStr">
        <is>
          <t>11 Refusjon lønn</t>
        </is>
      </c>
      <c r="K716" t="n">
        <v>1170</v>
      </c>
      <c r="L716" t="n">
        <v>117002</v>
      </c>
      <c r="M716" t="inlineStr">
        <is>
          <t>Vedlikehold / service transportmidler og anleggsm.</t>
        </is>
      </c>
      <c r="N716" s="98" t="n">
        <v>0</v>
      </c>
      <c r="O716" s="98" t="n">
        <v>0</v>
      </c>
      <c r="P716" s="98" t="n">
        <v>0</v>
      </c>
      <c r="Q716" s="98" t="n">
        <v>0</v>
      </c>
    </row>
    <row r="717">
      <c r="A717" t="inlineStr">
        <is>
          <t>2024-08</t>
        </is>
      </c>
      <c r="B717" t="inlineStr">
        <is>
          <t>August</t>
        </is>
      </c>
      <c r="C717" t="n">
        <v>8</v>
      </c>
      <c r="D717" t="inlineStr">
        <is>
          <t>T2</t>
        </is>
      </c>
      <c r="E717" t="inlineStr">
        <is>
          <t>Bokført</t>
        </is>
      </c>
      <c r="F717" t="inlineStr">
        <is>
          <t>Kommunal Boenhet</t>
        </is>
      </c>
      <c r="G717" t="n">
        <v>254</v>
      </c>
      <c r="H717" t="inlineStr">
        <is>
          <t>Helse og mestring</t>
        </is>
      </c>
      <c r="I717" t="inlineStr">
        <is>
          <t>2 Utgifter</t>
        </is>
      </c>
      <c r="J717" t="inlineStr">
        <is>
          <t>11 Refusjon lønn</t>
        </is>
      </c>
      <c r="K717" t="n">
        <v>1170</v>
      </c>
      <c r="L717" t="n">
        <v>117002</v>
      </c>
      <c r="M717" t="inlineStr">
        <is>
          <t>Vedlikehold / service transportmidler og anleggsm.</t>
        </is>
      </c>
      <c r="N717" s="98" t="n">
        <v>0</v>
      </c>
      <c r="O717" s="98" t="n">
        <v>0</v>
      </c>
      <c r="P717" s="98" t="n">
        <v>0</v>
      </c>
      <c r="Q717" s="98" t="n">
        <v>0</v>
      </c>
    </row>
    <row r="718">
      <c r="A718" t="inlineStr">
        <is>
          <t>2024-09</t>
        </is>
      </c>
      <c r="B718" t="inlineStr">
        <is>
          <t>September</t>
        </is>
      </c>
      <c r="C718" t="n">
        <v>9</v>
      </c>
      <c r="D718" t="inlineStr">
        <is>
          <t>T3</t>
        </is>
      </c>
      <c r="E718" t="inlineStr">
        <is>
          <t>Gjenstående budsjett</t>
        </is>
      </c>
      <c r="F718" t="inlineStr">
        <is>
          <t>Kommunal Boenhet</t>
        </is>
      </c>
      <c r="G718" t="n">
        <v>254</v>
      </c>
      <c r="H718" t="inlineStr">
        <is>
          <t>Helse og mestring</t>
        </is>
      </c>
      <c r="I718" t="inlineStr">
        <is>
          <t>2 Utgifter</t>
        </is>
      </c>
      <c r="J718" t="inlineStr">
        <is>
          <t>11 Refusjon lønn</t>
        </is>
      </c>
      <c r="K718" t="n">
        <v>1170</v>
      </c>
      <c r="L718" t="n">
        <v>117002</v>
      </c>
      <c r="M718" t="inlineStr">
        <is>
          <t>Vedlikehold / service transportmidler og anleggsm.</t>
        </is>
      </c>
      <c r="N718" s="98" t="n">
        <v>0</v>
      </c>
      <c r="O718" s="98" t="n">
        <v>0</v>
      </c>
      <c r="P718" s="98" t="n">
        <v>0</v>
      </c>
      <c r="Q718" s="98" t="n">
        <v>0</v>
      </c>
    </row>
    <row r="719">
      <c r="A719" t="inlineStr">
        <is>
          <t>2024-10</t>
        </is>
      </c>
      <c r="B719" t="inlineStr">
        <is>
          <t>Oktober</t>
        </is>
      </c>
      <c r="C719" t="n">
        <v>10</v>
      </c>
      <c r="D719" t="inlineStr">
        <is>
          <t>T3</t>
        </is>
      </c>
      <c r="E719" t="inlineStr">
        <is>
          <t>Gjenstående budsjett</t>
        </is>
      </c>
      <c r="F719" t="inlineStr">
        <is>
          <t>Kommunal Boenhet</t>
        </is>
      </c>
      <c r="G719" t="n">
        <v>254</v>
      </c>
      <c r="H719" t="inlineStr">
        <is>
          <t>Helse og mestring</t>
        </is>
      </c>
      <c r="I719" t="inlineStr">
        <is>
          <t>2 Utgifter</t>
        </is>
      </c>
      <c r="J719" t="inlineStr">
        <is>
          <t>11 Refusjon lønn</t>
        </is>
      </c>
      <c r="K719" t="n">
        <v>1170</v>
      </c>
      <c r="L719" t="n">
        <v>117002</v>
      </c>
      <c r="M719" t="inlineStr">
        <is>
          <t>Vedlikehold / service transportmidler og anleggsm.</t>
        </is>
      </c>
      <c r="N719" s="98" t="n">
        <v>0</v>
      </c>
      <c r="O719" s="98" t="n">
        <v>0</v>
      </c>
      <c r="P719" s="98" t="n">
        <v>0</v>
      </c>
      <c r="Q719" s="98" t="n">
        <v>0</v>
      </c>
    </row>
    <row r="720">
      <c r="A720" t="inlineStr">
        <is>
          <t>2024-11</t>
        </is>
      </c>
      <c r="B720" t="inlineStr">
        <is>
          <t>November</t>
        </is>
      </c>
      <c r="C720" t="n">
        <v>11</v>
      </c>
      <c r="D720" t="inlineStr">
        <is>
          <t>T3</t>
        </is>
      </c>
      <c r="E720" t="inlineStr">
        <is>
          <t>Gjenstående budsjett</t>
        </is>
      </c>
      <c r="F720" t="inlineStr">
        <is>
          <t>Kommunal Boenhet</t>
        </is>
      </c>
      <c r="G720" t="n">
        <v>254</v>
      </c>
      <c r="H720" t="inlineStr">
        <is>
          <t>Helse og mestring</t>
        </is>
      </c>
      <c r="I720" t="inlineStr">
        <is>
          <t>2 Utgifter</t>
        </is>
      </c>
      <c r="J720" t="inlineStr">
        <is>
          <t>11 Refusjon lønn</t>
        </is>
      </c>
      <c r="K720" t="n">
        <v>1170</v>
      </c>
      <c r="L720" t="n">
        <v>117002</v>
      </c>
      <c r="M720" t="inlineStr">
        <is>
          <t>Vedlikehold / service transportmidler og anleggsm.</t>
        </is>
      </c>
      <c r="N720" s="98" t="n">
        <v>0</v>
      </c>
      <c r="O720" s="98" t="n">
        <v>0</v>
      </c>
      <c r="P720" s="98" t="n">
        <v>0</v>
      </c>
      <c r="Q720" s="98" t="n">
        <v>0</v>
      </c>
    </row>
    <row r="721">
      <c r="A721" t="inlineStr">
        <is>
          <t>2024-12</t>
        </is>
      </c>
      <c r="B721" t="inlineStr">
        <is>
          <t>Desember</t>
        </is>
      </c>
      <c r="C721" t="n">
        <v>12</v>
      </c>
      <c r="D721" t="inlineStr">
        <is>
          <t>T3</t>
        </is>
      </c>
      <c r="E721" t="inlineStr">
        <is>
          <t>Gjenstående budsjett</t>
        </is>
      </c>
      <c r="F721" t="inlineStr">
        <is>
          <t>Kommunal Boenhet</t>
        </is>
      </c>
      <c r="G721" t="n">
        <v>254</v>
      </c>
      <c r="H721" t="inlineStr">
        <is>
          <t>Helse og mestring</t>
        </is>
      </c>
      <c r="I721" t="inlineStr">
        <is>
          <t>2 Utgifter</t>
        </is>
      </c>
      <c r="J721" t="inlineStr">
        <is>
          <t>11 Refusjon lønn</t>
        </is>
      </c>
      <c r="K721" t="n">
        <v>1170</v>
      </c>
      <c r="L721" t="n">
        <v>117002</v>
      </c>
      <c r="M721" t="inlineStr">
        <is>
          <t>Vedlikehold / service transportmidler og anleggsm.</t>
        </is>
      </c>
      <c r="N721" s="98" t="n">
        <v>0</v>
      </c>
      <c r="O721" s="98" t="n">
        <v>0</v>
      </c>
      <c r="P721" s="98" t="n">
        <v>0</v>
      </c>
      <c r="Q721" s="98" t="n">
        <v>0</v>
      </c>
    </row>
    <row r="722">
      <c r="A722" t="inlineStr">
        <is>
          <t>2024-01</t>
        </is>
      </c>
      <c r="B722" t="inlineStr">
        <is>
          <t>Januar</t>
        </is>
      </c>
      <c r="C722" t="n">
        <v>1</v>
      </c>
      <c r="D722" t="inlineStr">
        <is>
          <t>T1</t>
        </is>
      </c>
      <c r="E722" t="inlineStr">
        <is>
          <t>Bokført</t>
        </is>
      </c>
      <c r="F722" t="inlineStr">
        <is>
          <t>Kommunal Boenhet</t>
        </is>
      </c>
      <c r="G722" t="n">
        <v>254</v>
      </c>
      <c r="H722" t="inlineStr">
        <is>
          <t>Helse og mestring</t>
        </is>
      </c>
      <c r="I722" t="inlineStr">
        <is>
          <t>2 Utgifter</t>
        </is>
      </c>
      <c r="J722" t="inlineStr">
        <is>
          <t>11 Refusjon lønn</t>
        </is>
      </c>
      <c r="K722" t="n">
        <v>1170</v>
      </c>
      <c r="L722" t="n">
        <v>117004</v>
      </c>
      <c r="M722" t="inlineStr">
        <is>
          <t>SKADER OG EGENANDELER TRANSPORTMIDLER OG ANLEGGSMASKINER</t>
        </is>
      </c>
      <c r="N722" s="98" t="n">
        <v>0</v>
      </c>
      <c r="O722" s="98" t="n">
        <v>0</v>
      </c>
      <c r="P722" s="98" t="n">
        <v>0</v>
      </c>
      <c r="Q722" s="98" t="n">
        <v>0</v>
      </c>
    </row>
    <row r="723">
      <c r="A723" t="inlineStr">
        <is>
          <t>2024-02</t>
        </is>
      </c>
      <c r="B723" t="inlineStr">
        <is>
          <t>Februar</t>
        </is>
      </c>
      <c r="C723" t="n">
        <v>2</v>
      </c>
      <c r="D723" t="inlineStr">
        <is>
          <t>T1</t>
        </is>
      </c>
      <c r="E723" t="inlineStr">
        <is>
          <t>Bokført</t>
        </is>
      </c>
      <c r="F723" t="inlineStr">
        <is>
          <t>Kommunal Boenhet</t>
        </is>
      </c>
      <c r="G723" t="n">
        <v>254</v>
      </c>
      <c r="H723" t="inlineStr">
        <is>
          <t>Helse og mestring</t>
        </is>
      </c>
      <c r="I723" t="inlineStr">
        <is>
          <t>2 Utgifter</t>
        </is>
      </c>
      <c r="J723" t="inlineStr">
        <is>
          <t>11 Refusjon lønn</t>
        </is>
      </c>
      <c r="K723" t="n">
        <v>1170</v>
      </c>
      <c r="L723" t="n">
        <v>117004</v>
      </c>
      <c r="M723" t="inlineStr">
        <is>
          <t>SKADER OG EGENANDELER TRANSPORTMIDLER OG ANLEGGSMASKINER</t>
        </is>
      </c>
      <c r="N723" s="98" t="n">
        <v>0</v>
      </c>
      <c r="O723" s="98" t="n">
        <v>0</v>
      </c>
      <c r="P723" s="98" t="n">
        <v>0</v>
      </c>
      <c r="Q723" s="98" t="n">
        <v>0</v>
      </c>
    </row>
    <row r="724">
      <c r="A724" t="inlineStr">
        <is>
          <t>2024-03</t>
        </is>
      </c>
      <c r="B724" t="inlineStr">
        <is>
          <t>Mars</t>
        </is>
      </c>
      <c r="C724" t="n">
        <v>3</v>
      </c>
      <c r="D724" t="inlineStr">
        <is>
          <t>T1</t>
        </is>
      </c>
      <c r="E724" t="inlineStr">
        <is>
          <t>Bokført</t>
        </is>
      </c>
      <c r="F724" t="inlineStr">
        <is>
          <t>Kommunal Boenhet</t>
        </is>
      </c>
      <c r="G724" t="n">
        <v>254</v>
      </c>
      <c r="H724" t="inlineStr">
        <is>
          <t>Helse og mestring</t>
        </is>
      </c>
      <c r="I724" t="inlineStr">
        <is>
          <t>2 Utgifter</t>
        </is>
      </c>
      <c r="J724" t="inlineStr">
        <is>
          <t>11 Refusjon lønn</t>
        </is>
      </c>
      <c r="K724" t="n">
        <v>1170</v>
      </c>
      <c r="L724" t="n">
        <v>117004</v>
      </c>
      <c r="M724" t="inlineStr">
        <is>
          <t>SKADER OG EGENANDELER TRANSPORTMIDLER OG ANLEGGSMASKINER</t>
        </is>
      </c>
      <c r="N724" s="98" t="n">
        <v>0</v>
      </c>
      <c r="O724" s="98" t="n">
        <v>0</v>
      </c>
      <c r="P724" s="98" t="n">
        <v>0</v>
      </c>
      <c r="Q724" s="98" t="n">
        <v>0</v>
      </c>
    </row>
    <row r="725">
      <c r="A725" t="inlineStr">
        <is>
          <t>2024-04</t>
        </is>
      </c>
      <c r="B725" t="inlineStr">
        <is>
          <t>April</t>
        </is>
      </c>
      <c r="C725" t="n">
        <v>4</v>
      </c>
      <c r="D725" t="inlineStr">
        <is>
          <t>T1</t>
        </is>
      </c>
      <c r="E725" t="inlineStr">
        <is>
          <t>Bokført</t>
        </is>
      </c>
      <c r="F725" t="inlineStr">
        <is>
          <t>Kommunal Boenhet</t>
        </is>
      </c>
      <c r="G725" t="n">
        <v>254</v>
      </c>
      <c r="H725" t="inlineStr">
        <is>
          <t>Helse og mestring</t>
        </is>
      </c>
      <c r="I725" t="inlineStr">
        <is>
          <t>2 Utgifter</t>
        </is>
      </c>
      <c r="J725" t="inlineStr">
        <is>
          <t>11 Refusjon lønn</t>
        </is>
      </c>
      <c r="K725" t="n">
        <v>1170</v>
      </c>
      <c r="L725" t="n">
        <v>117004</v>
      </c>
      <c r="M725" t="inlineStr">
        <is>
          <t>SKADER OG EGENANDELER TRANSPORTMIDLER OG ANLEGGSMASKINER</t>
        </is>
      </c>
      <c r="N725" s="98" t="n">
        <v>0</v>
      </c>
      <c r="O725" s="98" t="n">
        <v>0</v>
      </c>
      <c r="P725" s="98" t="n">
        <v>0</v>
      </c>
      <c r="Q725" s="98" t="n">
        <v>0</v>
      </c>
    </row>
    <row r="726">
      <c r="A726" t="inlineStr">
        <is>
          <t>2024-05</t>
        </is>
      </c>
      <c r="B726" t="inlineStr">
        <is>
          <t>Mai</t>
        </is>
      </c>
      <c r="C726" t="n">
        <v>5</v>
      </c>
      <c r="D726" t="inlineStr">
        <is>
          <t>T2</t>
        </is>
      </c>
      <c r="E726" t="inlineStr">
        <is>
          <t>Bokført</t>
        </is>
      </c>
      <c r="F726" t="inlineStr">
        <is>
          <t>Kommunal Boenhet</t>
        </is>
      </c>
      <c r="G726" t="n">
        <v>254</v>
      </c>
      <c r="H726" t="inlineStr">
        <is>
          <t>Helse og mestring</t>
        </is>
      </c>
      <c r="I726" t="inlineStr">
        <is>
          <t>2 Utgifter</t>
        </is>
      </c>
      <c r="J726" t="inlineStr">
        <is>
          <t>11 Refusjon lønn</t>
        </is>
      </c>
      <c r="K726" t="n">
        <v>1170</v>
      </c>
      <c r="L726" t="n">
        <v>117004</v>
      </c>
      <c r="M726" t="inlineStr">
        <is>
          <t>SKADER OG EGENANDELER TRANSPORTMIDLER OG ANLEGGSMASKINER</t>
        </is>
      </c>
      <c r="N726" s="98" t="n">
        <v>0</v>
      </c>
      <c r="O726" s="98" t="n">
        <v>0</v>
      </c>
      <c r="P726" s="98" t="n">
        <v>0</v>
      </c>
      <c r="Q726" s="98" t="n">
        <v>0</v>
      </c>
    </row>
    <row r="727">
      <c r="A727" t="inlineStr">
        <is>
          <t>2024-06</t>
        </is>
      </c>
      <c r="B727" t="inlineStr">
        <is>
          <t>Juni</t>
        </is>
      </c>
      <c r="C727" t="n">
        <v>6</v>
      </c>
      <c r="D727" t="inlineStr">
        <is>
          <t>T2</t>
        </is>
      </c>
      <c r="E727" t="inlineStr">
        <is>
          <t>Bokført</t>
        </is>
      </c>
      <c r="F727" t="inlineStr">
        <is>
          <t>Kommunal Boenhet</t>
        </is>
      </c>
      <c r="G727" t="n">
        <v>254</v>
      </c>
      <c r="H727" t="inlineStr">
        <is>
          <t>Helse og mestring</t>
        </is>
      </c>
      <c r="I727" t="inlineStr">
        <is>
          <t>2 Utgifter</t>
        </is>
      </c>
      <c r="J727" t="inlineStr">
        <is>
          <t>11 Refusjon lønn</t>
        </is>
      </c>
      <c r="K727" t="n">
        <v>1170</v>
      </c>
      <c r="L727" t="n">
        <v>117004</v>
      </c>
      <c r="M727" t="inlineStr">
        <is>
          <t>SKADER OG EGENANDELER TRANSPORTMIDLER OG ANLEGGSMASKINER</t>
        </is>
      </c>
      <c r="N727" s="98" t="n">
        <v>0</v>
      </c>
      <c r="O727" s="98" t="n">
        <v>0</v>
      </c>
      <c r="P727" s="98" t="n">
        <v>0</v>
      </c>
      <c r="Q727" s="98" t="n">
        <v>0</v>
      </c>
    </row>
    <row r="728">
      <c r="A728" t="inlineStr">
        <is>
          <t>2024-07</t>
        </is>
      </c>
      <c r="B728" t="inlineStr">
        <is>
          <t>Juli</t>
        </is>
      </c>
      <c r="C728" t="n">
        <v>7</v>
      </c>
      <c r="D728" t="inlineStr">
        <is>
          <t>T2</t>
        </is>
      </c>
      <c r="E728" t="inlineStr">
        <is>
          <t>Bokført</t>
        </is>
      </c>
      <c r="F728" t="inlineStr">
        <is>
          <t>Kommunal Boenhet</t>
        </is>
      </c>
      <c r="G728" t="n">
        <v>254</v>
      </c>
      <c r="H728" t="inlineStr">
        <is>
          <t>Helse og mestring</t>
        </is>
      </c>
      <c r="I728" t="inlineStr">
        <is>
          <t>2 Utgifter</t>
        </is>
      </c>
      <c r="J728" t="inlineStr">
        <is>
          <t>11 Refusjon lønn</t>
        </is>
      </c>
      <c r="K728" t="n">
        <v>1170</v>
      </c>
      <c r="L728" t="n">
        <v>117004</v>
      </c>
      <c r="M728" t="inlineStr">
        <is>
          <t>SKADER OG EGENANDELER TRANSPORTMIDLER OG ANLEGGSMASKINER</t>
        </is>
      </c>
      <c r="N728" s="98" t="n">
        <v>0</v>
      </c>
      <c r="O728" s="98" t="n">
        <v>0</v>
      </c>
      <c r="P728" s="98" t="n">
        <v>0</v>
      </c>
      <c r="Q728" s="98" t="n">
        <v>0</v>
      </c>
    </row>
    <row r="729">
      <c r="A729" t="inlineStr">
        <is>
          <t>2024-08</t>
        </is>
      </c>
      <c r="B729" t="inlineStr">
        <is>
          <t>August</t>
        </is>
      </c>
      <c r="C729" t="n">
        <v>8</v>
      </c>
      <c r="D729" t="inlineStr">
        <is>
          <t>T2</t>
        </is>
      </c>
      <c r="E729" t="inlineStr">
        <is>
          <t>Bokført</t>
        </is>
      </c>
      <c r="F729" t="inlineStr">
        <is>
          <t>Kommunal Boenhet</t>
        </is>
      </c>
      <c r="G729" t="n">
        <v>254</v>
      </c>
      <c r="H729" t="inlineStr">
        <is>
          <t>Helse og mestring</t>
        </is>
      </c>
      <c r="I729" t="inlineStr">
        <is>
          <t>2 Utgifter</t>
        </is>
      </c>
      <c r="J729" t="inlineStr">
        <is>
          <t>11 Refusjon lønn</t>
        </is>
      </c>
      <c r="K729" t="n">
        <v>1170</v>
      </c>
      <c r="L729" t="n">
        <v>117004</v>
      </c>
      <c r="M729" t="inlineStr">
        <is>
          <t>SKADER OG EGENANDELER TRANSPORTMIDLER OG ANLEGGSMASKINER</t>
        </is>
      </c>
      <c r="N729" s="98" t="n">
        <v>0</v>
      </c>
      <c r="O729" s="98" t="n">
        <v>0</v>
      </c>
      <c r="P729" s="98" t="n">
        <v>0</v>
      </c>
      <c r="Q729" s="98" t="n">
        <v>0</v>
      </c>
    </row>
    <row r="730">
      <c r="A730" t="inlineStr">
        <is>
          <t>2024-09</t>
        </is>
      </c>
      <c r="B730" t="inlineStr">
        <is>
          <t>September</t>
        </is>
      </c>
      <c r="C730" t="n">
        <v>9</v>
      </c>
      <c r="D730" t="inlineStr">
        <is>
          <t>T3</t>
        </is>
      </c>
      <c r="E730" t="inlineStr">
        <is>
          <t>Gjenstående budsjett</t>
        </is>
      </c>
      <c r="F730" t="inlineStr">
        <is>
          <t>Kommunal Boenhet</t>
        </is>
      </c>
      <c r="G730" t="n">
        <v>254</v>
      </c>
      <c r="H730" t="inlineStr">
        <is>
          <t>Helse og mestring</t>
        </is>
      </c>
      <c r="I730" t="inlineStr">
        <is>
          <t>2 Utgifter</t>
        </is>
      </c>
      <c r="J730" t="inlineStr">
        <is>
          <t>11 Refusjon lønn</t>
        </is>
      </c>
      <c r="K730" t="n">
        <v>1170</v>
      </c>
      <c r="L730" t="n">
        <v>117004</v>
      </c>
      <c r="M730" t="inlineStr">
        <is>
          <t>SKADER OG EGENANDELER TRANSPORTMIDLER OG ANLEGGSMASKINER</t>
        </is>
      </c>
      <c r="N730" s="98" t="n">
        <v>0</v>
      </c>
      <c r="O730" s="98" t="n">
        <v>0</v>
      </c>
      <c r="P730" s="98" t="n">
        <v>0</v>
      </c>
      <c r="Q730" s="98" t="n">
        <v>0</v>
      </c>
    </row>
    <row r="731">
      <c r="A731" t="inlineStr">
        <is>
          <t>2024-10</t>
        </is>
      </c>
      <c r="B731" t="inlineStr">
        <is>
          <t>Oktober</t>
        </is>
      </c>
      <c r="C731" t="n">
        <v>10</v>
      </c>
      <c r="D731" t="inlineStr">
        <is>
          <t>T3</t>
        </is>
      </c>
      <c r="E731" t="inlineStr">
        <is>
          <t>Gjenstående budsjett</t>
        </is>
      </c>
      <c r="F731" t="inlineStr">
        <is>
          <t>Kommunal Boenhet</t>
        </is>
      </c>
      <c r="G731" t="n">
        <v>254</v>
      </c>
      <c r="H731" t="inlineStr">
        <is>
          <t>Helse og mestring</t>
        </is>
      </c>
      <c r="I731" t="inlineStr">
        <is>
          <t>2 Utgifter</t>
        </is>
      </c>
      <c r="J731" t="inlineStr">
        <is>
          <t>11 Refusjon lønn</t>
        </is>
      </c>
      <c r="K731" t="n">
        <v>1170</v>
      </c>
      <c r="L731" t="n">
        <v>117004</v>
      </c>
      <c r="M731" t="inlineStr">
        <is>
          <t>SKADER OG EGENANDELER TRANSPORTMIDLER OG ANLEGGSMASKINER</t>
        </is>
      </c>
      <c r="N731" s="98" t="n">
        <v>0</v>
      </c>
      <c r="O731" s="98" t="n">
        <v>0</v>
      </c>
      <c r="P731" s="98" t="n">
        <v>0</v>
      </c>
      <c r="Q731" s="98" t="n">
        <v>0</v>
      </c>
    </row>
    <row r="732">
      <c r="A732" t="inlineStr">
        <is>
          <t>2024-11</t>
        </is>
      </c>
      <c r="B732" t="inlineStr">
        <is>
          <t>November</t>
        </is>
      </c>
      <c r="C732" t="n">
        <v>11</v>
      </c>
      <c r="D732" t="inlineStr">
        <is>
          <t>T3</t>
        </is>
      </c>
      <c r="E732" t="inlineStr">
        <is>
          <t>Gjenstående budsjett</t>
        </is>
      </c>
      <c r="F732" t="inlineStr">
        <is>
          <t>Kommunal Boenhet</t>
        </is>
      </c>
      <c r="G732" t="n">
        <v>254</v>
      </c>
      <c r="H732" t="inlineStr">
        <is>
          <t>Helse og mestring</t>
        </is>
      </c>
      <c r="I732" t="inlineStr">
        <is>
          <t>2 Utgifter</t>
        </is>
      </c>
      <c r="J732" t="inlineStr">
        <is>
          <t>11 Refusjon lønn</t>
        </is>
      </c>
      <c r="K732" t="n">
        <v>1170</v>
      </c>
      <c r="L732" t="n">
        <v>117004</v>
      </c>
      <c r="M732" t="inlineStr">
        <is>
          <t>SKADER OG EGENANDELER TRANSPORTMIDLER OG ANLEGGSMASKINER</t>
        </is>
      </c>
      <c r="N732" s="98" t="n">
        <v>0</v>
      </c>
      <c r="O732" s="98" t="n">
        <v>0</v>
      </c>
      <c r="P732" s="98" t="n">
        <v>0</v>
      </c>
      <c r="Q732" s="98" t="n">
        <v>0</v>
      </c>
    </row>
    <row r="733">
      <c r="A733" t="inlineStr">
        <is>
          <t>2024-12</t>
        </is>
      </c>
      <c r="B733" t="inlineStr">
        <is>
          <t>Desember</t>
        </is>
      </c>
      <c r="C733" t="n">
        <v>12</v>
      </c>
      <c r="D733" t="inlineStr">
        <is>
          <t>T3</t>
        </is>
      </c>
      <c r="E733" t="inlineStr">
        <is>
          <t>Gjenstående budsjett</t>
        </is>
      </c>
      <c r="F733" t="inlineStr">
        <is>
          <t>Kommunal Boenhet</t>
        </is>
      </c>
      <c r="G733" t="n">
        <v>254</v>
      </c>
      <c r="H733" t="inlineStr">
        <is>
          <t>Helse og mestring</t>
        </is>
      </c>
      <c r="I733" t="inlineStr">
        <is>
          <t>2 Utgifter</t>
        </is>
      </c>
      <c r="J733" t="inlineStr">
        <is>
          <t>11 Refusjon lønn</t>
        </is>
      </c>
      <c r="K733" t="n">
        <v>1170</v>
      </c>
      <c r="L733" t="n">
        <v>117004</v>
      </c>
      <c r="M733" t="inlineStr">
        <is>
          <t>SKADER OG EGENANDELER TRANSPORTMIDLER OG ANLEGGSMASKINER</t>
        </is>
      </c>
      <c r="N733" s="98" t="n">
        <v>0</v>
      </c>
      <c r="O733" s="98" t="n">
        <v>0</v>
      </c>
      <c r="P733" s="98" t="n">
        <v>0</v>
      </c>
      <c r="Q733" s="98" t="n">
        <v>0</v>
      </c>
    </row>
    <row r="734">
      <c r="A734" t="inlineStr">
        <is>
          <t>2024-01</t>
        </is>
      </c>
      <c r="B734" t="inlineStr">
        <is>
          <t>Januar</t>
        </is>
      </c>
      <c r="C734" t="n">
        <v>1</v>
      </c>
      <c r="D734" t="inlineStr">
        <is>
          <t>T1</t>
        </is>
      </c>
      <c r="E734" t="inlineStr">
        <is>
          <t>Bokført</t>
        </is>
      </c>
      <c r="F734" t="inlineStr">
        <is>
          <t>Kommunal Boenhet</t>
        </is>
      </c>
      <c r="G734" t="n">
        <v>254</v>
      </c>
      <c r="H734" t="inlineStr">
        <is>
          <t>Helse og mestring</t>
        </is>
      </c>
      <c r="I734" t="inlineStr">
        <is>
          <t>2 Utgifter</t>
        </is>
      </c>
      <c r="J734" t="inlineStr">
        <is>
          <t>11 Refusjon lønn</t>
        </is>
      </c>
      <c r="K734" t="n">
        <v>1170</v>
      </c>
      <c r="L734" t="n">
        <v>117030</v>
      </c>
      <c r="M734" t="inlineStr">
        <is>
          <t>Reiseutg. buss, tog,taxi, fly, leiebil, bom, park.</t>
        </is>
      </c>
      <c r="N734" s="98" t="n">
        <v>858</v>
      </c>
      <c r="O734" s="98" t="n">
        <v>2250</v>
      </c>
      <c r="P734" s="98" t="n">
        <v>-1392</v>
      </c>
      <c r="Q734" s="98" t="n">
        <v>1392</v>
      </c>
    </row>
    <row r="735">
      <c r="A735" t="inlineStr">
        <is>
          <t>2024-02</t>
        </is>
      </c>
      <c r="B735" t="inlineStr">
        <is>
          <t>Februar</t>
        </is>
      </c>
      <c r="C735" t="n">
        <v>2</v>
      </c>
      <c r="D735" t="inlineStr">
        <is>
          <t>T1</t>
        </is>
      </c>
      <c r="E735" t="inlineStr">
        <is>
          <t>Bokført</t>
        </is>
      </c>
      <c r="F735" t="inlineStr">
        <is>
          <t>Kommunal Boenhet</t>
        </is>
      </c>
      <c r="G735" t="n">
        <v>254</v>
      </c>
      <c r="H735" t="inlineStr">
        <is>
          <t>Helse og mestring</t>
        </is>
      </c>
      <c r="I735" t="inlineStr">
        <is>
          <t>2 Utgifter</t>
        </is>
      </c>
      <c r="J735" t="inlineStr">
        <is>
          <t>11 Refusjon lønn</t>
        </is>
      </c>
      <c r="K735" t="n">
        <v>1170</v>
      </c>
      <c r="L735" t="n">
        <v>117030</v>
      </c>
      <c r="M735" t="inlineStr">
        <is>
          <t>Reiseutg. buss, tog,taxi, fly, leiebil, bom, park.</t>
        </is>
      </c>
      <c r="N735" s="98" t="n">
        <v>858</v>
      </c>
      <c r="O735" s="98" t="n">
        <v>1250</v>
      </c>
      <c r="P735" s="98" t="n">
        <v>-392</v>
      </c>
      <c r="Q735" s="98" t="n">
        <v>392</v>
      </c>
    </row>
    <row r="736">
      <c r="A736" t="inlineStr">
        <is>
          <t>2024-03</t>
        </is>
      </c>
      <c r="B736" t="inlineStr">
        <is>
          <t>Mars</t>
        </is>
      </c>
      <c r="C736" t="n">
        <v>3</v>
      </c>
      <c r="D736" t="inlineStr">
        <is>
          <t>T1</t>
        </is>
      </c>
      <c r="E736" t="inlineStr">
        <is>
          <t>Bokført</t>
        </is>
      </c>
      <c r="F736" t="inlineStr">
        <is>
          <t>Kommunal Boenhet</t>
        </is>
      </c>
      <c r="G736" t="n">
        <v>254</v>
      </c>
      <c r="H736" t="inlineStr">
        <is>
          <t>Helse og mestring</t>
        </is>
      </c>
      <c r="I736" t="inlineStr">
        <is>
          <t>2 Utgifter</t>
        </is>
      </c>
      <c r="J736" t="inlineStr">
        <is>
          <t>11 Refusjon lønn</t>
        </is>
      </c>
      <c r="K736" t="n">
        <v>1170</v>
      </c>
      <c r="L736" t="n">
        <v>117030</v>
      </c>
      <c r="M736" t="inlineStr">
        <is>
          <t>Reiseutg. buss, tog,taxi, fly, leiebil, bom, park.</t>
        </is>
      </c>
      <c r="N736" s="98" t="n">
        <v>858</v>
      </c>
      <c r="O736" s="98" t="n">
        <v>1739.5</v>
      </c>
      <c r="P736" s="98" t="n">
        <v>-881.5</v>
      </c>
      <c r="Q736" s="98" t="n">
        <v>881.5</v>
      </c>
    </row>
    <row r="737">
      <c r="A737" t="inlineStr">
        <is>
          <t>2024-04</t>
        </is>
      </c>
      <c r="B737" t="inlineStr">
        <is>
          <t>April</t>
        </is>
      </c>
      <c r="C737" t="n">
        <v>4</v>
      </c>
      <c r="D737" t="inlineStr">
        <is>
          <t>T1</t>
        </is>
      </c>
      <c r="E737" t="inlineStr">
        <is>
          <t>Bokført</t>
        </is>
      </c>
      <c r="F737" t="inlineStr">
        <is>
          <t>Kommunal Boenhet</t>
        </is>
      </c>
      <c r="G737" t="n">
        <v>254</v>
      </c>
      <c r="H737" t="inlineStr">
        <is>
          <t>Helse og mestring</t>
        </is>
      </c>
      <c r="I737" t="inlineStr">
        <is>
          <t>2 Utgifter</t>
        </is>
      </c>
      <c r="J737" t="inlineStr">
        <is>
          <t>11 Refusjon lønn</t>
        </is>
      </c>
      <c r="K737" t="n">
        <v>1170</v>
      </c>
      <c r="L737" t="n">
        <v>117030</v>
      </c>
      <c r="M737" t="inlineStr">
        <is>
          <t>Reiseutg. buss, tog,taxi, fly, leiebil, bom, park.</t>
        </is>
      </c>
      <c r="N737" s="98" t="n">
        <v>858</v>
      </c>
      <c r="O737" s="98" t="n">
        <v>1250</v>
      </c>
      <c r="P737" s="98" t="n">
        <v>-392</v>
      </c>
      <c r="Q737" s="98" t="n">
        <v>392</v>
      </c>
    </row>
    <row r="738">
      <c r="A738" t="inlineStr">
        <is>
          <t>2024-05</t>
        </is>
      </c>
      <c r="B738" t="inlineStr">
        <is>
          <t>Mai</t>
        </is>
      </c>
      <c r="C738" t="n">
        <v>5</v>
      </c>
      <c r="D738" t="inlineStr">
        <is>
          <t>T2</t>
        </is>
      </c>
      <c r="E738" t="inlineStr">
        <is>
          <t>Bokført</t>
        </is>
      </c>
      <c r="F738" t="inlineStr">
        <is>
          <t>Kommunal Boenhet</t>
        </is>
      </c>
      <c r="G738" t="n">
        <v>254</v>
      </c>
      <c r="H738" t="inlineStr">
        <is>
          <t>Helse og mestring</t>
        </is>
      </c>
      <c r="I738" t="inlineStr">
        <is>
          <t>2 Utgifter</t>
        </is>
      </c>
      <c r="J738" t="inlineStr">
        <is>
          <t>11 Refusjon lønn</t>
        </is>
      </c>
      <c r="K738" t="n">
        <v>1170</v>
      </c>
      <c r="L738" t="n">
        <v>117030</v>
      </c>
      <c r="M738" t="inlineStr">
        <is>
          <t>Reiseutg. buss, tog,taxi, fly, leiebil, bom, park.</t>
        </is>
      </c>
      <c r="N738" s="98" t="n">
        <v>858</v>
      </c>
      <c r="O738" s="98" t="n">
        <v>1250</v>
      </c>
      <c r="P738" s="98" t="n">
        <v>-392</v>
      </c>
      <c r="Q738" s="98" t="n">
        <v>392</v>
      </c>
    </row>
    <row r="739">
      <c r="A739" t="inlineStr">
        <is>
          <t>2024-06</t>
        </is>
      </c>
      <c r="B739" t="inlineStr">
        <is>
          <t>Juni</t>
        </is>
      </c>
      <c r="C739" t="n">
        <v>6</v>
      </c>
      <c r="D739" t="inlineStr">
        <is>
          <t>T2</t>
        </is>
      </c>
      <c r="E739" t="inlineStr">
        <is>
          <t>Bokført</t>
        </is>
      </c>
      <c r="F739" t="inlineStr">
        <is>
          <t>Kommunal Boenhet</t>
        </is>
      </c>
      <c r="G739" t="n">
        <v>254</v>
      </c>
      <c r="H739" t="inlineStr">
        <is>
          <t>Helse og mestring</t>
        </is>
      </c>
      <c r="I739" t="inlineStr">
        <is>
          <t>2 Utgifter</t>
        </is>
      </c>
      <c r="J739" t="inlineStr">
        <is>
          <t>11 Refusjon lønn</t>
        </is>
      </c>
      <c r="K739" t="n">
        <v>1170</v>
      </c>
      <c r="L739" t="n">
        <v>117030</v>
      </c>
      <c r="M739" t="inlineStr">
        <is>
          <t>Reiseutg. buss, tog,taxi, fly, leiebil, bom, park.</t>
        </is>
      </c>
      <c r="N739" s="98" t="n">
        <v>858</v>
      </c>
      <c r="O739" s="98" t="n">
        <v>26317.58</v>
      </c>
      <c r="P739" s="98" t="n">
        <v>-25459.58</v>
      </c>
      <c r="Q739" s="98" t="n">
        <v>25459.58</v>
      </c>
    </row>
    <row r="740">
      <c r="A740" t="inlineStr">
        <is>
          <t>2024-07</t>
        </is>
      </c>
      <c r="B740" t="inlineStr">
        <is>
          <t>Juli</t>
        </is>
      </c>
      <c r="C740" t="n">
        <v>7</v>
      </c>
      <c r="D740" t="inlineStr">
        <is>
          <t>T2</t>
        </is>
      </c>
      <c r="E740" t="inlineStr">
        <is>
          <t>Bokført</t>
        </is>
      </c>
      <c r="F740" t="inlineStr">
        <is>
          <t>Kommunal Boenhet</t>
        </is>
      </c>
      <c r="G740" t="n">
        <v>254</v>
      </c>
      <c r="H740" t="inlineStr">
        <is>
          <t>Helse og mestring</t>
        </is>
      </c>
      <c r="I740" t="inlineStr">
        <is>
          <t>2 Utgifter</t>
        </is>
      </c>
      <c r="J740" t="inlineStr">
        <is>
          <t>11 Refusjon lønn</t>
        </is>
      </c>
      <c r="K740" t="n">
        <v>1170</v>
      </c>
      <c r="L740" t="n">
        <v>117030</v>
      </c>
      <c r="M740" t="inlineStr">
        <is>
          <t>Reiseutg. buss, tog,taxi, fly, leiebil, bom, park.</t>
        </is>
      </c>
      <c r="N740" s="98" t="n">
        <v>858</v>
      </c>
      <c r="O740" s="98" t="n">
        <v>2175.64</v>
      </c>
      <c r="P740" s="98" t="n">
        <v>-1317.64</v>
      </c>
      <c r="Q740" s="98" t="n">
        <v>1317.64</v>
      </c>
    </row>
    <row r="741">
      <c r="A741" t="inlineStr">
        <is>
          <t>2024-08</t>
        </is>
      </c>
      <c r="B741" t="inlineStr">
        <is>
          <t>August</t>
        </is>
      </c>
      <c r="C741" t="n">
        <v>8</v>
      </c>
      <c r="D741" t="inlineStr">
        <is>
          <t>T2</t>
        </is>
      </c>
      <c r="E741" t="inlineStr">
        <is>
          <t>Bokført</t>
        </is>
      </c>
      <c r="F741" t="inlineStr">
        <is>
          <t>Kommunal Boenhet</t>
        </is>
      </c>
      <c r="G741" t="n">
        <v>254</v>
      </c>
      <c r="H741" t="inlineStr">
        <is>
          <t>Helse og mestring</t>
        </is>
      </c>
      <c r="I741" t="inlineStr">
        <is>
          <t>2 Utgifter</t>
        </is>
      </c>
      <c r="J741" t="inlineStr">
        <is>
          <t>11 Refusjon lønn</t>
        </is>
      </c>
      <c r="K741" t="n">
        <v>1170</v>
      </c>
      <c r="L741" t="n">
        <v>117030</v>
      </c>
      <c r="M741" t="inlineStr">
        <is>
          <t>Reiseutg. buss, tog,taxi, fly, leiebil, bom, park.</t>
        </is>
      </c>
      <c r="N741" s="98" t="n">
        <v>858</v>
      </c>
      <c r="O741" s="98" t="n">
        <v>3317</v>
      </c>
      <c r="P741" s="98" t="n">
        <v>-2459</v>
      </c>
      <c r="Q741" s="98" t="n">
        <v>2459</v>
      </c>
    </row>
    <row r="742">
      <c r="A742" t="inlineStr">
        <is>
          <t>2024-09</t>
        </is>
      </c>
      <c r="B742" t="inlineStr">
        <is>
          <t>September</t>
        </is>
      </c>
      <c r="C742" t="n">
        <v>9</v>
      </c>
      <c r="D742" t="inlineStr">
        <is>
          <t>T3</t>
        </is>
      </c>
      <c r="E742" t="inlineStr">
        <is>
          <t>Gjenstående budsjett</t>
        </is>
      </c>
      <c r="F742" t="inlineStr">
        <is>
          <t>Kommunal Boenhet</t>
        </is>
      </c>
      <c r="G742" t="n">
        <v>254</v>
      </c>
      <c r="H742" t="inlineStr">
        <is>
          <t>Helse og mestring</t>
        </is>
      </c>
      <c r="I742" t="inlineStr">
        <is>
          <t>2 Utgifter</t>
        </is>
      </c>
      <c r="J742" t="inlineStr">
        <is>
          <t>11 Refusjon lønn</t>
        </is>
      </c>
      <c r="K742" t="n">
        <v>1170</v>
      </c>
      <c r="L742" t="n">
        <v>117030</v>
      </c>
      <c r="M742" t="inlineStr">
        <is>
          <t>Reiseutg. buss, tog,taxi, fly, leiebil, bom, park.</t>
        </is>
      </c>
      <c r="N742" s="98" t="n">
        <v>858</v>
      </c>
      <c r="O742" s="98" t="n">
        <v>0</v>
      </c>
      <c r="P742" s="98" t="n">
        <v>0</v>
      </c>
      <c r="Q742" s="98" t="n">
        <v>-858</v>
      </c>
    </row>
    <row r="743">
      <c r="A743" t="inlineStr">
        <is>
          <t>2024-10</t>
        </is>
      </c>
      <c r="B743" t="inlineStr">
        <is>
          <t>Oktober</t>
        </is>
      </c>
      <c r="C743" t="n">
        <v>10</v>
      </c>
      <c r="D743" t="inlineStr">
        <is>
          <t>T3</t>
        </is>
      </c>
      <c r="E743" t="inlineStr">
        <is>
          <t>Gjenstående budsjett</t>
        </is>
      </c>
      <c r="F743" t="inlineStr">
        <is>
          <t>Kommunal Boenhet</t>
        </is>
      </c>
      <c r="G743" t="n">
        <v>254</v>
      </c>
      <c r="H743" t="inlineStr">
        <is>
          <t>Helse og mestring</t>
        </is>
      </c>
      <c r="I743" t="inlineStr">
        <is>
          <t>2 Utgifter</t>
        </is>
      </c>
      <c r="J743" t="inlineStr">
        <is>
          <t>11 Refusjon lønn</t>
        </is>
      </c>
      <c r="K743" t="n">
        <v>1170</v>
      </c>
      <c r="L743" t="n">
        <v>117030</v>
      </c>
      <c r="M743" t="inlineStr">
        <is>
          <t>Reiseutg. buss, tog,taxi, fly, leiebil, bom, park.</t>
        </is>
      </c>
      <c r="N743" s="98" t="n">
        <v>858</v>
      </c>
      <c r="O743" s="98" t="n">
        <v>0</v>
      </c>
      <c r="P743" s="98" t="n">
        <v>0</v>
      </c>
      <c r="Q743" s="98" t="n">
        <v>-858</v>
      </c>
    </row>
    <row r="744">
      <c r="A744" t="inlineStr">
        <is>
          <t>2024-11</t>
        </is>
      </c>
      <c r="B744" t="inlineStr">
        <is>
          <t>November</t>
        </is>
      </c>
      <c r="C744" t="n">
        <v>11</v>
      </c>
      <c r="D744" t="inlineStr">
        <is>
          <t>T3</t>
        </is>
      </c>
      <c r="E744" t="inlineStr">
        <is>
          <t>Gjenstående budsjett</t>
        </is>
      </c>
      <c r="F744" t="inlineStr">
        <is>
          <t>Kommunal Boenhet</t>
        </is>
      </c>
      <c r="G744" t="n">
        <v>254</v>
      </c>
      <c r="H744" t="inlineStr">
        <is>
          <t>Helse og mestring</t>
        </is>
      </c>
      <c r="I744" t="inlineStr">
        <is>
          <t>2 Utgifter</t>
        </is>
      </c>
      <c r="J744" t="inlineStr">
        <is>
          <t>11 Refusjon lønn</t>
        </is>
      </c>
      <c r="K744" t="n">
        <v>1170</v>
      </c>
      <c r="L744" t="n">
        <v>117030</v>
      </c>
      <c r="M744" t="inlineStr">
        <is>
          <t>Reiseutg. buss, tog,taxi, fly, leiebil, bom, park.</t>
        </is>
      </c>
      <c r="N744" s="98" t="n">
        <v>858</v>
      </c>
      <c r="O744" s="98" t="n">
        <v>0</v>
      </c>
      <c r="P744" s="98" t="n">
        <v>0</v>
      </c>
      <c r="Q744" s="98" t="n">
        <v>-858</v>
      </c>
    </row>
    <row r="745">
      <c r="A745" t="inlineStr">
        <is>
          <t>2024-12</t>
        </is>
      </c>
      <c r="B745" t="inlineStr">
        <is>
          <t>Desember</t>
        </is>
      </c>
      <c r="C745" t="n">
        <v>12</v>
      </c>
      <c r="D745" t="inlineStr">
        <is>
          <t>T3</t>
        </is>
      </c>
      <c r="E745" t="inlineStr">
        <is>
          <t>Gjenstående budsjett</t>
        </is>
      </c>
      <c r="F745" t="inlineStr">
        <is>
          <t>Kommunal Boenhet</t>
        </is>
      </c>
      <c r="G745" t="n">
        <v>254</v>
      </c>
      <c r="H745" t="inlineStr">
        <is>
          <t>Helse og mestring</t>
        </is>
      </c>
      <c r="I745" t="inlineStr">
        <is>
          <t>2 Utgifter</t>
        </is>
      </c>
      <c r="J745" t="inlineStr">
        <is>
          <t>11 Refusjon lønn</t>
        </is>
      </c>
      <c r="K745" t="n">
        <v>1170</v>
      </c>
      <c r="L745" t="n">
        <v>117030</v>
      </c>
      <c r="M745" t="inlineStr">
        <is>
          <t>Reiseutg. buss, tog,taxi, fly, leiebil, bom, park.</t>
        </is>
      </c>
      <c r="N745" s="98" t="n">
        <v>562</v>
      </c>
      <c r="O745" s="98" t="n">
        <v>0</v>
      </c>
      <c r="P745" s="98" t="n">
        <v>0</v>
      </c>
      <c r="Q745" s="98" t="n">
        <v>-562</v>
      </c>
    </row>
    <row r="746">
      <c r="A746" t="inlineStr">
        <is>
          <t>2024-01</t>
        </is>
      </c>
      <c r="B746" t="inlineStr">
        <is>
          <t>Januar</t>
        </is>
      </c>
      <c r="C746" t="n">
        <v>1</v>
      </c>
      <c r="D746" t="inlineStr">
        <is>
          <t>T1</t>
        </is>
      </c>
      <c r="E746" t="inlineStr">
        <is>
          <t>Bokført</t>
        </is>
      </c>
      <c r="F746" t="inlineStr">
        <is>
          <t>Kommunal Boenhet</t>
        </is>
      </c>
      <c r="G746" t="n">
        <v>254</v>
      </c>
      <c r="H746" t="inlineStr">
        <is>
          <t>Helse og mestring</t>
        </is>
      </c>
      <c r="I746" t="inlineStr">
        <is>
          <t>2 Utgifter</t>
        </is>
      </c>
      <c r="J746" t="inlineStr">
        <is>
          <t>11 Refusjon lønn</t>
        </is>
      </c>
      <c r="K746" t="n">
        <v>1170</v>
      </c>
      <c r="L746" t="n">
        <v>117040</v>
      </c>
      <c r="M746" t="inlineStr">
        <is>
          <t>Flyttetjenester</t>
        </is>
      </c>
      <c r="N746" s="98" t="n">
        <v>0</v>
      </c>
      <c r="O746" s="98" t="n">
        <v>0</v>
      </c>
      <c r="P746" s="98" t="n">
        <v>0</v>
      </c>
      <c r="Q746" s="98" t="n">
        <v>0</v>
      </c>
    </row>
    <row r="747">
      <c r="A747" t="inlineStr">
        <is>
          <t>2024-02</t>
        </is>
      </c>
      <c r="B747" t="inlineStr">
        <is>
          <t>Februar</t>
        </is>
      </c>
      <c r="C747" t="n">
        <v>2</v>
      </c>
      <c r="D747" t="inlineStr">
        <is>
          <t>T1</t>
        </is>
      </c>
      <c r="E747" t="inlineStr">
        <is>
          <t>Bokført</t>
        </is>
      </c>
      <c r="F747" t="inlineStr">
        <is>
          <t>Kommunal Boenhet</t>
        </is>
      </c>
      <c r="G747" t="n">
        <v>254</v>
      </c>
      <c r="H747" t="inlineStr">
        <is>
          <t>Helse og mestring</t>
        </is>
      </c>
      <c r="I747" t="inlineStr">
        <is>
          <t>2 Utgifter</t>
        </is>
      </c>
      <c r="J747" t="inlineStr">
        <is>
          <t>11 Refusjon lønn</t>
        </is>
      </c>
      <c r="K747" t="n">
        <v>1170</v>
      </c>
      <c r="L747" t="n">
        <v>117040</v>
      </c>
      <c r="M747" t="inlineStr">
        <is>
          <t>Flyttetjenester</t>
        </is>
      </c>
      <c r="N747" s="98" t="n">
        <v>0</v>
      </c>
      <c r="O747" s="98" t="n">
        <v>0</v>
      </c>
      <c r="P747" s="98" t="n">
        <v>0</v>
      </c>
      <c r="Q747" s="98" t="n">
        <v>0</v>
      </c>
    </row>
    <row r="748">
      <c r="A748" t="inlineStr">
        <is>
          <t>2024-03</t>
        </is>
      </c>
      <c r="B748" t="inlineStr">
        <is>
          <t>Mars</t>
        </is>
      </c>
      <c r="C748" t="n">
        <v>3</v>
      </c>
      <c r="D748" t="inlineStr">
        <is>
          <t>T1</t>
        </is>
      </c>
      <c r="E748" t="inlineStr">
        <is>
          <t>Bokført</t>
        </is>
      </c>
      <c r="F748" t="inlineStr">
        <is>
          <t>Kommunal Boenhet</t>
        </is>
      </c>
      <c r="G748" t="n">
        <v>254</v>
      </c>
      <c r="H748" t="inlineStr">
        <is>
          <t>Helse og mestring</t>
        </is>
      </c>
      <c r="I748" t="inlineStr">
        <is>
          <t>2 Utgifter</t>
        </is>
      </c>
      <c r="J748" t="inlineStr">
        <is>
          <t>11 Refusjon lønn</t>
        </is>
      </c>
      <c r="K748" t="n">
        <v>1170</v>
      </c>
      <c r="L748" t="n">
        <v>117040</v>
      </c>
      <c r="M748" t="inlineStr">
        <is>
          <t>Flyttetjenester</t>
        </is>
      </c>
      <c r="N748" s="98" t="n">
        <v>0</v>
      </c>
      <c r="O748" s="98" t="n">
        <v>0</v>
      </c>
      <c r="P748" s="98" t="n">
        <v>0</v>
      </c>
      <c r="Q748" s="98" t="n">
        <v>0</v>
      </c>
    </row>
    <row r="749">
      <c r="A749" t="inlineStr">
        <is>
          <t>2024-04</t>
        </is>
      </c>
      <c r="B749" t="inlineStr">
        <is>
          <t>April</t>
        </is>
      </c>
      <c r="C749" t="n">
        <v>4</v>
      </c>
      <c r="D749" t="inlineStr">
        <is>
          <t>T1</t>
        </is>
      </c>
      <c r="E749" t="inlineStr">
        <is>
          <t>Bokført</t>
        </is>
      </c>
      <c r="F749" t="inlineStr">
        <is>
          <t>Kommunal Boenhet</t>
        </is>
      </c>
      <c r="G749" t="n">
        <v>254</v>
      </c>
      <c r="H749" t="inlineStr">
        <is>
          <t>Helse og mestring</t>
        </is>
      </c>
      <c r="I749" t="inlineStr">
        <is>
          <t>2 Utgifter</t>
        </is>
      </c>
      <c r="J749" t="inlineStr">
        <is>
          <t>11 Refusjon lønn</t>
        </is>
      </c>
      <c r="K749" t="n">
        <v>1170</v>
      </c>
      <c r="L749" t="n">
        <v>117040</v>
      </c>
      <c r="M749" t="inlineStr">
        <is>
          <t>Flyttetjenester</t>
        </is>
      </c>
      <c r="N749" s="98" t="n">
        <v>0</v>
      </c>
      <c r="O749" s="98" t="n">
        <v>0</v>
      </c>
      <c r="P749" s="98" t="n">
        <v>0</v>
      </c>
      <c r="Q749" s="98" t="n">
        <v>0</v>
      </c>
    </row>
    <row r="750">
      <c r="A750" t="inlineStr">
        <is>
          <t>2024-05</t>
        </is>
      </c>
      <c r="B750" t="inlineStr">
        <is>
          <t>Mai</t>
        </is>
      </c>
      <c r="C750" t="n">
        <v>5</v>
      </c>
      <c r="D750" t="inlineStr">
        <is>
          <t>T2</t>
        </is>
      </c>
      <c r="E750" t="inlineStr">
        <is>
          <t>Bokført</t>
        </is>
      </c>
      <c r="F750" t="inlineStr">
        <is>
          <t>Kommunal Boenhet</t>
        </is>
      </c>
      <c r="G750" t="n">
        <v>254</v>
      </c>
      <c r="H750" t="inlineStr">
        <is>
          <t>Helse og mestring</t>
        </is>
      </c>
      <c r="I750" t="inlineStr">
        <is>
          <t>2 Utgifter</t>
        </is>
      </c>
      <c r="J750" t="inlineStr">
        <is>
          <t>11 Refusjon lønn</t>
        </is>
      </c>
      <c r="K750" t="n">
        <v>1170</v>
      </c>
      <c r="L750" t="n">
        <v>117040</v>
      </c>
      <c r="M750" t="inlineStr">
        <is>
          <t>Flyttetjenester</t>
        </is>
      </c>
      <c r="N750" s="98" t="n">
        <v>0</v>
      </c>
      <c r="O750" s="98" t="n">
        <v>0</v>
      </c>
      <c r="P750" s="98" t="n">
        <v>0</v>
      </c>
      <c r="Q750" s="98" t="n">
        <v>0</v>
      </c>
    </row>
    <row r="751">
      <c r="A751" t="inlineStr">
        <is>
          <t>2024-06</t>
        </is>
      </c>
      <c r="B751" t="inlineStr">
        <is>
          <t>Juni</t>
        </is>
      </c>
      <c r="C751" t="n">
        <v>6</v>
      </c>
      <c r="D751" t="inlineStr">
        <is>
          <t>T2</t>
        </is>
      </c>
      <c r="E751" t="inlineStr">
        <is>
          <t>Bokført</t>
        </is>
      </c>
      <c r="F751" t="inlineStr">
        <is>
          <t>Kommunal Boenhet</t>
        </is>
      </c>
      <c r="G751" t="n">
        <v>254</v>
      </c>
      <c r="H751" t="inlineStr">
        <is>
          <t>Helse og mestring</t>
        </is>
      </c>
      <c r="I751" t="inlineStr">
        <is>
          <t>2 Utgifter</t>
        </is>
      </c>
      <c r="J751" t="inlineStr">
        <is>
          <t>11 Refusjon lønn</t>
        </is>
      </c>
      <c r="K751" t="n">
        <v>1170</v>
      </c>
      <c r="L751" t="n">
        <v>117040</v>
      </c>
      <c r="M751" t="inlineStr">
        <is>
          <t>Flyttetjenester</t>
        </is>
      </c>
      <c r="N751" s="98" t="n">
        <v>0</v>
      </c>
      <c r="O751" s="98" t="n">
        <v>0</v>
      </c>
      <c r="P751" s="98" t="n">
        <v>0</v>
      </c>
      <c r="Q751" s="98" t="n">
        <v>0</v>
      </c>
    </row>
    <row r="752">
      <c r="A752" t="inlineStr">
        <is>
          <t>2024-07</t>
        </is>
      </c>
      <c r="B752" t="inlineStr">
        <is>
          <t>Juli</t>
        </is>
      </c>
      <c r="C752" t="n">
        <v>7</v>
      </c>
      <c r="D752" t="inlineStr">
        <is>
          <t>T2</t>
        </is>
      </c>
      <c r="E752" t="inlineStr">
        <is>
          <t>Bokført</t>
        </is>
      </c>
      <c r="F752" t="inlineStr">
        <is>
          <t>Kommunal Boenhet</t>
        </is>
      </c>
      <c r="G752" t="n">
        <v>254</v>
      </c>
      <c r="H752" t="inlineStr">
        <is>
          <t>Helse og mestring</t>
        </is>
      </c>
      <c r="I752" t="inlineStr">
        <is>
          <t>2 Utgifter</t>
        </is>
      </c>
      <c r="J752" t="inlineStr">
        <is>
          <t>11 Refusjon lønn</t>
        </is>
      </c>
      <c r="K752" t="n">
        <v>1170</v>
      </c>
      <c r="L752" t="n">
        <v>117040</v>
      </c>
      <c r="M752" t="inlineStr">
        <is>
          <t>Flyttetjenester</t>
        </is>
      </c>
      <c r="N752" s="98" t="n">
        <v>0</v>
      </c>
      <c r="O752" s="98" t="n">
        <v>0</v>
      </c>
      <c r="P752" s="98" t="n">
        <v>0</v>
      </c>
      <c r="Q752" s="98" t="n">
        <v>0</v>
      </c>
    </row>
    <row r="753">
      <c r="A753" t="inlineStr">
        <is>
          <t>2024-08</t>
        </is>
      </c>
      <c r="B753" t="inlineStr">
        <is>
          <t>August</t>
        </is>
      </c>
      <c r="C753" t="n">
        <v>8</v>
      </c>
      <c r="D753" t="inlineStr">
        <is>
          <t>T2</t>
        </is>
      </c>
      <c r="E753" t="inlineStr">
        <is>
          <t>Bokført</t>
        </is>
      </c>
      <c r="F753" t="inlineStr">
        <is>
          <t>Kommunal Boenhet</t>
        </is>
      </c>
      <c r="G753" t="n">
        <v>254</v>
      </c>
      <c r="H753" t="inlineStr">
        <is>
          <t>Helse og mestring</t>
        </is>
      </c>
      <c r="I753" t="inlineStr">
        <is>
          <t>2 Utgifter</t>
        </is>
      </c>
      <c r="J753" t="inlineStr">
        <is>
          <t>11 Refusjon lønn</t>
        </is>
      </c>
      <c r="K753" t="n">
        <v>1170</v>
      </c>
      <c r="L753" t="n">
        <v>117040</v>
      </c>
      <c r="M753" t="inlineStr">
        <is>
          <t>Flyttetjenester</t>
        </is>
      </c>
      <c r="N753" s="98" t="n">
        <v>0</v>
      </c>
      <c r="O753" s="98" t="n">
        <v>0</v>
      </c>
      <c r="P753" s="98" t="n">
        <v>0</v>
      </c>
      <c r="Q753" s="98" t="n">
        <v>0</v>
      </c>
    </row>
    <row r="754">
      <c r="A754" t="inlineStr">
        <is>
          <t>2024-09</t>
        </is>
      </c>
      <c r="B754" t="inlineStr">
        <is>
          <t>September</t>
        </is>
      </c>
      <c r="C754" t="n">
        <v>9</v>
      </c>
      <c r="D754" t="inlineStr">
        <is>
          <t>T3</t>
        </is>
      </c>
      <c r="E754" t="inlineStr">
        <is>
          <t>Gjenstående budsjett</t>
        </is>
      </c>
      <c r="F754" t="inlineStr">
        <is>
          <t>Kommunal Boenhet</t>
        </is>
      </c>
      <c r="G754" t="n">
        <v>254</v>
      </c>
      <c r="H754" t="inlineStr">
        <is>
          <t>Helse og mestring</t>
        </is>
      </c>
      <c r="I754" t="inlineStr">
        <is>
          <t>2 Utgifter</t>
        </is>
      </c>
      <c r="J754" t="inlineStr">
        <is>
          <t>11 Refusjon lønn</t>
        </is>
      </c>
      <c r="K754" t="n">
        <v>1170</v>
      </c>
      <c r="L754" t="n">
        <v>117040</v>
      </c>
      <c r="M754" t="inlineStr">
        <is>
          <t>Flyttetjenester</t>
        </is>
      </c>
      <c r="N754" s="98" t="n">
        <v>0</v>
      </c>
      <c r="O754" s="98" t="n">
        <v>0</v>
      </c>
      <c r="P754" s="98" t="n">
        <v>0</v>
      </c>
      <c r="Q754" s="98" t="n">
        <v>0</v>
      </c>
    </row>
    <row r="755">
      <c r="A755" t="inlineStr">
        <is>
          <t>2024-10</t>
        </is>
      </c>
      <c r="B755" t="inlineStr">
        <is>
          <t>Oktober</t>
        </is>
      </c>
      <c r="C755" t="n">
        <v>10</v>
      </c>
      <c r="D755" t="inlineStr">
        <is>
          <t>T3</t>
        </is>
      </c>
      <c r="E755" t="inlineStr">
        <is>
          <t>Gjenstående budsjett</t>
        </is>
      </c>
      <c r="F755" t="inlineStr">
        <is>
          <t>Kommunal Boenhet</t>
        </is>
      </c>
      <c r="G755" t="n">
        <v>254</v>
      </c>
      <c r="H755" t="inlineStr">
        <is>
          <t>Helse og mestring</t>
        </is>
      </c>
      <c r="I755" t="inlineStr">
        <is>
          <t>2 Utgifter</t>
        </is>
      </c>
      <c r="J755" t="inlineStr">
        <is>
          <t>11 Refusjon lønn</t>
        </is>
      </c>
      <c r="K755" t="n">
        <v>1170</v>
      </c>
      <c r="L755" t="n">
        <v>117040</v>
      </c>
      <c r="M755" t="inlineStr">
        <is>
          <t>Flyttetjenester</t>
        </is>
      </c>
      <c r="N755" s="98" t="n">
        <v>0</v>
      </c>
      <c r="O755" s="98" t="n">
        <v>0</v>
      </c>
      <c r="P755" s="98" t="n">
        <v>0</v>
      </c>
      <c r="Q755" s="98" t="n">
        <v>0</v>
      </c>
    </row>
    <row r="756">
      <c r="A756" t="inlineStr">
        <is>
          <t>2024-11</t>
        </is>
      </c>
      <c r="B756" t="inlineStr">
        <is>
          <t>November</t>
        </is>
      </c>
      <c r="C756" t="n">
        <v>11</v>
      </c>
      <c r="D756" t="inlineStr">
        <is>
          <t>T3</t>
        </is>
      </c>
      <c r="E756" t="inlineStr">
        <is>
          <t>Gjenstående budsjett</t>
        </is>
      </c>
      <c r="F756" t="inlineStr">
        <is>
          <t>Kommunal Boenhet</t>
        </is>
      </c>
      <c r="G756" t="n">
        <v>254</v>
      </c>
      <c r="H756" t="inlineStr">
        <is>
          <t>Helse og mestring</t>
        </is>
      </c>
      <c r="I756" t="inlineStr">
        <is>
          <t>2 Utgifter</t>
        </is>
      </c>
      <c r="J756" t="inlineStr">
        <is>
          <t>11 Refusjon lønn</t>
        </is>
      </c>
      <c r="K756" t="n">
        <v>1170</v>
      </c>
      <c r="L756" t="n">
        <v>117040</v>
      </c>
      <c r="M756" t="inlineStr">
        <is>
          <t>Flyttetjenester</t>
        </is>
      </c>
      <c r="N756" s="98" t="n">
        <v>0</v>
      </c>
      <c r="O756" s="98" t="n">
        <v>0</v>
      </c>
      <c r="P756" s="98" t="n">
        <v>0</v>
      </c>
      <c r="Q756" s="98" t="n">
        <v>0</v>
      </c>
    </row>
    <row r="757">
      <c r="A757" t="inlineStr">
        <is>
          <t>2024-12</t>
        </is>
      </c>
      <c r="B757" t="inlineStr">
        <is>
          <t>Desember</t>
        </is>
      </c>
      <c r="C757" t="n">
        <v>12</v>
      </c>
      <c r="D757" t="inlineStr">
        <is>
          <t>T3</t>
        </is>
      </c>
      <c r="E757" t="inlineStr">
        <is>
          <t>Gjenstående budsjett</t>
        </is>
      </c>
      <c r="F757" t="inlineStr">
        <is>
          <t>Kommunal Boenhet</t>
        </is>
      </c>
      <c r="G757" t="n">
        <v>254</v>
      </c>
      <c r="H757" t="inlineStr">
        <is>
          <t>Helse og mestring</t>
        </is>
      </c>
      <c r="I757" t="inlineStr">
        <is>
          <t>2 Utgifter</t>
        </is>
      </c>
      <c r="J757" t="inlineStr">
        <is>
          <t>11 Refusjon lønn</t>
        </is>
      </c>
      <c r="K757" t="n">
        <v>1170</v>
      </c>
      <c r="L757" t="n">
        <v>117040</v>
      </c>
      <c r="M757" t="inlineStr">
        <is>
          <t>Flyttetjenester</t>
        </is>
      </c>
      <c r="N757" s="98" t="n">
        <v>0</v>
      </c>
      <c r="O757" s="98" t="n">
        <v>0</v>
      </c>
      <c r="P757" s="98" t="n">
        <v>0</v>
      </c>
      <c r="Q757" s="98" t="n">
        <v>0</v>
      </c>
    </row>
    <row r="758">
      <c r="A758" t="inlineStr">
        <is>
          <t>2024-01</t>
        </is>
      </c>
      <c r="B758" t="inlineStr">
        <is>
          <t>Januar</t>
        </is>
      </c>
      <c r="C758" t="n">
        <v>1</v>
      </c>
      <c r="D758" t="inlineStr">
        <is>
          <t>T1</t>
        </is>
      </c>
      <c r="E758" t="inlineStr">
        <is>
          <t>Bokført</t>
        </is>
      </c>
      <c r="F758" t="inlineStr">
        <is>
          <t>Kommunal Boenhet</t>
        </is>
      </c>
      <c r="G758" t="n">
        <v>254</v>
      </c>
      <c r="H758" t="inlineStr">
        <is>
          <t>Helse og mestring</t>
        </is>
      </c>
      <c r="I758" t="inlineStr">
        <is>
          <t>2 Utgifter</t>
        </is>
      </c>
      <c r="J758" t="inlineStr">
        <is>
          <t>11 Refusjon lønn</t>
        </is>
      </c>
      <c r="K758" t="n">
        <v>1195</v>
      </c>
      <c r="L758" t="n">
        <v>119520</v>
      </c>
      <c r="M758" t="inlineStr">
        <is>
          <t>Tv-lisens og kabel-tv</t>
        </is>
      </c>
      <c r="N758" s="98" t="n">
        <v>850</v>
      </c>
      <c r="O758" s="98" t="n">
        <v>0</v>
      </c>
      <c r="P758" s="98" t="n">
        <v>850</v>
      </c>
      <c r="Q758" s="98" t="n">
        <v>-850</v>
      </c>
    </row>
    <row r="759">
      <c r="A759" t="inlineStr">
        <is>
          <t>2024-02</t>
        </is>
      </c>
      <c r="B759" t="inlineStr">
        <is>
          <t>Februar</t>
        </is>
      </c>
      <c r="C759" t="n">
        <v>2</v>
      </c>
      <c r="D759" t="inlineStr">
        <is>
          <t>T1</t>
        </is>
      </c>
      <c r="E759" t="inlineStr">
        <is>
          <t>Bokført</t>
        </is>
      </c>
      <c r="F759" t="inlineStr">
        <is>
          <t>Kommunal Boenhet</t>
        </is>
      </c>
      <c r="G759" t="n">
        <v>254</v>
      </c>
      <c r="H759" t="inlineStr">
        <is>
          <t>Helse og mestring</t>
        </is>
      </c>
      <c r="I759" t="inlineStr">
        <is>
          <t>2 Utgifter</t>
        </is>
      </c>
      <c r="J759" t="inlineStr">
        <is>
          <t>11 Refusjon lønn</t>
        </is>
      </c>
      <c r="K759" t="n">
        <v>1195</v>
      </c>
      <c r="L759" t="n">
        <v>119520</v>
      </c>
      <c r="M759" t="inlineStr">
        <is>
          <t>Tv-lisens og kabel-tv</t>
        </is>
      </c>
      <c r="N759" s="98" t="n">
        <v>850</v>
      </c>
      <c r="O759" s="98" t="n">
        <v>0</v>
      </c>
      <c r="P759" s="98" t="n">
        <v>850</v>
      </c>
      <c r="Q759" s="98" t="n">
        <v>-850</v>
      </c>
    </row>
    <row r="760">
      <c r="A760" t="inlineStr">
        <is>
          <t>2024-03</t>
        </is>
      </c>
      <c r="B760" t="inlineStr">
        <is>
          <t>Mars</t>
        </is>
      </c>
      <c r="C760" t="n">
        <v>3</v>
      </c>
      <c r="D760" t="inlineStr">
        <is>
          <t>T1</t>
        </is>
      </c>
      <c r="E760" t="inlineStr">
        <is>
          <t>Bokført</t>
        </is>
      </c>
      <c r="F760" t="inlineStr">
        <is>
          <t>Kommunal Boenhet</t>
        </is>
      </c>
      <c r="G760" t="n">
        <v>254</v>
      </c>
      <c r="H760" t="inlineStr">
        <is>
          <t>Helse og mestring</t>
        </is>
      </c>
      <c r="I760" t="inlineStr">
        <is>
          <t>2 Utgifter</t>
        </is>
      </c>
      <c r="J760" t="inlineStr">
        <is>
          <t>11 Refusjon lønn</t>
        </is>
      </c>
      <c r="K760" t="n">
        <v>1195</v>
      </c>
      <c r="L760" t="n">
        <v>119520</v>
      </c>
      <c r="M760" t="inlineStr">
        <is>
          <t>Tv-lisens og kabel-tv</t>
        </is>
      </c>
      <c r="N760" s="98" t="n">
        <v>850</v>
      </c>
      <c r="O760" s="98" t="n">
        <v>0</v>
      </c>
      <c r="P760" s="98" t="n">
        <v>850</v>
      </c>
      <c r="Q760" s="98" t="n">
        <v>-850</v>
      </c>
    </row>
    <row r="761">
      <c r="A761" t="inlineStr">
        <is>
          <t>2024-04</t>
        </is>
      </c>
      <c r="B761" t="inlineStr">
        <is>
          <t>April</t>
        </is>
      </c>
      <c r="C761" t="n">
        <v>4</v>
      </c>
      <c r="D761" t="inlineStr">
        <is>
          <t>T1</t>
        </is>
      </c>
      <c r="E761" t="inlineStr">
        <is>
          <t>Bokført</t>
        </is>
      </c>
      <c r="F761" t="inlineStr">
        <is>
          <t>Kommunal Boenhet</t>
        </is>
      </c>
      <c r="G761" t="n">
        <v>254</v>
      </c>
      <c r="H761" t="inlineStr">
        <is>
          <t>Helse og mestring</t>
        </is>
      </c>
      <c r="I761" t="inlineStr">
        <is>
          <t>2 Utgifter</t>
        </is>
      </c>
      <c r="J761" t="inlineStr">
        <is>
          <t>11 Refusjon lønn</t>
        </is>
      </c>
      <c r="K761" t="n">
        <v>1195</v>
      </c>
      <c r="L761" t="n">
        <v>119520</v>
      </c>
      <c r="M761" t="inlineStr">
        <is>
          <t>Tv-lisens og kabel-tv</t>
        </is>
      </c>
      <c r="N761" s="98" t="n">
        <v>850</v>
      </c>
      <c r="O761" s="98" t="n">
        <v>0</v>
      </c>
      <c r="P761" s="98" t="n">
        <v>850</v>
      </c>
      <c r="Q761" s="98" t="n">
        <v>-850</v>
      </c>
    </row>
    <row r="762">
      <c r="A762" t="inlineStr">
        <is>
          <t>2024-05</t>
        </is>
      </c>
      <c r="B762" t="inlineStr">
        <is>
          <t>Mai</t>
        </is>
      </c>
      <c r="C762" t="n">
        <v>5</v>
      </c>
      <c r="D762" t="inlineStr">
        <is>
          <t>T2</t>
        </is>
      </c>
      <c r="E762" t="inlineStr">
        <is>
          <t>Bokført</t>
        </is>
      </c>
      <c r="F762" t="inlineStr">
        <is>
          <t>Kommunal Boenhet</t>
        </is>
      </c>
      <c r="G762" t="n">
        <v>254</v>
      </c>
      <c r="H762" t="inlineStr">
        <is>
          <t>Helse og mestring</t>
        </is>
      </c>
      <c r="I762" t="inlineStr">
        <is>
          <t>2 Utgifter</t>
        </is>
      </c>
      <c r="J762" t="inlineStr">
        <is>
          <t>11 Refusjon lønn</t>
        </is>
      </c>
      <c r="K762" t="n">
        <v>1195</v>
      </c>
      <c r="L762" t="n">
        <v>119520</v>
      </c>
      <c r="M762" t="inlineStr">
        <is>
          <t>Tv-lisens og kabel-tv</t>
        </is>
      </c>
      <c r="N762" s="98" t="n">
        <v>850</v>
      </c>
      <c r="O762" s="98" t="n">
        <v>0</v>
      </c>
      <c r="P762" s="98" t="n">
        <v>850</v>
      </c>
      <c r="Q762" s="98" t="n">
        <v>-850</v>
      </c>
    </row>
    <row r="763">
      <c r="A763" t="inlineStr">
        <is>
          <t>2024-06</t>
        </is>
      </c>
      <c r="B763" t="inlineStr">
        <is>
          <t>Juni</t>
        </is>
      </c>
      <c r="C763" t="n">
        <v>6</v>
      </c>
      <c r="D763" t="inlineStr">
        <is>
          <t>T2</t>
        </is>
      </c>
      <c r="E763" t="inlineStr">
        <is>
          <t>Bokført</t>
        </is>
      </c>
      <c r="F763" t="inlineStr">
        <is>
          <t>Kommunal Boenhet</t>
        </is>
      </c>
      <c r="G763" t="n">
        <v>254</v>
      </c>
      <c r="H763" t="inlineStr">
        <is>
          <t>Helse og mestring</t>
        </is>
      </c>
      <c r="I763" t="inlineStr">
        <is>
          <t>2 Utgifter</t>
        </is>
      </c>
      <c r="J763" t="inlineStr">
        <is>
          <t>11 Refusjon lønn</t>
        </is>
      </c>
      <c r="K763" t="n">
        <v>1195</v>
      </c>
      <c r="L763" t="n">
        <v>119520</v>
      </c>
      <c r="M763" t="inlineStr">
        <is>
          <t>Tv-lisens og kabel-tv</t>
        </is>
      </c>
      <c r="N763" s="98" t="n">
        <v>850</v>
      </c>
      <c r="O763" s="98" t="n">
        <v>0</v>
      </c>
      <c r="P763" s="98" t="n">
        <v>850</v>
      </c>
      <c r="Q763" s="98" t="n">
        <v>-850</v>
      </c>
    </row>
    <row r="764">
      <c r="A764" t="inlineStr">
        <is>
          <t>2024-07</t>
        </is>
      </c>
      <c r="B764" t="inlineStr">
        <is>
          <t>Juli</t>
        </is>
      </c>
      <c r="C764" t="n">
        <v>7</v>
      </c>
      <c r="D764" t="inlineStr">
        <is>
          <t>T2</t>
        </is>
      </c>
      <c r="E764" t="inlineStr">
        <is>
          <t>Bokført</t>
        </is>
      </c>
      <c r="F764" t="inlineStr">
        <is>
          <t>Kommunal Boenhet</t>
        </is>
      </c>
      <c r="G764" t="n">
        <v>254</v>
      </c>
      <c r="H764" t="inlineStr">
        <is>
          <t>Helse og mestring</t>
        </is>
      </c>
      <c r="I764" t="inlineStr">
        <is>
          <t>2 Utgifter</t>
        </is>
      </c>
      <c r="J764" t="inlineStr">
        <is>
          <t>11 Refusjon lønn</t>
        </is>
      </c>
      <c r="K764" t="n">
        <v>1195</v>
      </c>
      <c r="L764" t="n">
        <v>119520</v>
      </c>
      <c r="M764" t="inlineStr">
        <is>
          <t>Tv-lisens og kabel-tv</t>
        </is>
      </c>
      <c r="N764" s="98" t="n">
        <v>850</v>
      </c>
      <c r="O764" s="98" t="n">
        <v>0</v>
      </c>
      <c r="P764" s="98" t="n">
        <v>850</v>
      </c>
      <c r="Q764" s="98" t="n">
        <v>-850</v>
      </c>
    </row>
    <row r="765">
      <c r="A765" t="inlineStr">
        <is>
          <t>2024-08</t>
        </is>
      </c>
      <c r="B765" t="inlineStr">
        <is>
          <t>August</t>
        </is>
      </c>
      <c r="C765" t="n">
        <v>8</v>
      </c>
      <c r="D765" t="inlineStr">
        <is>
          <t>T2</t>
        </is>
      </c>
      <c r="E765" t="inlineStr">
        <is>
          <t>Bokført</t>
        </is>
      </c>
      <c r="F765" t="inlineStr">
        <is>
          <t>Kommunal Boenhet</t>
        </is>
      </c>
      <c r="G765" t="n">
        <v>254</v>
      </c>
      <c r="H765" t="inlineStr">
        <is>
          <t>Helse og mestring</t>
        </is>
      </c>
      <c r="I765" t="inlineStr">
        <is>
          <t>2 Utgifter</t>
        </is>
      </c>
      <c r="J765" t="inlineStr">
        <is>
          <t>11 Refusjon lønn</t>
        </is>
      </c>
      <c r="K765" t="n">
        <v>1195</v>
      </c>
      <c r="L765" t="n">
        <v>119520</v>
      </c>
      <c r="M765" t="inlineStr">
        <is>
          <t>Tv-lisens og kabel-tv</t>
        </is>
      </c>
      <c r="N765" s="98" t="n">
        <v>850</v>
      </c>
      <c r="O765" s="98" t="n">
        <v>0</v>
      </c>
      <c r="P765" s="98" t="n">
        <v>850</v>
      </c>
      <c r="Q765" s="98" t="n">
        <v>-850</v>
      </c>
    </row>
    <row r="766">
      <c r="A766" t="inlineStr">
        <is>
          <t>2024-09</t>
        </is>
      </c>
      <c r="B766" t="inlineStr">
        <is>
          <t>September</t>
        </is>
      </c>
      <c r="C766" t="n">
        <v>9</v>
      </c>
      <c r="D766" t="inlineStr">
        <is>
          <t>T3</t>
        </is>
      </c>
      <c r="E766" t="inlineStr">
        <is>
          <t>Gjenstående budsjett</t>
        </is>
      </c>
      <c r="F766" t="inlineStr">
        <is>
          <t>Kommunal Boenhet</t>
        </is>
      </c>
      <c r="G766" t="n">
        <v>254</v>
      </c>
      <c r="H766" t="inlineStr">
        <is>
          <t>Helse og mestring</t>
        </is>
      </c>
      <c r="I766" t="inlineStr">
        <is>
          <t>2 Utgifter</t>
        </is>
      </c>
      <c r="J766" t="inlineStr">
        <is>
          <t>11 Refusjon lønn</t>
        </is>
      </c>
      <c r="K766" t="n">
        <v>1195</v>
      </c>
      <c r="L766" t="n">
        <v>119520</v>
      </c>
      <c r="M766" t="inlineStr">
        <is>
          <t>Tv-lisens og kabel-tv</t>
        </is>
      </c>
      <c r="N766" s="98" t="n">
        <v>850</v>
      </c>
      <c r="O766" s="98" t="n">
        <v>0</v>
      </c>
      <c r="P766" s="98" t="n">
        <v>0</v>
      </c>
      <c r="Q766" s="98" t="n">
        <v>-850</v>
      </c>
    </row>
    <row r="767">
      <c r="A767" t="inlineStr">
        <is>
          <t>2024-10</t>
        </is>
      </c>
      <c r="B767" t="inlineStr">
        <is>
          <t>Oktober</t>
        </is>
      </c>
      <c r="C767" t="n">
        <v>10</v>
      </c>
      <c r="D767" t="inlineStr">
        <is>
          <t>T3</t>
        </is>
      </c>
      <c r="E767" t="inlineStr">
        <is>
          <t>Gjenstående budsjett</t>
        </is>
      </c>
      <c r="F767" t="inlineStr">
        <is>
          <t>Kommunal Boenhet</t>
        </is>
      </c>
      <c r="G767" t="n">
        <v>254</v>
      </c>
      <c r="H767" t="inlineStr">
        <is>
          <t>Helse og mestring</t>
        </is>
      </c>
      <c r="I767" t="inlineStr">
        <is>
          <t>2 Utgifter</t>
        </is>
      </c>
      <c r="J767" t="inlineStr">
        <is>
          <t>11 Refusjon lønn</t>
        </is>
      </c>
      <c r="K767" t="n">
        <v>1195</v>
      </c>
      <c r="L767" t="n">
        <v>119520</v>
      </c>
      <c r="M767" t="inlineStr">
        <is>
          <t>Tv-lisens og kabel-tv</t>
        </is>
      </c>
      <c r="N767" s="98" t="n">
        <v>850</v>
      </c>
      <c r="O767" s="98" t="n">
        <v>0</v>
      </c>
      <c r="P767" s="98" t="n">
        <v>0</v>
      </c>
      <c r="Q767" s="98" t="n">
        <v>-850</v>
      </c>
    </row>
    <row r="768">
      <c r="A768" t="inlineStr">
        <is>
          <t>2024-11</t>
        </is>
      </c>
      <c r="B768" t="inlineStr">
        <is>
          <t>November</t>
        </is>
      </c>
      <c r="C768" t="n">
        <v>11</v>
      </c>
      <c r="D768" t="inlineStr">
        <is>
          <t>T3</t>
        </is>
      </c>
      <c r="E768" t="inlineStr">
        <is>
          <t>Gjenstående budsjett</t>
        </is>
      </c>
      <c r="F768" t="inlineStr">
        <is>
          <t>Kommunal Boenhet</t>
        </is>
      </c>
      <c r="G768" t="n">
        <v>254</v>
      </c>
      <c r="H768" t="inlineStr">
        <is>
          <t>Helse og mestring</t>
        </is>
      </c>
      <c r="I768" t="inlineStr">
        <is>
          <t>2 Utgifter</t>
        </is>
      </c>
      <c r="J768" t="inlineStr">
        <is>
          <t>11 Refusjon lønn</t>
        </is>
      </c>
      <c r="K768" t="n">
        <v>1195</v>
      </c>
      <c r="L768" t="n">
        <v>119520</v>
      </c>
      <c r="M768" t="inlineStr">
        <is>
          <t>Tv-lisens og kabel-tv</t>
        </is>
      </c>
      <c r="N768" s="98" t="n">
        <v>850</v>
      </c>
      <c r="O768" s="98" t="n">
        <v>0</v>
      </c>
      <c r="P768" s="98" t="n">
        <v>0</v>
      </c>
      <c r="Q768" s="98" t="n">
        <v>-850</v>
      </c>
    </row>
    <row r="769">
      <c r="A769" t="inlineStr">
        <is>
          <t>2024-12</t>
        </is>
      </c>
      <c r="B769" t="inlineStr">
        <is>
          <t>Desember</t>
        </is>
      </c>
      <c r="C769" t="n">
        <v>12</v>
      </c>
      <c r="D769" t="inlineStr">
        <is>
          <t>T3</t>
        </is>
      </c>
      <c r="E769" t="inlineStr">
        <is>
          <t>Gjenstående budsjett</t>
        </is>
      </c>
      <c r="F769" t="inlineStr">
        <is>
          <t>Kommunal Boenhet</t>
        </is>
      </c>
      <c r="G769" t="n">
        <v>254</v>
      </c>
      <c r="H769" t="inlineStr">
        <is>
          <t>Helse og mestring</t>
        </is>
      </c>
      <c r="I769" t="inlineStr">
        <is>
          <t>2 Utgifter</t>
        </is>
      </c>
      <c r="J769" t="inlineStr">
        <is>
          <t>11 Refusjon lønn</t>
        </is>
      </c>
      <c r="K769" t="n">
        <v>1195</v>
      </c>
      <c r="L769" t="n">
        <v>119520</v>
      </c>
      <c r="M769" t="inlineStr">
        <is>
          <t>Tv-lisens og kabel-tv</t>
        </is>
      </c>
      <c r="N769" s="98" t="n">
        <v>650</v>
      </c>
      <c r="O769" s="98" t="n">
        <v>0</v>
      </c>
      <c r="P769" s="98" t="n">
        <v>0</v>
      </c>
      <c r="Q769" s="98" t="n">
        <v>-650</v>
      </c>
    </row>
    <row r="770">
      <c r="A770" t="inlineStr">
        <is>
          <t>2024-01</t>
        </is>
      </c>
      <c r="B770" t="inlineStr">
        <is>
          <t>Januar</t>
        </is>
      </c>
      <c r="C770" t="n">
        <v>1</v>
      </c>
      <c r="D770" t="inlineStr">
        <is>
          <t>T1</t>
        </is>
      </c>
      <c r="E770" t="inlineStr">
        <is>
          <t>Bokført</t>
        </is>
      </c>
      <c r="F770" t="inlineStr">
        <is>
          <t>Kommunal Boenhet</t>
        </is>
      </c>
      <c r="G770" t="n">
        <v>254</v>
      </c>
      <c r="H770" t="inlineStr">
        <is>
          <t>Helse og mestring</t>
        </is>
      </c>
      <c r="I770" t="inlineStr">
        <is>
          <t>2 Utgifter</t>
        </is>
      </c>
      <c r="J770" t="inlineStr">
        <is>
          <t>11 Refusjon lønn</t>
        </is>
      </c>
      <c r="K770" t="n">
        <v>1195</v>
      </c>
      <c r="L770" t="n">
        <v>119550</v>
      </c>
      <c r="M770" t="inlineStr">
        <is>
          <t>Kommunale gebyrer</t>
        </is>
      </c>
      <c r="N770" s="98" t="n">
        <v>0</v>
      </c>
      <c r="O770" s="98" t="n">
        <v>0</v>
      </c>
      <c r="P770" s="98" t="n">
        <v>0</v>
      </c>
      <c r="Q770" s="98" t="n">
        <v>0</v>
      </c>
    </row>
    <row r="771">
      <c r="A771" t="inlineStr">
        <is>
          <t>2024-02</t>
        </is>
      </c>
      <c r="B771" t="inlineStr">
        <is>
          <t>Februar</t>
        </is>
      </c>
      <c r="C771" t="n">
        <v>2</v>
      </c>
      <c r="D771" t="inlineStr">
        <is>
          <t>T1</t>
        </is>
      </c>
      <c r="E771" t="inlineStr">
        <is>
          <t>Bokført</t>
        </is>
      </c>
      <c r="F771" t="inlineStr">
        <is>
          <t>Kommunal Boenhet</t>
        </is>
      </c>
      <c r="G771" t="n">
        <v>254</v>
      </c>
      <c r="H771" t="inlineStr">
        <is>
          <t>Helse og mestring</t>
        </is>
      </c>
      <c r="I771" t="inlineStr">
        <is>
          <t>2 Utgifter</t>
        </is>
      </c>
      <c r="J771" t="inlineStr">
        <is>
          <t>11 Refusjon lønn</t>
        </is>
      </c>
      <c r="K771" t="n">
        <v>1195</v>
      </c>
      <c r="L771" t="n">
        <v>119550</v>
      </c>
      <c r="M771" t="inlineStr">
        <is>
          <t>Kommunale gebyrer</t>
        </is>
      </c>
      <c r="N771" s="98" t="n">
        <v>0</v>
      </c>
      <c r="O771" s="98" t="n">
        <v>0</v>
      </c>
      <c r="P771" s="98" t="n">
        <v>0</v>
      </c>
      <c r="Q771" s="98" t="n">
        <v>0</v>
      </c>
    </row>
    <row r="772">
      <c r="A772" t="inlineStr">
        <is>
          <t>2024-03</t>
        </is>
      </c>
      <c r="B772" t="inlineStr">
        <is>
          <t>Mars</t>
        </is>
      </c>
      <c r="C772" t="n">
        <v>3</v>
      </c>
      <c r="D772" t="inlineStr">
        <is>
          <t>T1</t>
        </is>
      </c>
      <c r="E772" t="inlineStr">
        <is>
          <t>Bokført</t>
        </is>
      </c>
      <c r="F772" t="inlineStr">
        <is>
          <t>Kommunal Boenhet</t>
        </is>
      </c>
      <c r="G772" t="n">
        <v>254</v>
      </c>
      <c r="H772" t="inlineStr">
        <is>
          <t>Helse og mestring</t>
        </is>
      </c>
      <c r="I772" t="inlineStr">
        <is>
          <t>2 Utgifter</t>
        </is>
      </c>
      <c r="J772" t="inlineStr">
        <is>
          <t>11 Refusjon lønn</t>
        </is>
      </c>
      <c r="K772" t="n">
        <v>1195</v>
      </c>
      <c r="L772" t="n">
        <v>119550</v>
      </c>
      <c r="M772" t="inlineStr">
        <is>
          <t>Kommunale gebyrer</t>
        </is>
      </c>
      <c r="N772" s="98" t="n">
        <v>0</v>
      </c>
      <c r="O772" s="98" t="n">
        <v>150</v>
      </c>
      <c r="P772" s="98" t="n">
        <v>-150</v>
      </c>
      <c r="Q772" s="98" t="n">
        <v>150</v>
      </c>
    </row>
    <row r="773">
      <c r="A773" t="inlineStr">
        <is>
          <t>2024-04</t>
        </is>
      </c>
      <c r="B773" t="inlineStr">
        <is>
          <t>April</t>
        </is>
      </c>
      <c r="C773" t="n">
        <v>4</v>
      </c>
      <c r="D773" t="inlineStr">
        <is>
          <t>T1</t>
        </is>
      </c>
      <c r="E773" t="inlineStr">
        <is>
          <t>Bokført</t>
        </is>
      </c>
      <c r="F773" t="inlineStr">
        <is>
          <t>Kommunal Boenhet</t>
        </is>
      </c>
      <c r="G773" t="n">
        <v>254</v>
      </c>
      <c r="H773" t="inlineStr">
        <is>
          <t>Helse og mestring</t>
        </is>
      </c>
      <c r="I773" t="inlineStr">
        <is>
          <t>2 Utgifter</t>
        </is>
      </c>
      <c r="J773" t="inlineStr">
        <is>
          <t>11 Refusjon lønn</t>
        </is>
      </c>
      <c r="K773" t="n">
        <v>1195</v>
      </c>
      <c r="L773" t="n">
        <v>119550</v>
      </c>
      <c r="M773" t="inlineStr">
        <is>
          <t>Kommunale gebyrer</t>
        </is>
      </c>
      <c r="N773" s="98" t="n">
        <v>0</v>
      </c>
      <c r="O773" s="98" t="n">
        <v>0</v>
      </c>
      <c r="P773" s="98" t="n">
        <v>0</v>
      </c>
      <c r="Q773" s="98" t="n">
        <v>0</v>
      </c>
    </row>
    <row r="774">
      <c r="A774" t="inlineStr">
        <is>
          <t>2024-05</t>
        </is>
      </c>
      <c r="B774" t="inlineStr">
        <is>
          <t>Mai</t>
        </is>
      </c>
      <c r="C774" t="n">
        <v>5</v>
      </c>
      <c r="D774" t="inlineStr">
        <is>
          <t>T2</t>
        </is>
      </c>
      <c r="E774" t="inlineStr">
        <is>
          <t>Bokført</t>
        </is>
      </c>
      <c r="F774" t="inlineStr">
        <is>
          <t>Kommunal Boenhet</t>
        </is>
      </c>
      <c r="G774" t="n">
        <v>254</v>
      </c>
      <c r="H774" t="inlineStr">
        <is>
          <t>Helse og mestring</t>
        </is>
      </c>
      <c r="I774" t="inlineStr">
        <is>
          <t>2 Utgifter</t>
        </is>
      </c>
      <c r="J774" t="inlineStr">
        <is>
          <t>11 Refusjon lønn</t>
        </is>
      </c>
      <c r="K774" t="n">
        <v>1195</v>
      </c>
      <c r="L774" t="n">
        <v>119550</v>
      </c>
      <c r="M774" t="inlineStr">
        <is>
          <t>Kommunale gebyrer</t>
        </is>
      </c>
      <c r="N774" s="98" t="n">
        <v>0</v>
      </c>
      <c r="O774" s="98" t="n">
        <v>0</v>
      </c>
      <c r="P774" s="98" t="n">
        <v>0</v>
      </c>
      <c r="Q774" s="98" t="n">
        <v>0</v>
      </c>
    </row>
    <row r="775">
      <c r="A775" t="inlineStr">
        <is>
          <t>2024-06</t>
        </is>
      </c>
      <c r="B775" t="inlineStr">
        <is>
          <t>Juni</t>
        </is>
      </c>
      <c r="C775" t="n">
        <v>6</v>
      </c>
      <c r="D775" t="inlineStr">
        <is>
          <t>T2</t>
        </is>
      </c>
      <c r="E775" t="inlineStr">
        <is>
          <t>Bokført</t>
        </is>
      </c>
      <c r="F775" t="inlineStr">
        <is>
          <t>Kommunal Boenhet</t>
        </is>
      </c>
      <c r="G775" t="n">
        <v>254</v>
      </c>
      <c r="H775" t="inlineStr">
        <is>
          <t>Helse og mestring</t>
        </is>
      </c>
      <c r="I775" t="inlineStr">
        <is>
          <t>2 Utgifter</t>
        </is>
      </c>
      <c r="J775" t="inlineStr">
        <is>
          <t>11 Refusjon lønn</t>
        </is>
      </c>
      <c r="K775" t="n">
        <v>1195</v>
      </c>
      <c r="L775" t="n">
        <v>119550</v>
      </c>
      <c r="M775" t="inlineStr">
        <is>
          <t>Kommunale gebyrer</t>
        </is>
      </c>
      <c r="N775" s="98" t="n">
        <v>0</v>
      </c>
      <c r="O775" s="98" t="n">
        <v>0</v>
      </c>
      <c r="P775" s="98" t="n">
        <v>0</v>
      </c>
      <c r="Q775" s="98" t="n">
        <v>0</v>
      </c>
    </row>
    <row r="776">
      <c r="A776" t="inlineStr">
        <is>
          <t>2024-07</t>
        </is>
      </c>
      <c r="B776" t="inlineStr">
        <is>
          <t>Juli</t>
        </is>
      </c>
      <c r="C776" t="n">
        <v>7</v>
      </c>
      <c r="D776" t="inlineStr">
        <is>
          <t>T2</t>
        </is>
      </c>
      <c r="E776" t="inlineStr">
        <is>
          <t>Bokført</t>
        </is>
      </c>
      <c r="F776" t="inlineStr">
        <is>
          <t>Kommunal Boenhet</t>
        </is>
      </c>
      <c r="G776" t="n">
        <v>254</v>
      </c>
      <c r="H776" t="inlineStr">
        <is>
          <t>Helse og mestring</t>
        </is>
      </c>
      <c r="I776" t="inlineStr">
        <is>
          <t>2 Utgifter</t>
        </is>
      </c>
      <c r="J776" t="inlineStr">
        <is>
          <t>11 Refusjon lønn</t>
        </is>
      </c>
      <c r="K776" t="n">
        <v>1195</v>
      </c>
      <c r="L776" t="n">
        <v>119550</v>
      </c>
      <c r="M776" t="inlineStr">
        <is>
          <t>Kommunale gebyrer</t>
        </is>
      </c>
      <c r="N776" s="98" t="n">
        <v>0</v>
      </c>
      <c r="O776" s="98" t="n">
        <v>0</v>
      </c>
      <c r="P776" s="98" t="n">
        <v>0</v>
      </c>
      <c r="Q776" s="98" t="n">
        <v>0</v>
      </c>
    </row>
    <row r="777">
      <c r="A777" t="inlineStr">
        <is>
          <t>2024-08</t>
        </is>
      </c>
      <c r="B777" t="inlineStr">
        <is>
          <t>August</t>
        </is>
      </c>
      <c r="C777" t="n">
        <v>8</v>
      </c>
      <c r="D777" t="inlineStr">
        <is>
          <t>T2</t>
        </is>
      </c>
      <c r="E777" t="inlineStr">
        <is>
          <t>Bokført</t>
        </is>
      </c>
      <c r="F777" t="inlineStr">
        <is>
          <t>Kommunal Boenhet</t>
        </is>
      </c>
      <c r="G777" t="n">
        <v>254</v>
      </c>
      <c r="H777" t="inlineStr">
        <is>
          <t>Helse og mestring</t>
        </is>
      </c>
      <c r="I777" t="inlineStr">
        <is>
          <t>2 Utgifter</t>
        </is>
      </c>
      <c r="J777" t="inlineStr">
        <is>
          <t>11 Refusjon lønn</t>
        </is>
      </c>
      <c r="K777" t="n">
        <v>1195</v>
      </c>
      <c r="L777" t="n">
        <v>119550</v>
      </c>
      <c r="M777" t="inlineStr">
        <is>
          <t>Kommunale gebyrer</t>
        </is>
      </c>
      <c r="N777" s="98" t="n">
        <v>0</v>
      </c>
      <c r="O777" s="98" t="n">
        <v>11.95</v>
      </c>
      <c r="P777" s="98" t="n">
        <v>-11.95</v>
      </c>
      <c r="Q777" s="98" t="n">
        <v>11.95</v>
      </c>
    </row>
    <row r="778">
      <c r="A778" t="inlineStr">
        <is>
          <t>2024-09</t>
        </is>
      </c>
      <c r="B778" t="inlineStr">
        <is>
          <t>September</t>
        </is>
      </c>
      <c r="C778" t="n">
        <v>9</v>
      </c>
      <c r="D778" t="inlineStr">
        <is>
          <t>T3</t>
        </is>
      </c>
      <c r="E778" t="inlineStr">
        <is>
          <t>Gjenstående budsjett</t>
        </is>
      </c>
      <c r="F778" t="inlineStr">
        <is>
          <t>Kommunal Boenhet</t>
        </is>
      </c>
      <c r="G778" t="n">
        <v>254</v>
      </c>
      <c r="H778" t="inlineStr">
        <is>
          <t>Helse og mestring</t>
        </is>
      </c>
      <c r="I778" t="inlineStr">
        <is>
          <t>2 Utgifter</t>
        </is>
      </c>
      <c r="J778" t="inlineStr">
        <is>
          <t>11 Refusjon lønn</t>
        </is>
      </c>
      <c r="K778" t="n">
        <v>1195</v>
      </c>
      <c r="L778" t="n">
        <v>119550</v>
      </c>
      <c r="M778" t="inlineStr">
        <is>
          <t>Kommunale gebyrer</t>
        </is>
      </c>
      <c r="N778" s="98" t="n">
        <v>0</v>
      </c>
      <c r="O778" s="98" t="n">
        <v>0</v>
      </c>
      <c r="P778" s="98" t="n">
        <v>0</v>
      </c>
      <c r="Q778" s="98" t="n">
        <v>0</v>
      </c>
    </row>
    <row r="779">
      <c r="A779" t="inlineStr">
        <is>
          <t>2024-10</t>
        </is>
      </c>
      <c r="B779" t="inlineStr">
        <is>
          <t>Oktober</t>
        </is>
      </c>
      <c r="C779" t="n">
        <v>10</v>
      </c>
      <c r="D779" t="inlineStr">
        <is>
          <t>T3</t>
        </is>
      </c>
      <c r="E779" t="inlineStr">
        <is>
          <t>Gjenstående budsjett</t>
        </is>
      </c>
      <c r="F779" t="inlineStr">
        <is>
          <t>Kommunal Boenhet</t>
        </is>
      </c>
      <c r="G779" t="n">
        <v>254</v>
      </c>
      <c r="H779" t="inlineStr">
        <is>
          <t>Helse og mestring</t>
        </is>
      </c>
      <c r="I779" t="inlineStr">
        <is>
          <t>2 Utgifter</t>
        </is>
      </c>
      <c r="J779" t="inlineStr">
        <is>
          <t>11 Refusjon lønn</t>
        </is>
      </c>
      <c r="K779" t="n">
        <v>1195</v>
      </c>
      <c r="L779" t="n">
        <v>119550</v>
      </c>
      <c r="M779" t="inlineStr">
        <is>
          <t>Kommunale gebyrer</t>
        </is>
      </c>
      <c r="N779" s="98" t="n">
        <v>0</v>
      </c>
      <c r="O779" s="98" t="n">
        <v>0</v>
      </c>
      <c r="P779" s="98" t="n">
        <v>0</v>
      </c>
      <c r="Q779" s="98" t="n">
        <v>0</v>
      </c>
    </row>
    <row r="780">
      <c r="A780" t="inlineStr">
        <is>
          <t>2024-11</t>
        </is>
      </c>
      <c r="B780" t="inlineStr">
        <is>
          <t>November</t>
        </is>
      </c>
      <c r="C780" t="n">
        <v>11</v>
      </c>
      <c r="D780" t="inlineStr">
        <is>
          <t>T3</t>
        </is>
      </c>
      <c r="E780" t="inlineStr">
        <is>
          <t>Gjenstående budsjett</t>
        </is>
      </c>
      <c r="F780" t="inlineStr">
        <is>
          <t>Kommunal Boenhet</t>
        </is>
      </c>
      <c r="G780" t="n">
        <v>254</v>
      </c>
      <c r="H780" t="inlineStr">
        <is>
          <t>Helse og mestring</t>
        </is>
      </c>
      <c r="I780" t="inlineStr">
        <is>
          <t>2 Utgifter</t>
        </is>
      </c>
      <c r="J780" t="inlineStr">
        <is>
          <t>11 Refusjon lønn</t>
        </is>
      </c>
      <c r="K780" t="n">
        <v>1195</v>
      </c>
      <c r="L780" t="n">
        <v>119550</v>
      </c>
      <c r="M780" t="inlineStr">
        <is>
          <t>Kommunale gebyrer</t>
        </is>
      </c>
      <c r="N780" s="98" t="n">
        <v>0</v>
      </c>
      <c r="O780" s="98" t="n">
        <v>0</v>
      </c>
      <c r="P780" s="98" t="n">
        <v>0</v>
      </c>
      <c r="Q780" s="98" t="n">
        <v>0</v>
      </c>
    </row>
    <row r="781">
      <c r="A781" t="inlineStr">
        <is>
          <t>2024-12</t>
        </is>
      </c>
      <c r="B781" t="inlineStr">
        <is>
          <t>Desember</t>
        </is>
      </c>
      <c r="C781" t="n">
        <v>12</v>
      </c>
      <c r="D781" t="inlineStr">
        <is>
          <t>T3</t>
        </is>
      </c>
      <c r="E781" t="inlineStr">
        <is>
          <t>Gjenstående budsjett</t>
        </is>
      </c>
      <c r="F781" t="inlineStr">
        <is>
          <t>Kommunal Boenhet</t>
        </is>
      </c>
      <c r="G781" t="n">
        <v>254</v>
      </c>
      <c r="H781" t="inlineStr">
        <is>
          <t>Helse og mestring</t>
        </is>
      </c>
      <c r="I781" t="inlineStr">
        <is>
          <t>2 Utgifter</t>
        </is>
      </c>
      <c r="J781" t="inlineStr">
        <is>
          <t>11 Refusjon lønn</t>
        </is>
      </c>
      <c r="K781" t="n">
        <v>1195</v>
      </c>
      <c r="L781" t="n">
        <v>119550</v>
      </c>
      <c r="M781" t="inlineStr">
        <is>
          <t>Kommunale gebyrer</t>
        </is>
      </c>
      <c r="N781" s="98" t="n">
        <v>0</v>
      </c>
      <c r="O781" s="98" t="n">
        <v>0</v>
      </c>
      <c r="P781" s="98" t="n">
        <v>0</v>
      </c>
      <c r="Q781" s="98" t="n">
        <v>0</v>
      </c>
    </row>
    <row r="782">
      <c r="A782" t="inlineStr">
        <is>
          <t>2024-01</t>
        </is>
      </c>
      <c r="B782" t="inlineStr">
        <is>
          <t>Januar</t>
        </is>
      </c>
      <c r="C782" t="n">
        <v>1</v>
      </c>
      <c r="D782" t="inlineStr">
        <is>
          <t>T1</t>
        </is>
      </c>
      <c r="E782" t="inlineStr">
        <is>
          <t>Bokført</t>
        </is>
      </c>
      <c r="F782" t="inlineStr">
        <is>
          <t>Kommunal Boenhet</t>
        </is>
      </c>
      <c r="G782" t="n">
        <v>254</v>
      </c>
      <c r="H782" t="inlineStr">
        <is>
          <t>Helse og mestring</t>
        </is>
      </c>
      <c r="I782" t="inlineStr">
        <is>
          <t>2 Utgifter</t>
        </is>
      </c>
      <c r="J782" t="inlineStr">
        <is>
          <t>11 Refusjon lønn</t>
        </is>
      </c>
      <c r="K782" t="n">
        <v>1195</v>
      </c>
      <c r="L782" t="n">
        <v>119590</v>
      </c>
      <c r="M782" t="inlineStr">
        <is>
          <t>Andre avgifter, gebyrer og lisenser</t>
        </is>
      </c>
      <c r="N782" s="98" t="n">
        <v>0</v>
      </c>
      <c r="O782" s="98" t="n">
        <v>0</v>
      </c>
      <c r="P782" s="98" t="n">
        <v>0</v>
      </c>
      <c r="Q782" s="98" t="n">
        <v>0</v>
      </c>
    </row>
    <row r="783">
      <c r="A783" t="inlineStr">
        <is>
          <t>2024-02</t>
        </is>
      </c>
      <c r="B783" t="inlineStr">
        <is>
          <t>Februar</t>
        </is>
      </c>
      <c r="C783" t="n">
        <v>2</v>
      </c>
      <c r="D783" t="inlineStr">
        <is>
          <t>T1</t>
        </is>
      </c>
      <c r="E783" t="inlineStr">
        <is>
          <t>Bokført</t>
        </is>
      </c>
      <c r="F783" t="inlineStr">
        <is>
          <t>Kommunal Boenhet</t>
        </is>
      </c>
      <c r="G783" t="n">
        <v>254</v>
      </c>
      <c r="H783" t="inlineStr">
        <is>
          <t>Helse og mestring</t>
        </is>
      </c>
      <c r="I783" t="inlineStr">
        <is>
          <t>2 Utgifter</t>
        </is>
      </c>
      <c r="J783" t="inlineStr">
        <is>
          <t>11 Refusjon lønn</t>
        </is>
      </c>
      <c r="K783" t="n">
        <v>1195</v>
      </c>
      <c r="L783" t="n">
        <v>119590</v>
      </c>
      <c r="M783" t="inlineStr">
        <is>
          <t>Andre avgifter, gebyrer og lisenser</t>
        </is>
      </c>
      <c r="N783" s="98" t="n">
        <v>0</v>
      </c>
      <c r="O783" s="98" t="n">
        <v>0</v>
      </c>
      <c r="P783" s="98" t="n">
        <v>0</v>
      </c>
      <c r="Q783" s="98" t="n">
        <v>0</v>
      </c>
    </row>
    <row r="784">
      <c r="A784" t="inlineStr">
        <is>
          <t>2024-03</t>
        </is>
      </c>
      <c r="B784" t="inlineStr">
        <is>
          <t>Mars</t>
        </is>
      </c>
      <c r="C784" t="n">
        <v>3</v>
      </c>
      <c r="D784" t="inlineStr">
        <is>
          <t>T1</t>
        </is>
      </c>
      <c r="E784" t="inlineStr">
        <is>
          <t>Bokført</t>
        </is>
      </c>
      <c r="F784" t="inlineStr">
        <is>
          <t>Kommunal Boenhet</t>
        </is>
      </c>
      <c r="G784" t="n">
        <v>254</v>
      </c>
      <c r="H784" t="inlineStr">
        <is>
          <t>Helse og mestring</t>
        </is>
      </c>
      <c r="I784" t="inlineStr">
        <is>
          <t>2 Utgifter</t>
        </is>
      </c>
      <c r="J784" t="inlineStr">
        <is>
          <t>11 Refusjon lønn</t>
        </is>
      </c>
      <c r="K784" t="n">
        <v>1195</v>
      </c>
      <c r="L784" t="n">
        <v>119590</v>
      </c>
      <c r="M784" t="inlineStr">
        <is>
          <t>Andre avgifter, gebyrer og lisenser</t>
        </is>
      </c>
      <c r="N784" s="98" t="n">
        <v>0</v>
      </c>
      <c r="O784" s="98" t="n">
        <v>0</v>
      </c>
      <c r="P784" s="98" t="n">
        <v>0</v>
      </c>
      <c r="Q784" s="98" t="n">
        <v>0</v>
      </c>
    </row>
    <row r="785">
      <c r="A785" t="inlineStr">
        <is>
          <t>2024-04</t>
        </is>
      </c>
      <c r="B785" t="inlineStr">
        <is>
          <t>April</t>
        </is>
      </c>
      <c r="C785" t="n">
        <v>4</v>
      </c>
      <c r="D785" t="inlineStr">
        <is>
          <t>T1</t>
        </is>
      </c>
      <c r="E785" t="inlineStr">
        <is>
          <t>Bokført</t>
        </is>
      </c>
      <c r="F785" t="inlineStr">
        <is>
          <t>Kommunal Boenhet</t>
        </is>
      </c>
      <c r="G785" t="n">
        <v>254</v>
      </c>
      <c r="H785" t="inlineStr">
        <is>
          <t>Helse og mestring</t>
        </is>
      </c>
      <c r="I785" t="inlineStr">
        <is>
          <t>2 Utgifter</t>
        </is>
      </c>
      <c r="J785" t="inlineStr">
        <is>
          <t>11 Refusjon lønn</t>
        </is>
      </c>
      <c r="K785" t="n">
        <v>1195</v>
      </c>
      <c r="L785" t="n">
        <v>119590</v>
      </c>
      <c r="M785" t="inlineStr">
        <is>
          <t>Andre avgifter, gebyrer og lisenser</t>
        </is>
      </c>
      <c r="N785" s="98" t="n">
        <v>0</v>
      </c>
      <c r="O785" s="98" t="n">
        <v>0</v>
      </c>
      <c r="P785" s="98" t="n">
        <v>0</v>
      </c>
      <c r="Q785" s="98" t="n">
        <v>0</v>
      </c>
    </row>
    <row r="786">
      <c r="A786" t="inlineStr">
        <is>
          <t>2024-05</t>
        </is>
      </c>
      <c r="B786" t="inlineStr">
        <is>
          <t>Mai</t>
        </is>
      </c>
      <c r="C786" t="n">
        <v>5</v>
      </c>
      <c r="D786" t="inlineStr">
        <is>
          <t>T2</t>
        </is>
      </c>
      <c r="E786" t="inlineStr">
        <is>
          <t>Bokført</t>
        </is>
      </c>
      <c r="F786" t="inlineStr">
        <is>
          <t>Kommunal Boenhet</t>
        </is>
      </c>
      <c r="G786" t="n">
        <v>254</v>
      </c>
      <c r="H786" t="inlineStr">
        <is>
          <t>Helse og mestring</t>
        </is>
      </c>
      <c r="I786" t="inlineStr">
        <is>
          <t>2 Utgifter</t>
        </is>
      </c>
      <c r="J786" t="inlineStr">
        <is>
          <t>11 Refusjon lønn</t>
        </is>
      </c>
      <c r="K786" t="n">
        <v>1195</v>
      </c>
      <c r="L786" t="n">
        <v>119590</v>
      </c>
      <c r="M786" t="inlineStr">
        <is>
          <t>Andre avgifter, gebyrer og lisenser</t>
        </is>
      </c>
      <c r="N786" s="98" t="n">
        <v>0</v>
      </c>
      <c r="O786" s="98" t="n">
        <v>0</v>
      </c>
      <c r="P786" s="98" t="n">
        <v>0</v>
      </c>
      <c r="Q786" s="98" t="n">
        <v>0</v>
      </c>
    </row>
    <row r="787">
      <c r="A787" t="inlineStr">
        <is>
          <t>2024-06</t>
        </is>
      </c>
      <c r="B787" t="inlineStr">
        <is>
          <t>Juni</t>
        </is>
      </c>
      <c r="C787" t="n">
        <v>6</v>
      </c>
      <c r="D787" t="inlineStr">
        <is>
          <t>T2</t>
        </is>
      </c>
      <c r="E787" t="inlineStr">
        <is>
          <t>Bokført</t>
        </is>
      </c>
      <c r="F787" t="inlineStr">
        <is>
          <t>Kommunal Boenhet</t>
        </is>
      </c>
      <c r="G787" t="n">
        <v>254</v>
      </c>
      <c r="H787" t="inlineStr">
        <is>
          <t>Helse og mestring</t>
        </is>
      </c>
      <c r="I787" t="inlineStr">
        <is>
          <t>2 Utgifter</t>
        </is>
      </c>
      <c r="J787" t="inlineStr">
        <is>
          <t>11 Refusjon lønn</t>
        </is>
      </c>
      <c r="K787" t="n">
        <v>1195</v>
      </c>
      <c r="L787" t="n">
        <v>119590</v>
      </c>
      <c r="M787" t="inlineStr">
        <is>
          <t>Andre avgifter, gebyrer og lisenser</t>
        </is>
      </c>
      <c r="N787" s="98" t="n">
        <v>0</v>
      </c>
      <c r="O787" s="98" t="n">
        <v>0</v>
      </c>
      <c r="P787" s="98" t="n">
        <v>0</v>
      </c>
      <c r="Q787" s="98" t="n">
        <v>0</v>
      </c>
    </row>
    <row r="788">
      <c r="A788" t="inlineStr">
        <is>
          <t>2024-07</t>
        </is>
      </c>
      <c r="B788" t="inlineStr">
        <is>
          <t>Juli</t>
        </is>
      </c>
      <c r="C788" t="n">
        <v>7</v>
      </c>
      <c r="D788" t="inlineStr">
        <is>
          <t>T2</t>
        </is>
      </c>
      <c r="E788" t="inlineStr">
        <is>
          <t>Bokført</t>
        </is>
      </c>
      <c r="F788" t="inlineStr">
        <is>
          <t>Kommunal Boenhet</t>
        </is>
      </c>
      <c r="G788" t="n">
        <v>254</v>
      </c>
      <c r="H788" t="inlineStr">
        <is>
          <t>Helse og mestring</t>
        </is>
      </c>
      <c r="I788" t="inlineStr">
        <is>
          <t>2 Utgifter</t>
        </is>
      </c>
      <c r="J788" t="inlineStr">
        <is>
          <t>11 Refusjon lønn</t>
        </is>
      </c>
      <c r="K788" t="n">
        <v>1195</v>
      </c>
      <c r="L788" t="n">
        <v>119590</v>
      </c>
      <c r="M788" t="inlineStr">
        <is>
          <t>Andre avgifter, gebyrer og lisenser</t>
        </is>
      </c>
      <c r="N788" s="98" t="n">
        <v>0</v>
      </c>
      <c r="O788" s="98" t="n">
        <v>0</v>
      </c>
      <c r="P788" s="98" t="n">
        <v>0</v>
      </c>
      <c r="Q788" s="98" t="n">
        <v>0</v>
      </c>
    </row>
    <row r="789">
      <c r="A789" t="inlineStr">
        <is>
          <t>2024-08</t>
        </is>
      </c>
      <c r="B789" t="inlineStr">
        <is>
          <t>August</t>
        </is>
      </c>
      <c r="C789" t="n">
        <v>8</v>
      </c>
      <c r="D789" t="inlineStr">
        <is>
          <t>T2</t>
        </is>
      </c>
      <c r="E789" t="inlineStr">
        <is>
          <t>Bokført</t>
        </is>
      </c>
      <c r="F789" t="inlineStr">
        <is>
          <t>Kommunal Boenhet</t>
        </is>
      </c>
      <c r="G789" t="n">
        <v>254</v>
      </c>
      <c r="H789" t="inlineStr">
        <is>
          <t>Helse og mestring</t>
        </is>
      </c>
      <c r="I789" t="inlineStr">
        <is>
          <t>2 Utgifter</t>
        </is>
      </c>
      <c r="J789" t="inlineStr">
        <is>
          <t>11 Refusjon lønn</t>
        </is>
      </c>
      <c r="K789" t="n">
        <v>1195</v>
      </c>
      <c r="L789" t="n">
        <v>119590</v>
      </c>
      <c r="M789" t="inlineStr">
        <is>
          <t>Andre avgifter, gebyrer og lisenser</t>
        </is>
      </c>
      <c r="N789" s="98" t="n">
        <v>0</v>
      </c>
      <c r="O789" s="98" t="n">
        <v>0</v>
      </c>
      <c r="P789" s="98" t="n">
        <v>0</v>
      </c>
      <c r="Q789" s="98" t="n">
        <v>0</v>
      </c>
    </row>
    <row r="790">
      <c r="A790" t="inlineStr">
        <is>
          <t>2024-09</t>
        </is>
      </c>
      <c r="B790" t="inlineStr">
        <is>
          <t>September</t>
        </is>
      </c>
      <c r="C790" t="n">
        <v>9</v>
      </c>
      <c r="D790" t="inlineStr">
        <is>
          <t>T3</t>
        </is>
      </c>
      <c r="E790" t="inlineStr">
        <is>
          <t>Gjenstående budsjett</t>
        </is>
      </c>
      <c r="F790" t="inlineStr">
        <is>
          <t>Kommunal Boenhet</t>
        </is>
      </c>
      <c r="G790" t="n">
        <v>254</v>
      </c>
      <c r="H790" t="inlineStr">
        <is>
          <t>Helse og mestring</t>
        </is>
      </c>
      <c r="I790" t="inlineStr">
        <is>
          <t>2 Utgifter</t>
        </is>
      </c>
      <c r="J790" t="inlineStr">
        <is>
          <t>11 Refusjon lønn</t>
        </is>
      </c>
      <c r="K790" t="n">
        <v>1195</v>
      </c>
      <c r="L790" t="n">
        <v>119590</v>
      </c>
      <c r="M790" t="inlineStr">
        <is>
          <t>Andre avgifter, gebyrer og lisenser</t>
        </is>
      </c>
      <c r="N790" s="98" t="n">
        <v>0</v>
      </c>
      <c r="O790" s="98" t="n">
        <v>0</v>
      </c>
      <c r="P790" s="98" t="n">
        <v>0</v>
      </c>
      <c r="Q790" s="98" t="n">
        <v>0</v>
      </c>
    </row>
    <row r="791">
      <c r="A791" t="inlineStr">
        <is>
          <t>2024-10</t>
        </is>
      </c>
      <c r="B791" t="inlineStr">
        <is>
          <t>Oktober</t>
        </is>
      </c>
      <c r="C791" t="n">
        <v>10</v>
      </c>
      <c r="D791" t="inlineStr">
        <is>
          <t>T3</t>
        </is>
      </c>
      <c r="E791" t="inlineStr">
        <is>
          <t>Gjenstående budsjett</t>
        </is>
      </c>
      <c r="F791" t="inlineStr">
        <is>
          <t>Kommunal Boenhet</t>
        </is>
      </c>
      <c r="G791" t="n">
        <v>254</v>
      </c>
      <c r="H791" t="inlineStr">
        <is>
          <t>Helse og mestring</t>
        </is>
      </c>
      <c r="I791" t="inlineStr">
        <is>
          <t>2 Utgifter</t>
        </is>
      </c>
      <c r="J791" t="inlineStr">
        <is>
          <t>11 Refusjon lønn</t>
        </is>
      </c>
      <c r="K791" t="n">
        <v>1195</v>
      </c>
      <c r="L791" t="n">
        <v>119590</v>
      </c>
      <c r="M791" t="inlineStr">
        <is>
          <t>Andre avgifter, gebyrer og lisenser</t>
        </is>
      </c>
      <c r="N791" s="98" t="n">
        <v>0</v>
      </c>
      <c r="O791" s="98" t="n">
        <v>0</v>
      </c>
      <c r="P791" s="98" t="n">
        <v>0</v>
      </c>
      <c r="Q791" s="98" t="n">
        <v>0</v>
      </c>
    </row>
    <row r="792">
      <c r="A792" t="inlineStr">
        <is>
          <t>2024-11</t>
        </is>
      </c>
      <c r="B792" t="inlineStr">
        <is>
          <t>November</t>
        </is>
      </c>
      <c r="C792" t="n">
        <v>11</v>
      </c>
      <c r="D792" t="inlineStr">
        <is>
          <t>T3</t>
        </is>
      </c>
      <c r="E792" t="inlineStr">
        <is>
          <t>Gjenstående budsjett</t>
        </is>
      </c>
      <c r="F792" t="inlineStr">
        <is>
          <t>Kommunal Boenhet</t>
        </is>
      </c>
      <c r="G792" t="n">
        <v>254</v>
      </c>
      <c r="H792" t="inlineStr">
        <is>
          <t>Helse og mestring</t>
        </is>
      </c>
      <c r="I792" t="inlineStr">
        <is>
          <t>2 Utgifter</t>
        </is>
      </c>
      <c r="J792" t="inlineStr">
        <is>
          <t>11 Refusjon lønn</t>
        </is>
      </c>
      <c r="K792" t="n">
        <v>1195</v>
      </c>
      <c r="L792" t="n">
        <v>119590</v>
      </c>
      <c r="M792" t="inlineStr">
        <is>
          <t>Andre avgifter, gebyrer og lisenser</t>
        </is>
      </c>
      <c r="N792" s="98" t="n">
        <v>0</v>
      </c>
      <c r="O792" s="98" t="n">
        <v>0</v>
      </c>
      <c r="P792" s="98" t="n">
        <v>0</v>
      </c>
      <c r="Q792" s="98" t="n">
        <v>0</v>
      </c>
    </row>
    <row r="793">
      <c r="A793" t="inlineStr">
        <is>
          <t>2024-12</t>
        </is>
      </c>
      <c r="B793" t="inlineStr">
        <is>
          <t>Desember</t>
        </is>
      </c>
      <c r="C793" t="n">
        <v>12</v>
      </c>
      <c r="D793" t="inlineStr">
        <is>
          <t>T3</t>
        </is>
      </c>
      <c r="E793" t="inlineStr">
        <is>
          <t>Gjenstående budsjett</t>
        </is>
      </c>
      <c r="F793" t="inlineStr">
        <is>
          <t>Kommunal Boenhet</t>
        </is>
      </c>
      <c r="G793" t="n">
        <v>254</v>
      </c>
      <c r="H793" t="inlineStr">
        <is>
          <t>Helse og mestring</t>
        </is>
      </c>
      <c r="I793" t="inlineStr">
        <is>
          <t>2 Utgifter</t>
        </is>
      </c>
      <c r="J793" t="inlineStr">
        <is>
          <t>11 Refusjon lønn</t>
        </is>
      </c>
      <c r="K793" t="n">
        <v>1195</v>
      </c>
      <c r="L793" t="n">
        <v>119590</v>
      </c>
      <c r="M793" t="inlineStr">
        <is>
          <t>Andre avgifter, gebyrer og lisenser</t>
        </is>
      </c>
      <c r="N793" s="98" t="n">
        <v>0</v>
      </c>
      <c r="O793" s="98" t="n">
        <v>0</v>
      </c>
      <c r="P793" s="98" t="n">
        <v>0</v>
      </c>
      <c r="Q793" s="98" t="n">
        <v>0</v>
      </c>
    </row>
    <row r="794">
      <c r="A794" t="inlineStr">
        <is>
          <t>2024-01</t>
        </is>
      </c>
      <c r="B794" t="inlineStr">
        <is>
          <t>Januar</t>
        </is>
      </c>
      <c r="C794" t="n">
        <v>1</v>
      </c>
      <c r="D794" t="inlineStr">
        <is>
          <t>T1</t>
        </is>
      </c>
      <c r="E794" t="inlineStr">
        <is>
          <t>Bokført</t>
        </is>
      </c>
      <c r="F794" t="inlineStr">
        <is>
          <t>Kommunal Boenhet</t>
        </is>
      </c>
      <c r="G794" t="n">
        <v>254</v>
      </c>
      <c r="H794" t="inlineStr">
        <is>
          <t>Helse og mestring</t>
        </is>
      </c>
      <c r="I794" t="inlineStr">
        <is>
          <t>2 Utgifter</t>
        </is>
      </c>
      <c r="J794" t="inlineStr">
        <is>
          <t>11 Refusjon lønn</t>
        </is>
      </c>
      <c r="K794" t="n">
        <v>1200</v>
      </c>
      <c r="L794" t="n">
        <v>120000</v>
      </c>
      <c r="M794" t="inlineStr">
        <is>
          <t>Inventar - møbler, madrasser</t>
        </is>
      </c>
      <c r="N794" s="98" t="n">
        <v>4078</v>
      </c>
      <c r="O794" s="98" t="n">
        <v>0</v>
      </c>
      <c r="P794" s="98" t="n">
        <v>4078</v>
      </c>
      <c r="Q794" s="98" t="n">
        <v>-4078</v>
      </c>
    </row>
    <row r="795">
      <c r="A795" t="inlineStr">
        <is>
          <t>2024-02</t>
        </is>
      </c>
      <c r="B795" t="inlineStr">
        <is>
          <t>Februar</t>
        </is>
      </c>
      <c r="C795" t="n">
        <v>2</v>
      </c>
      <c r="D795" t="inlineStr">
        <is>
          <t>T1</t>
        </is>
      </c>
      <c r="E795" t="inlineStr">
        <is>
          <t>Bokført</t>
        </is>
      </c>
      <c r="F795" t="inlineStr">
        <is>
          <t>Kommunal Boenhet</t>
        </is>
      </c>
      <c r="G795" t="n">
        <v>254</v>
      </c>
      <c r="H795" t="inlineStr">
        <is>
          <t>Helse og mestring</t>
        </is>
      </c>
      <c r="I795" t="inlineStr">
        <is>
          <t>2 Utgifter</t>
        </is>
      </c>
      <c r="J795" t="inlineStr">
        <is>
          <t>11 Refusjon lønn</t>
        </is>
      </c>
      <c r="K795" t="n">
        <v>1200</v>
      </c>
      <c r="L795" t="n">
        <v>120000</v>
      </c>
      <c r="M795" t="inlineStr">
        <is>
          <t>Inventar - møbler, madrasser</t>
        </is>
      </c>
      <c r="N795" s="98" t="n">
        <v>4078</v>
      </c>
      <c r="O795" s="98" t="n">
        <v>0</v>
      </c>
      <c r="P795" s="98" t="n">
        <v>4078</v>
      </c>
      <c r="Q795" s="98" t="n">
        <v>-4078</v>
      </c>
    </row>
    <row r="796">
      <c r="A796" t="inlineStr">
        <is>
          <t>2024-03</t>
        </is>
      </c>
      <c r="B796" t="inlineStr">
        <is>
          <t>Mars</t>
        </is>
      </c>
      <c r="C796" t="n">
        <v>3</v>
      </c>
      <c r="D796" t="inlineStr">
        <is>
          <t>T1</t>
        </is>
      </c>
      <c r="E796" t="inlineStr">
        <is>
          <t>Bokført</t>
        </is>
      </c>
      <c r="F796" t="inlineStr">
        <is>
          <t>Kommunal Boenhet</t>
        </is>
      </c>
      <c r="G796" t="n">
        <v>254</v>
      </c>
      <c r="H796" t="inlineStr">
        <is>
          <t>Helse og mestring</t>
        </is>
      </c>
      <c r="I796" t="inlineStr">
        <is>
          <t>2 Utgifter</t>
        </is>
      </c>
      <c r="J796" t="inlineStr">
        <is>
          <t>11 Refusjon lønn</t>
        </is>
      </c>
      <c r="K796" t="n">
        <v>1200</v>
      </c>
      <c r="L796" t="n">
        <v>120000</v>
      </c>
      <c r="M796" t="inlineStr">
        <is>
          <t>Inventar - møbler, madrasser</t>
        </is>
      </c>
      <c r="N796" s="98" t="n">
        <v>4078</v>
      </c>
      <c r="O796" s="98" t="n">
        <v>0</v>
      </c>
      <c r="P796" s="98" t="n">
        <v>4078</v>
      </c>
      <c r="Q796" s="98" t="n">
        <v>-4078</v>
      </c>
    </row>
    <row r="797">
      <c r="A797" t="inlineStr">
        <is>
          <t>2024-04</t>
        </is>
      </c>
      <c r="B797" t="inlineStr">
        <is>
          <t>April</t>
        </is>
      </c>
      <c r="C797" t="n">
        <v>4</v>
      </c>
      <c r="D797" t="inlineStr">
        <is>
          <t>T1</t>
        </is>
      </c>
      <c r="E797" t="inlineStr">
        <is>
          <t>Bokført</t>
        </is>
      </c>
      <c r="F797" t="inlineStr">
        <is>
          <t>Kommunal Boenhet</t>
        </is>
      </c>
      <c r="G797" t="n">
        <v>254</v>
      </c>
      <c r="H797" t="inlineStr">
        <is>
          <t>Helse og mestring</t>
        </is>
      </c>
      <c r="I797" t="inlineStr">
        <is>
          <t>2 Utgifter</t>
        </is>
      </c>
      <c r="J797" t="inlineStr">
        <is>
          <t>11 Refusjon lønn</t>
        </is>
      </c>
      <c r="K797" t="n">
        <v>1200</v>
      </c>
      <c r="L797" t="n">
        <v>120000</v>
      </c>
      <c r="M797" t="inlineStr">
        <is>
          <t>Inventar - møbler, madrasser</t>
        </is>
      </c>
      <c r="N797" s="98" t="n">
        <v>4078</v>
      </c>
      <c r="O797" s="98" t="n">
        <v>0</v>
      </c>
      <c r="P797" s="98" t="n">
        <v>4078</v>
      </c>
      <c r="Q797" s="98" t="n">
        <v>-4078</v>
      </c>
    </row>
    <row r="798">
      <c r="A798" t="inlineStr">
        <is>
          <t>2024-05</t>
        </is>
      </c>
      <c r="B798" t="inlineStr">
        <is>
          <t>Mai</t>
        </is>
      </c>
      <c r="C798" t="n">
        <v>5</v>
      </c>
      <c r="D798" t="inlineStr">
        <is>
          <t>T2</t>
        </is>
      </c>
      <c r="E798" t="inlineStr">
        <is>
          <t>Bokført</t>
        </is>
      </c>
      <c r="F798" t="inlineStr">
        <is>
          <t>Kommunal Boenhet</t>
        </is>
      </c>
      <c r="G798" t="n">
        <v>254</v>
      </c>
      <c r="H798" t="inlineStr">
        <is>
          <t>Helse og mestring</t>
        </is>
      </c>
      <c r="I798" t="inlineStr">
        <is>
          <t>2 Utgifter</t>
        </is>
      </c>
      <c r="J798" t="inlineStr">
        <is>
          <t>11 Refusjon lønn</t>
        </is>
      </c>
      <c r="K798" t="n">
        <v>1200</v>
      </c>
      <c r="L798" t="n">
        <v>120000</v>
      </c>
      <c r="M798" t="inlineStr">
        <is>
          <t>Inventar - møbler, madrasser</t>
        </is>
      </c>
      <c r="N798" s="98" t="n">
        <v>4078</v>
      </c>
      <c r="O798" s="98" t="n">
        <v>0</v>
      </c>
      <c r="P798" s="98" t="n">
        <v>4078</v>
      </c>
      <c r="Q798" s="98" t="n">
        <v>-4078</v>
      </c>
    </row>
    <row r="799">
      <c r="A799" t="inlineStr">
        <is>
          <t>2024-06</t>
        </is>
      </c>
      <c r="B799" t="inlineStr">
        <is>
          <t>Juni</t>
        </is>
      </c>
      <c r="C799" t="n">
        <v>6</v>
      </c>
      <c r="D799" t="inlineStr">
        <is>
          <t>T2</t>
        </is>
      </c>
      <c r="E799" t="inlineStr">
        <is>
          <t>Bokført</t>
        </is>
      </c>
      <c r="F799" t="inlineStr">
        <is>
          <t>Kommunal Boenhet</t>
        </is>
      </c>
      <c r="G799" t="n">
        <v>254</v>
      </c>
      <c r="H799" t="inlineStr">
        <is>
          <t>Helse og mestring</t>
        </is>
      </c>
      <c r="I799" t="inlineStr">
        <is>
          <t>2 Utgifter</t>
        </is>
      </c>
      <c r="J799" t="inlineStr">
        <is>
          <t>11 Refusjon lønn</t>
        </is>
      </c>
      <c r="K799" t="n">
        <v>1200</v>
      </c>
      <c r="L799" t="n">
        <v>120000</v>
      </c>
      <c r="M799" t="inlineStr">
        <is>
          <t>Inventar - møbler, madrasser</t>
        </is>
      </c>
      <c r="N799" s="98" t="n">
        <v>4078</v>
      </c>
      <c r="O799" s="98" t="n">
        <v>0</v>
      </c>
      <c r="P799" s="98" t="n">
        <v>4078</v>
      </c>
      <c r="Q799" s="98" t="n">
        <v>-4078</v>
      </c>
    </row>
    <row r="800">
      <c r="A800" t="inlineStr">
        <is>
          <t>2024-07</t>
        </is>
      </c>
      <c r="B800" t="inlineStr">
        <is>
          <t>Juli</t>
        </is>
      </c>
      <c r="C800" t="n">
        <v>7</v>
      </c>
      <c r="D800" t="inlineStr">
        <is>
          <t>T2</t>
        </is>
      </c>
      <c r="E800" t="inlineStr">
        <is>
          <t>Bokført</t>
        </is>
      </c>
      <c r="F800" t="inlineStr">
        <is>
          <t>Kommunal Boenhet</t>
        </is>
      </c>
      <c r="G800" t="n">
        <v>254</v>
      </c>
      <c r="H800" t="inlineStr">
        <is>
          <t>Helse og mestring</t>
        </is>
      </c>
      <c r="I800" t="inlineStr">
        <is>
          <t>2 Utgifter</t>
        </is>
      </c>
      <c r="J800" t="inlineStr">
        <is>
          <t>11 Refusjon lønn</t>
        </is>
      </c>
      <c r="K800" t="n">
        <v>1200</v>
      </c>
      <c r="L800" t="n">
        <v>120000</v>
      </c>
      <c r="M800" t="inlineStr">
        <is>
          <t>Inventar - møbler, madrasser</t>
        </is>
      </c>
      <c r="N800" s="98" t="n">
        <v>4078</v>
      </c>
      <c r="O800" s="98" t="n">
        <v>0</v>
      </c>
      <c r="P800" s="98" t="n">
        <v>4078</v>
      </c>
      <c r="Q800" s="98" t="n">
        <v>-4078</v>
      </c>
    </row>
    <row r="801">
      <c r="A801" t="inlineStr">
        <is>
          <t>2024-08</t>
        </is>
      </c>
      <c r="B801" t="inlineStr">
        <is>
          <t>August</t>
        </is>
      </c>
      <c r="C801" t="n">
        <v>8</v>
      </c>
      <c r="D801" t="inlineStr">
        <is>
          <t>T2</t>
        </is>
      </c>
      <c r="E801" t="inlineStr">
        <is>
          <t>Bokført</t>
        </is>
      </c>
      <c r="F801" t="inlineStr">
        <is>
          <t>Kommunal Boenhet</t>
        </is>
      </c>
      <c r="G801" t="n">
        <v>254</v>
      </c>
      <c r="H801" t="inlineStr">
        <is>
          <t>Helse og mestring</t>
        </is>
      </c>
      <c r="I801" t="inlineStr">
        <is>
          <t>2 Utgifter</t>
        </is>
      </c>
      <c r="J801" t="inlineStr">
        <is>
          <t>11 Refusjon lønn</t>
        </is>
      </c>
      <c r="K801" t="n">
        <v>1200</v>
      </c>
      <c r="L801" t="n">
        <v>120000</v>
      </c>
      <c r="M801" t="inlineStr">
        <is>
          <t>Inventar - møbler, madrasser</t>
        </is>
      </c>
      <c r="N801" s="98" t="n">
        <v>4078</v>
      </c>
      <c r="O801" s="98" t="n">
        <v>0</v>
      </c>
      <c r="P801" s="98" t="n">
        <v>4078</v>
      </c>
      <c r="Q801" s="98" t="n">
        <v>-4078</v>
      </c>
    </row>
    <row r="802">
      <c r="A802" t="inlineStr">
        <is>
          <t>2024-09</t>
        </is>
      </c>
      <c r="B802" t="inlineStr">
        <is>
          <t>September</t>
        </is>
      </c>
      <c r="C802" t="n">
        <v>9</v>
      </c>
      <c r="D802" t="inlineStr">
        <is>
          <t>T3</t>
        </is>
      </c>
      <c r="E802" t="inlineStr">
        <is>
          <t>Gjenstående budsjett</t>
        </is>
      </c>
      <c r="F802" t="inlineStr">
        <is>
          <t>Kommunal Boenhet</t>
        </is>
      </c>
      <c r="G802" t="n">
        <v>254</v>
      </c>
      <c r="H802" t="inlineStr">
        <is>
          <t>Helse og mestring</t>
        </is>
      </c>
      <c r="I802" t="inlineStr">
        <is>
          <t>2 Utgifter</t>
        </is>
      </c>
      <c r="J802" t="inlineStr">
        <is>
          <t>11 Refusjon lønn</t>
        </is>
      </c>
      <c r="K802" t="n">
        <v>1200</v>
      </c>
      <c r="L802" t="n">
        <v>120000</v>
      </c>
      <c r="M802" t="inlineStr">
        <is>
          <t>Inventar - møbler, madrasser</t>
        </is>
      </c>
      <c r="N802" s="98" t="n">
        <v>4078</v>
      </c>
      <c r="O802" s="98" t="n">
        <v>0</v>
      </c>
      <c r="P802" s="98" t="n">
        <v>0</v>
      </c>
      <c r="Q802" s="98" t="n">
        <v>-4078</v>
      </c>
    </row>
    <row r="803">
      <c r="A803" t="inlineStr">
        <is>
          <t>2024-10</t>
        </is>
      </c>
      <c r="B803" t="inlineStr">
        <is>
          <t>Oktober</t>
        </is>
      </c>
      <c r="C803" t="n">
        <v>10</v>
      </c>
      <c r="D803" t="inlineStr">
        <is>
          <t>T3</t>
        </is>
      </c>
      <c r="E803" t="inlineStr">
        <is>
          <t>Gjenstående budsjett</t>
        </is>
      </c>
      <c r="F803" t="inlineStr">
        <is>
          <t>Kommunal Boenhet</t>
        </is>
      </c>
      <c r="G803" t="n">
        <v>254</v>
      </c>
      <c r="H803" t="inlineStr">
        <is>
          <t>Helse og mestring</t>
        </is>
      </c>
      <c r="I803" t="inlineStr">
        <is>
          <t>2 Utgifter</t>
        </is>
      </c>
      <c r="J803" t="inlineStr">
        <is>
          <t>11 Refusjon lønn</t>
        </is>
      </c>
      <c r="K803" t="n">
        <v>1200</v>
      </c>
      <c r="L803" t="n">
        <v>120000</v>
      </c>
      <c r="M803" t="inlineStr">
        <is>
          <t>Inventar - møbler, madrasser</t>
        </is>
      </c>
      <c r="N803" s="98" t="n">
        <v>4078</v>
      </c>
      <c r="O803" s="98" t="n">
        <v>0</v>
      </c>
      <c r="P803" s="98" t="n">
        <v>0</v>
      </c>
      <c r="Q803" s="98" t="n">
        <v>-4078</v>
      </c>
    </row>
    <row r="804">
      <c r="A804" t="inlineStr">
        <is>
          <t>2024-11</t>
        </is>
      </c>
      <c r="B804" t="inlineStr">
        <is>
          <t>November</t>
        </is>
      </c>
      <c r="C804" t="n">
        <v>11</v>
      </c>
      <c r="D804" t="inlineStr">
        <is>
          <t>T3</t>
        </is>
      </c>
      <c r="E804" t="inlineStr">
        <is>
          <t>Gjenstående budsjett</t>
        </is>
      </c>
      <c r="F804" t="inlineStr">
        <is>
          <t>Kommunal Boenhet</t>
        </is>
      </c>
      <c r="G804" t="n">
        <v>254</v>
      </c>
      <c r="H804" t="inlineStr">
        <is>
          <t>Helse og mestring</t>
        </is>
      </c>
      <c r="I804" t="inlineStr">
        <is>
          <t>2 Utgifter</t>
        </is>
      </c>
      <c r="J804" t="inlineStr">
        <is>
          <t>11 Refusjon lønn</t>
        </is>
      </c>
      <c r="K804" t="n">
        <v>1200</v>
      </c>
      <c r="L804" t="n">
        <v>120000</v>
      </c>
      <c r="M804" t="inlineStr">
        <is>
          <t>Inventar - møbler, madrasser</t>
        </is>
      </c>
      <c r="N804" s="98" t="n">
        <v>4078</v>
      </c>
      <c r="O804" s="98" t="n">
        <v>0</v>
      </c>
      <c r="P804" s="98" t="n">
        <v>0</v>
      </c>
      <c r="Q804" s="98" t="n">
        <v>-4078</v>
      </c>
    </row>
    <row r="805">
      <c r="A805" t="inlineStr">
        <is>
          <t>2024-12</t>
        </is>
      </c>
      <c r="B805" t="inlineStr">
        <is>
          <t>Desember</t>
        </is>
      </c>
      <c r="C805" t="n">
        <v>12</v>
      </c>
      <c r="D805" t="inlineStr">
        <is>
          <t>T3</t>
        </is>
      </c>
      <c r="E805" t="inlineStr">
        <is>
          <t>Gjenstående budsjett</t>
        </is>
      </c>
      <c r="F805" t="inlineStr">
        <is>
          <t>Kommunal Boenhet</t>
        </is>
      </c>
      <c r="G805" t="n">
        <v>254</v>
      </c>
      <c r="H805" t="inlineStr">
        <is>
          <t>Helse og mestring</t>
        </is>
      </c>
      <c r="I805" t="inlineStr">
        <is>
          <t>2 Utgifter</t>
        </is>
      </c>
      <c r="J805" t="inlineStr">
        <is>
          <t>11 Refusjon lønn</t>
        </is>
      </c>
      <c r="K805" t="n">
        <v>1200</v>
      </c>
      <c r="L805" t="n">
        <v>120000</v>
      </c>
      <c r="M805" t="inlineStr">
        <is>
          <t>Inventar - møbler, madrasser</t>
        </is>
      </c>
      <c r="N805" s="98" t="n">
        <v>4142</v>
      </c>
      <c r="O805" s="98" t="n">
        <v>0</v>
      </c>
      <c r="P805" s="98" t="n">
        <v>0</v>
      </c>
      <c r="Q805" s="98" t="n">
        <v>-4142</v>
      </c>
    </row>
    <row r="806">
      <c r="A806" t="inlineStr">
        <is>
          <t>2024-01</t>
        </is>
      </c>
      <c r="B806" t="inlineStr">
        <is>
          <t>Januar</t>
        </is>
      </c>
      <c r="C806" t="n">
        <v>1</v>
      </c>
      <c r="D806" t="inlineStr">
        <is>
          <t>T1</t>
        </is>
      </c>
      <c r="E806" t="inlineStr">
        <is>
          <t>Bokført</t>
        </is>
      </c>
      <c r="F806" t="inlineStr">
        <is>
          <t>Kommunal Boenhet</t>
        </is>
      </c>
      <c r="G806" t="n">
        <v>254</v>
      </c>
      <c r="H806" t="inlineStr">
        <is>
          <t>Helse og mestring</t>
        </is>
      </c>
      <c r="I806" t="inlineStr">
        <is>
          <t>2 Utgifter</t>
        </is>
      </c>
      <c r="J806" t="inlineStr">
        <is>
          <t>11 Refusjon lønn</t>
        </is>
      </c>
      <c r="K806" t="n">
        <v>1200</v>
      </c>
      <c r="L806" t="n">
        <v>120010</v>
      </c>
      <c r="M806" t="inlineStr">
        <is>
          <t>Datautstyr, ikke elev-pcer</t>
        </is>
      </c>
      <c r="N806" s="98" t="n">
        <v>1164</v>
      </c>
      <c r="O806" s="98" t="n">
        <v>0</v>
      </c>
      <c r="P806" s="98" t="n">
        <v>1164</v>
      </c>
      <c r="Q806" s="98" t="n">
        <v>-1164</v>
      </c>
    </row>
    <row r="807">
      <c r="A807" t="inlineStr">
        <is>
          <t>2024-02</t>
        </is>
      </c>
      <c r="B807" t="inlineStr">
        <is>
          <t>Februar</t>
        </is>
      </c>
      <c r="C807" t="n">
        <v>2</v>
      </c>
      <c r="D807" t="inlineStr">
        <is>
          <t>T1</t>
        </is>
      </c>
      <c r="E807" t="inlineStr">
        <is>
          <t>Bokført</t>
        </is>
      </c>
      <c r="F807" t="inlineStr">
        <is>
          <t>Kommunal Boenhet</t>
        </is>
      </c>
      <c r="G807" t="n">
        <v>254</v>
      </c>
      <c r="H807" t="inlineStr">
        <is>
          <t>Helse og mestring</t>
        </is>
      </c>
      <c r="I807" t="inlineStr">
        <is>
          <t>2 Utgifter</t>
        </is>
      </c>
      <c r="J807" t="inlineStr">
        <is>
          <t>11 Refusjon lønn</t>
        </is>
      </c>
      <c r="K807" t="n">
        <v>1200</v>
      </c>
      <c r="L807" t="n">
        <v>120010</v>
      </c>
      <c r="M807" t="inlineStr">
        <is>
          <t>Datautstyr, ikke elev-pcer</t>
        </is>
      </c>
      <c r="N807" s="98" t="n">
        <v>1164</v>
      </c>
      <c r="O807" s="98" t="n">
        <v>4026</v>
      </c>
      <c r="P807" s="98" t="n">
        <v>-2862</v>
      </c>
      <c r="Q807" s="98" t="n">
        <v>2862</v>
      </c>
    </row>
    <row r="808">
      <c r="A808" t="inlineStr">
        <is>
          <t>2024-03</t>
        </is>
      </c>
      <c r="B808" t="inlineStr">
        <is>
          <t>Mars</t>
        </is>
      </c>
      <c r="C808" t="n">
        <v>3</v>
      </c>
      <c r="D808" t="inlineStr">
        <is>
          <t>T1</t>
        </is>
      </c>
      <c r="E808" t="inlineStr">
        <is>
          <t>Bokført</t>
        </is>
      </c>
      <c r="F808" t="inlineStr">
        <is>
          <t>Kommunal Boenhet</t>
        </is>
      </c>
      <c r="G808" t="n">
        <v>254</v>
      </c>
      <c r="H808" t="inlineStr">
        <is>
          <t>Helse og mestring</t>
        </is>
      </c>
      <c r="I808" t="inlineStr">
        <is>
          <t>2 Utgifter</t>
        </is>
      </c>
      <c r="J808" t="inlineStr">
        <is>
          <t>11 Refusjon lønn</t>
        </is>
      </c>
      <c r="K808" t="n">
        <v>1200</v>
      </c>
      <c r="L808" t="n">
        <v>120010</v>
      </c>
      <c r="M808" t="inlineStr">
        <is>
          <t>Datautstyr, ikke elev-pcer</t>
        </is>
      </c>
      <c r="N808" s="98" t="n">
        <v>1164</v>
      </c>
      <c r="O808" s="98" t="n">
        <v>0</v>
      </c>
      <c r="P808" s="98" t="n">
        <v>1164</v>
      </c>
      <c r="Q808" s="98" t="n">
        <v>-1164</v>
      </c>
    </row>
    <row r="809">
      <c r="A809" t="inlineStr">
        <is>
          <t>2024-04</t>
        </is>
      </c>
      <c r="B809" t="inlineStr">
        <is>
          <t>April</t>
        </is>
      </c>
      <c r="C809" t="n">
        <v>4</v>
      </c>
      <c r="D809" t="inlineStr">
        <is>
          <t>T1</t>
        </is>
      </c>
      <c r="E809" t="inlineStr">
        <is>
          <t>Bokført</t>
        </is>
      </c>
      <c r="F809" t="inlineStr">
        <is>
          <t>Kommunal Boenhet</t>
        </is>
      </c>
      <c r="G809" t="n">
        <v>254</v>
      </c>
      <c r="H809" t="inlineStr">
        <is>
          <t>Helse og mestring</t>
        </is>
      </c>
      <c r="I809" t="inlineStr">
        <is>
          <t>2 Utgifter</t>
        </is>
      </c>
      <c r="J809" t="inlineStr">
        <is>
          <t>11 Refusjon lønn</t>
        </is>
      </c>
      <c r="K809" t="n">
        <v>1200</v>
      </c>
      <c r="L809" t="n">
        <v>120010</v>
      </c>
      <c r="M809" t="inlineStr">
        <is>
          <t>Datautstyr, ikke elev-pcer</t>
        </is>
      </c>
      <c r="N809" s="98" t="n">
        <v>1164</v>
      </c>
      <c r="O809" s="98" t="n">
        <v>0</v>
      </c>
      <c r="P809" s="98" t="n">
        <v>1164</v>
      </c>
      <c r="Q809" s="98" t="n">
        <v>-1164</v>
      </c>
    </row>
    <row r="810">
      <c r="A810" t="inlineStr">
        <is>
          <t>2024-05</t>
        </is>
      </c>
      <c r="B810" t="inlineStr">
        <is>
          <t>Mai</t>
        </is>
      </c>
      <c r="C810" t="n">
        <v>5</v>
      </c>
      <c r="D810" t="inlineStr">
        <is>
          <t>T2</t>
        </is>
      </c>
      <c r="E810" t="inlineStr">
        <is>
          <t>Bokført</t>
        </is>
      </c>
      <c r="F810" t="inlineStr">
        <is>
          <t>Kommunal Boenhet</t>
        </is>
      </c>
      <c r="G810" t="n">
        <v>254</v>
      </c>
      <c r="H810" t="inlineStr">
        <is>
          <t>Helse og mestring</t>
        </is>
      </c>
      <c r="I810" t="inlineStr">
        <is>
          <t>2 Utgifter</t>
        </is>
      </c>
      <c r="J810" t="inlineStr">
        <is>
          <t>11 Refusjon lønn</t>
        </is>
      </c>
      <c r="K810" t="n">
        <v>1200</v>
      </c>
      <c r="L810" t="n">
        <v>120010</v>
      </c>
      <c r="M810" t="inlineStr">
        <is>
          <t>Datautstyr, ikke elev-pcer</t>
        </is>
      </c>
      <c r="N810" s="98" t="n">
        <v>1164</v>
      </c>
      <c r="O810" s="98" t="n">
        <v>0</v>
      </c>
      <c r="P810" s="98" t="n">
        <v>1164</v>
      </c>
      <c r="Q810" s="98" t="n">
        <v>-1164</v>
      </c>
    </row>
    <row r="811">
      <c r="A811" t="inlineStr">
        <is>
          <t>2024-06</t>
        </is>
      </c>
      <c r="B811" t="inlineStr">
        <is>
          <t>Juni</t>
        </is>
      </c>
      <c r="C811" t="n">
        <v>6</v>
      </c>
      <c r="D811" t="inlineStr">
        <is>
          <t>T2</t>
        </is>
      </c>
      <c r="E811" t="inlineStr">
        <is>
          <t>Bokført</t>
        </is>
      </c>
      <c r="F811" t="inlineStr">
        <is>
          <t>Kommunal Boenhet</t>
        </is>
      </c>
      <c r="G811" t="n">
        <v>254</v>
      </c>
      <c r="H811" t="inlineStr">
        <is>
          <t>Helse og mestring</t>
        </is>
      </c>
      <c r="I811" t="inlineStr">
        <is>
          <t>2 Utgifter</t>
        </is>
      </c>
      <c r="J811" t="inlineStr">
        <is>
          <t>11 Refusjon lønn</t>
        </is>
      </c>
      <c r="K811" t="n">
        <v>1200</v>
      </c>
      <c r="L811" t="n">
        <v>120010</v>
      </c>
      <c r="M811" t="inlineStr">
        <is>
          <t>Datautstyr, ikke elev-pcer</t>
        </is>
      </c>
      <c r="N811" s="98" t="n">
        <v>1164</v>
      </c>
      <c r="O811" s="98" t="n">
        <v>0</v>
      </c>
      <c r="P811" s="98" t="n">
        <v>1164</v>
      </c>
      <c r="Q811" s="98" t="n">
        <v>-1164</v>
      </c>
    </row>
    <row r="812">
      <c r="A812" t="inlineStr">
        <is>
          <t>2024-07</t>
        </is>
      </c>
      <c r="B812" t="inlineStr">
        <is>
          <t>Juli</t>
        </is>
      </c>
      <c r="C812" t="n">
        <v>7</v>
      </c>
      <c r="D812" t="inlineStr">
        <is>
          <t>T2</t>
        </is>
      </c>
      <c r="E812" t="inlineStr">
        <is>
          <t>Bokført</t>
        </is>
      </c>
      <c r="F812" t="inlineStr">
        <is>
          <t>Kommunal Boenhet</t>
        </is>
      </c>
      <c r="G812" t="n">
        <v>254</v>
      </c>
      <c r="H812" t="inlineStr">
        <is>
          <t>Helse og mestring</t>
        </is>
      </c>
      <c r="I812" t="inlineStr">
        <is>
          <t>2 Utgifter</t>
        </is>
      </c>
      <c r="J812" t="inlineStr">
        <is>
          <t>11 Refusjon lønn</t>
        </is>
      </c>
      <c r="K812" t="n">
        <v>1200</v>
      </c>
      <c r="L812" t="n">
        <v>120010</v>
      </c>
      <c r="M812" t="inlineStr">
        <is>
          <t>Datautstyr, ikke elev-pcer</t>
        </is>
      </c>
      <c r="N812" s="98" t="n">
        <v>1164</v>
      </c>
      <c r="O812" s="98" t="n">
        <v>0</v>
      </c>
      <c r="P812" s="98" t="n">
        <v>1164</v>
      </c>
      <c r="Q812" s="98" t="n">
        <v>-1164</v>
      </c>
    </row>
    <row r="813">
      <c r="A813" t="inlineStr">
        <is>
          <t>2024-08</t>
        </is>
      </c>
      <c r="B813" t="inlineStr">
        <is>
          <t>August</t>
        </is>
      </c>
      <c r="C813" t="n">
        <v>8</v>
      </c>
      <c r="D813" t="inlineStr">
        <is>
          <t>T2</t>
        </is>
      </c>
      <c r="E813" t="inlineStr">
        <is>
          <t>Bokført</t>
        </is>
      </c>
      <c r="F813" t="inlineStr">
        <is>
          <t>Kommunal Boenhet</t>
        </is>
      </c>
      <c r="G813" t="n">
        <v>254</v>
      </c>
      <c r="H813" t="inlineStr">
        <is>
          <t>Helse og mestring</t>
        </is>
      </c>
      <c r="I813" t="inlineStr">
        <is>
          <t>2 Utgifter</t>
        </is>
      </c>
      <c r="J813" t="inlineStr">
        <is>
          <t>11 Refusjon lønn</t>
        </is>
      </c>
      <c r="K813" t="n">
        <v>1200</v>
      </c>
      <c r="L813" t="n">
        <v>120010</v>
      </c>
      <c r="M813" t="inlineStr">
        <is>
          <t>Datautstyr, ikke elev-pcer</t>
        </is>
      </c>
      <c r="N813" s="98" t="n">
        <v>1164</v>
      </c>
      <c r="O813" s="98" t="n">
        <v>11046.27</v>
      </c>
      <c r="P813" s="98" t="n">
        <v>-9882.27</v>
      </c>
      <c r="Q813" s="98" t="n">
        <v>9882.27</v>
      </c>
    </row>
    <row r="814">
      <c r="A814" t="inlineStr">
        <is>
          <t>2024-09</t>
        </is>
      </c>
      <c r="B814" t="inlineStr">
        <is>
          <t>September</t>
        </is>
      </c>
      <c r="C814" t="n">
        <v>9</v>
      </c>
      <c r="D814" t="inlineStr">
        <is>
          <t>T3</t>
        </is>
      </c>
      <c r="E814" t="inlineStr">
        <is>
          <t>Gjenstående budsjett</t>
        </is>
      </c>
      <c r="F814" t="inlineStr">
        <is>
          <t>Kommunal Boenhet</t>
        </is>
      </c>
      <c r="G814" t="n">
        <v>254</v>
      </c>
      <c r="H814" t="inlineStr">
        <is>
          <t>Helse og mestring</t>
        </is>
      </c>
      <c r="I814" t="inlineStr">
        <is>
          <t>2 Utgifter</t>
        </is>
      </c>
      <c r="J814" t="inlineStr">
        <is>
          <t>11 Refusjon lønn</t>
        </is>
      </c>
      <c r="K814" t="n">
        <v>1200</v>
      </c>
      <c r="L814" t="n">
        <v>120010</v>
      </c>
      <c r="M814" t="inlineStr">
        <is>
          <t>Datautstyr, ikke elev-pcer</t>
        </is>
      </c>
      <c r="N814" s="98" t="n">
        <v>1164</v>
      </c>
      <c r="O814" s="98" t="n">
        <v>0</v>
      </c>
      <c r="P814" s="98" t="n">
        <v>0</v>
      </c>
      <c r="Q814" s="98" t="n">
        <v>-1164</v>
      </c>
    </row>
    <row r="815">
      <c r="A815" t="inlineStr">
        <is>
          <t>2024-10</t>
        </is>
      </c>
      <c r="B815" t="inlineStr">
        <is>
          <t>Oktober</t>
        </is>
      </c>
      <c r="C815" t="n">
        <v>10</v>
      </c>
      <c r="D815" t="inlineStr">
        <is>
          <t>T3</t>
        </is>
      </c>
      <c r="E815" t="inlineStr">
        <is>
          <t>Gjenstående budsjett</t>
        </is>
      </c>
      <c r="F815" t="inlineStr">
        <is>
          <t>Kommunal Boenhet</t>
        </is>
      </c>
      <c r="G815" t="n">
        <v>254</v>
      </c>
      <c r="H815" t="inlineStr">
        <is>
          <t>Helse og mestring</t>
        </is>
      </c>
      <c r="I815" t="inlineStr">
        <is>
          <t>2 Utgifter</t>
        </is>
      </c>
      <c r="J815" t="inlineStr">
        <is>
          <t>11 Refusjon lønn</t>
        </is>
      </c>
      <c r="K815" t="n">
        <v>1200</v>
      </c>
      <c r="L815" t="n">
        <v>120010</v>
      </c>
      <c r="M815" t="inlineStr">
        <is>
          <t>Datautstyr, ikke elev-pcer</t>
        </is>
      </c>
      <c r="N815" s="98" t="n">
        <v>1164</v>
      </c>
      <c r="O815" s="98" t="n">
        <v>0</v>
      </c>
      <c r="P815" s="98" t="n">
        <v>0</v>
      </c>
      <c r="Q815" s="98" t="n">
        <v>-1164</v>
      </c>
    </row>
    <row r="816">
      <c r="A816" t="inlineStr">
        <is>
          <t>2024-11</t>
        </is>
      </c>
      <c r="B816" t="inlineStr">
        <is>
          <t>November</t>
        </is>
      </c>
      <c r="C816" t="n">
        <v>11</v>
      </c>
      <c r="D816" t="inlineStr">
        <is>
          <t>T3</t>
        </is>
      </c>
      <c r="E816" t="inlineStr">
        <is>
          <t>Gjenstående budsjett</t>
        </is>
      </c>
      <c r="F816" t="inlineStr">
        <is>
          <t>Kommunal Boenhet</t>
        </is>
      </c>
      <c r="G816" t="n">
        <v>254</v>
      </c>
      <c r="H816" t="inlineStr">
        <is>
          <t>Helse og mestring</t>
        </is>
      </c>
      <c r="I816" t="inlineStr">
        <is>
          <t>2 Utgifter</t>
        </is>
      </c>
      <c r="J816" t="inlineStr">
        <is>
          <t>11 Refusjon lønn</t>
        </is>
      </c>
      <c r="K816" t="n">
        <v>1200</v>
      </c>
      <c r="L816" t="n">
        <v>120010</v>
      </c>
      <c r="M816" t="inlineStr">
        <is>
          <t>Datautstyr, ikke elev-pcer</t>
        </is>
      </c>
      <c r="N816" s="98" t="n">
        <v>1164</v>
      </c>
      <c r="O816" s="98" t="n">
        <v>0</v>
      </c>
      <c r="P816" s="98" t="n">
        <v>0</v>
      </c>
      <c r="Q816" s="98" t="n">
        <v>-1164</v>
      </c>
    </row>
    <row r="817">
      <c r="A817" t="inlineStr">
        <is>
          <t>2024-12</t>
        </is>
      </c>
      <c r="B817" t="inlineStr">
        <is>
          <t>Desember</t>
        </is>
      </c>
      <c r="C817" t="n">
        <v>12</v>
      </c>
      <c r="D817" t="inlineStr">
        <is>
          <t>T3</t>
        </is>
      </c>
      <c r="E817" t="inlineStr">
        <is>
          <t>Gjenstående budsjett</t>
        </is>
      </c>
      <c r="F817" t="inlineStr">
        <is>
          <t>Kommunal Boenhet</t>
        </is>
      </c>
      <c r="G817" t="n">
        <v>254</v>
      </c>
      <c r="H817" t="inlineStr">
        <is>
          <t>Helse og mestring</t>
        </is>
      </c>
      <c r="I817" t="inlineStr">
        <is>
          <t>2 Utgifter</t>
        </is>
      </c>
      <c r="J817" t="inlineStr">
        <is>
          <t>11 Refusjon lønn</t>
        </is>
      </c>
      <c r="K817" t="n">
        <v>1200</v>
      </c>
      <c r="L817" t="n">
        <v>120010</v>
      </c>
      <c r="M817" t="inlineStr">
        <is>
          <t>Datautstyr, ikke elev-pcer</t>
        </is>
      </c>
      <c r="N817" s="98" t="n">
        <v>1196</v>
      </c>
      <c r="O817" s="98" t="n">
        <v>0</v>
      </c>
      <c r="P817" s="98" t="n">
        <v>0</v>
      </c>
      <c r="Q817" s="98" t="n">
        <v>-1196</v>
      </c>
    </row>
    <row r="818">
      <c r="A818" t="inlineStr">
        <is>
          <t>2024-01</t>
        </is>
      </c>
      <c r="B818" t="inlineStr">
        <is>
          <t>Januar</t>
        </is>
      </c>
      <c r="C818" t="n">
        <v>1</v>
      </c>
      <c r="D818" t="inlineStr">
        <is>
          <t>T1</t>
        </is>
      </c>
      <c r="E818" t="inlineStr">
        <is>
          <t>Bokført</t>
        </is>
      </c>
      <c r="F818" t="inlineStr">
        <is>
          <t>Kommunal Boenhet</t>
        </is>
      </c>
      <c r="G818" t="n">
        <v>254</v>
      </c>
      <c r="H818" t="inlineStr">
        <is>
          <t>Helse og mestring</t>
        </is>
      </c>
      <c r="I818" t="inlineStr">
        <is>
          <t>2 Utgifter</t>
        </is>
      </c>
      <c r="J818" t="inlineStr">
        <is>
          <t>11 Refusjon lønn</t>
        </is>
      </c>
      <c r="K818" t="n">
        <v>1200</v>
      </c>
      <c r="L818" t="n">
        <v>120015</v>
      </c>
      <c r="M818" t="inlineStr">
        <is>
          <t>Kjøp av mobiltlf / telefon / nettbrett</t>
        </is>
      </c>
      <c r="N818" s="98" t="n">
        <v>1868</v>
      </c>
      <c r="O818" s="98" t="n">
        <v>0</v>
      </c>
      <c r="P818" s="98" t="n">
        <v>1868</v>
      </c>
      <c r="Q818" s="98" t="n">
        <v>-1868</v>
      </c>
    </row>
    <row r="819">
      <c r="A819" t="inlineStr">
        <is>
          <t>2024-02</t>
        </is>
      </c>
      <c r="B819" t="inlineStr">
        <is>
          <t>Februar</t>
        </is>
      </c>
      <c r="C819" t="n">
        <v>2</v>
      </c>
      <c r="D819" t="inlineStr">
        <is>
          <t>T1</t>
        </is>
      </c>
      <c r="E819" t="inlineStr">
        <is>
          <t>Bokført</t>
        </is>
      </c>
      <c r="F819" t="inlineStr">
        <is>
          <t>Kommunal Boenhet</t>
        </is>
      </c>
      <c r="G819" t="n">
        <v>254</v>
      </c>
      <c r="H819" t="inlineStr">
        <is>
          <t>Helse og mestring</t>
        </is>
      </c>
      <c r="I819" t="inlineStr">
        <is>
          <t>2 Utgifter</t>
        </is>
      </c>
      <c r="J819" t="inlineStr">
        <is>
          <t>11 Refusjon lønn</t>
        </is>
      </c>
      <c r="K819" t="n">
        <v>1200</v>
      </c>
      <c r="L819" t="n">
        <v>120015</v>
      </c>
      <c r="M819" t="inlineStr">
        <is>
          <t>Kjøp av mobiltlf / telefon / nettbrett</t>
        </is>
      </c>
      <c r="N819" s="98" t="n">
        <v>1868</v>
      </c>
      <c r="O819" s="98" t="n">
        <v>0</v>
      </c>
      <c r="P819" s="98" t="n">
        <v>1868</v>
      </c>
      <c r="Q819" s="98" t="n">
        <v>-1868</v>
      </c>
    </row>
    <row r="820">
      <c r="A820" t="inlineStr">
        <is>
          <t>2024-03</t>
        </is>
      </c>
      <c r="B820" t="inlineStr">
        <is>
          <t>Mars</t>
        </is>
      </c>
      <c r="C820" t="n">
        <v>3</v>
      </c>
      <c r="D820" t="inlineStr">
        <is>
          <t>T1</t>
        </is>
      </c>
      <c r="E820" t="inlineStr">
        <is>
          <t>Bokført</t>
        </is>
      </c>
      <c r="F820" t="inlineStr">
        <is>
          <t>Kommunal Boenhet</t>
        </is>
      </c>
      <c r="G820" t="n">
        <v>254</v>
      </c>
      <c r="H820" t="inlineStr">
        <is>
          <t>Helse og mestring</t>
        </is>
      </c>
      <c r="I820" t="inlineStr">
        <is>
          <t>2 Utgifter</t>
        </is>
      </c>
      <c r="J820" t="inlineStr">
        <is>
          <t>11 Refusjon lønn</t>
        </is>
      </c>
      <c r="K820" t="n">
        <v>1200</v>
      </c>
      <c r="L820" t="n">
        <v>120015</v>
      </c>
      <c r="M820" t="inlineStr">
        <is>
          <t>Kjøp av mobiltlf / telefon / nettbrett</t>
        </is>
      </c>
      <c r="N820" s="98" t="n">
        <v>1868</v>
      </c>
      <c r="O820" s="98" t="n">
        <v>0</v>
      </c>
      <c r="P820" s="98" t="n">
        <v>1868</v>
      </c>
      <c r="Q820" s="98" t="n">
        <v>-1868</v>
      </c>
    </row>
    <row r="821">
      <c r="A821" t="inlineStr">
        <is>
          <t>2024-04</t>
        </is>
      </c>
      <c r="B821" t="inlineStr">
        <is>
          <t>April</t>
        </is>
      </c>
      <c r="C821" t="n">
        <v>4</v>
      </c>
      <c r="D821" t="inlineStr">
        <is>
          <t>T1</t>
        </is>
      </c>
      <c r="E821" t="inlineStr">
        <is>
          <t>Bokført</t>
        </is>
      </c>
      <c r="F821" t="inlineStr">
        <is>
          <t>Kommunal Boenhet</t>
        </is>
      </c>
      <c r="G821" t="n">
        <v>254</v>
      </c>
      <c r="H821" t="inlineStr">
        <is>
          <t>Helse og mestring</t>
        </is>
      </c>
      <c r="I821" t="inlineStr">
        <is>
          <t>2 Utgifter</t>
        </is>
      </c>
      <c r="J821" t="inlineStr">
        <is>
          <t>11 Refusjon lønn</t>
        </is>
      </c>
      <c r="K821" t="n">
        <v>1200</v>
      </c>
      <c r="L821" t="n">
        <v>120015</v>
      </c>
      <c r="M821" t="inlineStr">
        <is>
          <t>Kjøp av mobiltlf / telefon / nettbrett</t>
        </is>
      </c>
      <c r="N821" s="98" t="n">
        <v>1868</v>
      </c>
      <c r="O821" s="98" t="n">
        <v>5026.2</v>
      </c>
      <c r="P821" s="98" t="n">
        <v>-3158.2</v>
      </c>
      <c r="Q821" s="98" t="n">
        <v>3158.2</v>
      </c>
    </row>
    <row r="822">
      <c r="A822" t="inlineStr">
        <is>
          <t>2024-05</t>
        </is>
      </c>
      <c r="B822" t="inlineStr">
        <is>
          <t>Mai</t>
        </is>
      </c>
      <c r="C822" t="n">
        <v>5</v>
      </c>
      <c r="D822" t="inlineStr">
        <is>
          <t>T2</t>
        </is>
      </c>
      <c r="E822" t="inlineStr">
        <is>
          <t>Bokført</t>
        </is>
      </c>
      <c r="F822" t="inlineStr">
        <is>
          <t>Kommunal Boenhet</t>
        </is>
      </c>
      <c r="G822" t="n">
        <v>254</v>
      </c>
      <c r="H822" t="inlineStr">
        <is>
          <t>Helse og mestring</t>
        </is>
      </c>
      <c r="I822" t="inlineStr">
        <is>
          <t>2 Utgifter</t>
        </is>
      </c>
      <c r="J822" t="inlineStr">
        <is>
          <t>11 Refusjon lønn</t>
        </is>
      </c>
      <c r="K822" t="n">
        <v>1200</v>
      </c>
      <c r="L822" t="n">
        <v>120015</v>
      </c>
      <c r="M822" t="inlineStr">
        <is>
          <t>Kjøp av mobiltlf / telefon / nettbrett</t>
        </is>
      </c>
      <c r="N822" s="98" t="n">
        <v>1868</v>
      </c>
      <c r="O822" s="98" t="n">
        <v>0</v>
      </c>
      <c r="P822" s="98" t="n">
        <v>1868</v>
      </c>
      <c r="Q822" s="98" t="n">
        <v>-1868</v>
      </c>
    </row>
    <row r="823">
      <c r="A823" t="inlineStr">
        <is>
          <t>2024-06</t>
        </is>
      </c>
      <c r="B823" t="inlineStr">
        <is>
          <t>Juni</t>
        </is>
      </c>
      <c r="C823" t="n">
        <v>6</v>
      </c>
      <c r="D823" t="inlineStr">
        <is>
          <t>T2</t>
        </is>
      </c>
      <c r="E823" t="inlineStr">
        <is>
          <t>Bokført</t>
        </is>
      </c>
      <c r="F823" t="inlineStr">
        <is>
          <t>Kommunal Boenhet</t>
        </is>
      </c>
      <c r="G823" t="n">
        <v>254</v>
      </c>
      <c r="H823" t="inlineStr">
        <is>
          <t>Helse og mestring</t>
        </is>
      </c>
      <c r="I823" t="inlineStr">
        <is>
          <t>2 Utgifter</t>
        </is>
      </c>
      <c r="J823" t="inlineStr">
        <is>
          <t>11 Refusjon lønn</t>
        </is>
      </c>
      <c r="K823" t="n">
        <v>1200</v>
      </c>
      <c r="L823" t="n">
        <v>120015</v>
      </c>
      <c r="M823" t="inlineStr">
        <is>
          <t>Kjøp av mobiltlf / telefon / nettbrett</t>
        </is>
      </c>
      <c r="N823" s="98" t="n">
        <v>1868</v>
      </c>
      <c r="O823" s="98" t="n">
        <v>5760</v>
      </c>
      <c r="P823" s="98" t="n">
        <v>-3892</v>
      </c>
      <c r="Q823" s="98" t="n">
        <v>3892</v>
      </c>
    </row>
    <row r="824">
      <c r="A824" t="inlineStr">
        <is>
          <t>2024-07</t>
        </is>
      </c>
      <c r="B824" t="inlineStr">
        <is>
          <t>Juli</t>
        </is>
      </c>
      <c r="C824" t="n">
        <v>7</v>
      </c>
      <c r="D824" t="inlineStr">
        <is>
          <t>T2</t>
        </is>
      </c>
      <c r="E824" t="inlineStr">
        <is>
          <t>Bokført</t>
        </is>
      </c>
      <c r="F824" t="inlineStr">
        <is>
          <t>Kommunal Boenhet</t>
        </is>
      </c>
      <c r="G824" t="n">
        <v>254</v>
      </c>
      <c r="H824" t="inlineStr">
        <is>
          <t>Helse og mestring</t>
        </is>
      </c>
      <c r="I824" t="inlineStr">
        <is>
          <t>2 Utgifter</t>
        </is>
      </c>
      <c r="J824" t="inlineStr">
        <is>
          <t>11 Refusjon lønn</t>
        </is>
      </c>
      <c r="K824" t="n">
        <v>1200</v>
      </c>
      <c r="L824" t="n">
        <v>120015</v>
      </c>
      <c r="M824" t="inlineStr">
        <is>
          <t>Kjøp av mobiltlf / telefon / nettbrett</t>
        </is>
      </c>
      <c r="N824" s="98" t="n">
        <v>1868</v>
      </c>
      <c r="O824" s="98" t="n">
        <v>0</v>
      </c>
      <c r="P824" s="98" t="n">
        <v>1868</v>
      </c>
      <c r="Q824" s="98" t="n">
        <v>-1868</v>
      </c>
    </row>
    <row r="825">
      <c r="A825" t="inlineStr">
        <is>
          <t>2024-08</t>
        </is>
      </c>
      <c r="B825" t="inlineStr">
        <is>
          <t>August</t>
        </is>
      </c>
      <c r="C825" t="n">
        <v>8</v>
      </c>
      <c r="D825" t="inlineStr">
        <is>
          <t>T2</t>
        </is>
      </c>
      <c r="E825" t="inlineStr">
        <is>
          <t>Bokført</t>
        </is>
      </c>
      <c r="F825" t="inlineStr">
        <is>
          <t>Kommunal Boenhet</t>
        </is>
      </c>
      <c r="G825" t="n">
        <v>254</v>
      </c>
      <c r="H825" t="inlineStr">
        <is>
          <t>Helse og mestring</t>
        </is>
      </c>
      <c r="I825" t="inlineStr">
        <is>
          <t>2 Utgifter</t>
        </is>
      </c>
      <c r="J825" t="inlineStr">
        <is>
          <t>11 Refusjon lønn</t>
        </is>
      </c>
      <c r="K825" t="n">
        <v>1200</v>
      </c>
      <c r="L825" t="n">
        <v>120015</v>
      </c>
      <c r="M825" t="inlineStr">
        <is>
          <t>Kjøp av mobiltlf / telefon / nettbrett</t>
        </is>
      </c>
      <c r="N825" s="98" t="n">
        <v>1868</v>
      </c>
      <c r="O825" s="98" t="n">
        <v>0</v>
      </c>
      <c r="P825" s="98" t="n">
        <v>1868</v>
      </c>
      <c r="Q825" s="98" t="n">
        <v>-1868</v>
      </c>
    </row>
    <row r="826">
      <c r="A826" t="inlineStr">
        <is>
          <t>2024-09</t>
        </is>
      </c>
      <c r="B826" t="inlineStr">
        <is>
          <t>September</t>
        </is>
      </c>
      <c r="C826" t="n">
        <v>9</v>
      </c>
      <c r="D826" t="inlineStr">
        <is>
          <t>T3</t>
        </is>
      </c>
      <c r="E826" t="inlineStr">
        <is>
          <t>Gjenstående budsjett</t>
        </is>
      </c>
      <c r="F826" t="inlineStr">
        <is>
          <t>Kommunal Boenhet</t>
        </is>
      </c>
      <c r="G826" t="n">
        <v>254</v>
      </c>
      <c r="H826" t="inlineStr">
        <is>
          <t>Helse og mestring</t>
        </is>
      </c>
      <c r="I826" t="inlineStr">
        <is>
          <t>2 Utgifter</t>
        </is>
      </c>
      <c r="J826" t="inlineStr">
        <is>
          <t>11 Refusjon lønn</t>
        </is>
      </c>
      <c r="K826" t="n">
        <v>1200</v>
      </c>
      <c r="L826" t="n">
        <v>120015</v>
      </c>
      <c r="M826" t="inlineStr">
        <is>
          <t>Kjøp av mobiltlf / telefon / nettbrett</t>
        </is>
      </c>
      <c r="N826" s="98" t="n">
        <v>1868</v>
      </c>
      <c r="O826" s="98" t="n">
        <v>0</v>
      </c>
      <c r="P826" s="98" t="n">
        <v>0</v>
      </c>
      <c r="Q826" s="98" t="n">
        <v>-1868</v>
      </c>
    </row>
    <row r="827">
      <c r="A827" t="inlineStr">
        <is>
          <t>2024-10</t>
        </is>
      </c>
      <c r="B827" t="inlineStr">
        <is>
          <t>Oktober</t>
        </is>
      </c>
      <c r="C827" t="n">
        <v>10</v>
      </c>
      <c r="D827" t="inlineStr">
        <is>
          <t>T3</t>
        </is>
      </c>
      <c r="E827" t="inlineStr">
        <is>
          <t>Gjenstående budsjett</t>
        </is>
      </c>
      <c r="F827" t="inlineStr">
        <is>
          <t>Kommunal Boenhet</t>
        </is>
      </c>
      <c r="G827" t="n">
        <v>254</v>
      </c>
      <c r="H827" t="inlineStr">
        <is>
          <t>Helse og mestring</t>
        </is>
      </c>
      <c r="I827" t="inlineStr">
        <is>
          <t>2 Utgifter</t>
        </is>
      </c>
      <c r="J827" t="inlineStr">
        <is>
          <t>11 Refusjon lønn</t>
        </is>
      </c>
      <c r="K827" t="n">
        <v>1200</v>
      </c>
      <c r="L827" t="n">
        <v>120015</v>
      </c>
      <c r="M827" t="inlineStr">
        <is>
          <t>Kjøp av mobiltlf / telefon / nettbrett</t>
        </is>
      </c>
      <c r="N827" s="98" t="n">
        <v>1868</v>
      </c>
      <c r="O827" s="98" t="n">
        <v>0</v>
      </c>
      <c r="P827" s="98" t="n">
        <v>0</v>
      </c>
      <c r="Q827" s="98" t="n">
        <v>-1868</v>
      </c>
    </row>
    <row r="828">
      <c r="A828" t="inlineStr">
        <is>
          <t>2024-11</t>
        </is>
      </c>
      <c r="B828" t="inlineStr">
        <is>
          <t>November</t>
        </is>
      </c>
      <c r="C828" t="n">
        <v>11</v>
      </c>
      <c r="D828" t="inlineStr">
        <is>
          <t>T3</t>
        </is>
      </c>
      <c r="E828" t="inlineStr">
        <is>
          <t>Gjenstående budsjett</t>
        </is>
      </c>
      <c r="F828" t="inlineStr">
        <is>
          <t>Kommunal Boenhet</t>
        </is>
      </c>
      <c r="G828" t="n">
        <v>254</v>
      </c>
      <c r="H828" t="inlineStr">
        <is>
          <t>Helse og mestring</t>
        </is>
      </c>
      <c r="I828" t="inlineStr">
        <is>
          <t>2 Utgifter</t>
        </is>
      </c>
      <c r="J828" t="inlineStr">
        <is>
          <t>11 Refusjon lønn</t>
        </is>
      </c>
      <c r="K828" t="n">
        <v>1200</v>
      </c>
      <c r="L828" t="n">
        <v>120015</v>
      </c>
      <c r="M828" t="inlineStr">
        <is>
          <t>Kjøp av mobiltlf / telefon / nettbrett</t>
        </is>
      </c>
      <c r="N828" s="98" t="n">
        <v>1868</v>
      </c>
      <c r="O828" s="98" t="n">
        <v>0</v>
      </c>
      <c r="P828" s="98" t="n">
        <v>0</v>
      </c>
      <c r="Q828" s="98" t="n">
        <v>-1868</v>
      </c>
    </row>
    <row r="829">
      <c r="A829" t="inlineStr">
        <is>
          <t>2024-12</t>
        </is>
      </c>
      <c r="B829" t="inlineStr">
        <is>
          <t>Desember</t>
        </is>
      </c>
      <c r="C829" t="n">
        <v>12</v>
      </c>
      <c r="D829" t="inlineStr">
        <is>
          <t>T3</t>
        </is>
      </c>
      <c r="E829" t="inlineStr">
        <is>
          <t>Gjenstående budsjett</t>
        </is>
      </c>
      <c r="F829" t="inlineStr">
        <is>
          <t>Kommunal Boenhet</t>
        </is>
      </c>
      <c r="G829" t="n">
        <v>254</v>
      </c>
      <c r="H829" t="inlineStr">
        <is>
          <t>Helse og mestring</t>
        </is>
      </c>
      <c r="I829" t="inlineStr">
        <is>
          <t>2 Utgifter</t>
        </is>
      </c>
      <c r="J829" t="inlineStr">
        <is>
          <t>11 Refusjon lønn</t>
        </is>
      </c>
      <c r="K829" t="n">
        <v>1200</v>
      </c>
      <c r="L829" t="n">
        <v>120015</v>
      </c>
      <c r="M829" t="inlineStr">
        <is>
          <t>Kjøp av mobiltlf / telefon / nettbrett</t>
        </is>
      </c>
      <c r="N829" s="98" t="n">
        <v>1452</v>
      </c>
      <c r="O829" s="98" t="n">
        <v>0</v>
      </c>
      <c r="P829" s="98" t="n">
        <v>0</v>
      </c>
      <c r="Q829" s="98" t="n">
        <v>-1452</v>
      </c>
    </row>
    <row r="830">
      <c r="A830" t="inlineStr">
        <is>
          <t>2024-01</t>
        </is>
      </c>
      <c r="B830" t="inlineStr">
        <is>
          <t>Januar</t>
        </is>
      </c>
      <c r="C830" t="n">
        <v>1</v>
      </c>
      <c r="D830" t="inlineStr">
        <is>
          <t>T1</t>
        </is>
      </c>
      <c r="E830" t="inlineStr">
        <is>
          <t>Bokført</t>
        </is>
      </c>
      <c r="F830" t="inlineStr">
        <is>
          <t>Kommunal Boenhet</t>
        </is>
      </c>
      <c r="G830" t="n">
        <v>254</v>
      </c>
      <c r="H830" t="inlineStr">
        <is>
          <t>Helse og mestring</t>
        </is>
      </c>
      <c r="I830" t="inlineStr">
        <is>
          <t>2 Utgifter</t>
        </is>
      </c>
      <c r="J830" t="inlineStr">
        <is>
          <t>11 Refusjon lønn</t>
        </is>
      </c>
      <c r="K830" t="n">
        <v>1200</v>
      </c>
      <c r="L830" t="n">
        <v>120030</v>
      </c>
      <c r="M830" t="inlineStr">
        <is>
          <t>Hvite / brune varer / elektriske produkter</t>
        </is>
      </c>
      <c r="N830" s="98" t="n">
        <v>0</v>
      </c>
      <c r="O830" s="98" t="n">
        <v>0</v>
      </c>
      <c r="P830" s="98" t="n">
        <v>0</v>
      </c>
      <c r="Q830" s="98" t="n">
        <v>0</v>
      </c>
    </row>
    <row r="831">
      <c r="A831" t="inlineStr">
        <is>
          <t>2024-02</t>
        </is>
      </c>
      <c r="B831" t="inlineStr">
        <is>
          <t>Februar</t>
        </is>
      </c>
      <c r="C831" t="n">
        <v>2</v>
      </c>
      <c r="D831" t="inlineStr">
        <is>
          <t>T1</t>
        </is>
      </c>
      <c r="E831" t="inlineStr">
        <is>
          <t>Bokført</t>
        </is>
      </c>
      <c r="F831" t="inlineStr">
        <is>
          <t>Kommunal Boenhet</t>
        </is>
      </c>
      <c r="G831" t="n">
        <v>254</v>
      </c>
      <c r="H831" t="inlineStr">
        <is>
          <t>Helse og mestring</t>
        </is>
      </c>
      <c r="I831" t="inlineStr">
        <is>
          <t>2 Utgifter</t>
        </is>
      </c>
      <c r="J831" t="inlineStr">
        <is>
          <t>11 Refusjon lønn</t>
        </is>
      </c>
      <c r="K831" t="n">
        <v>1200</v>
      </c>
      <c r="L831" t="n">
        <v>120030</v>
      </c>
      <c r="M831" t="inlineStr">
        <is>
          <t>Hvite / brune varer / elektriske produkter</t>
        </is>
      </c>
      <c r="N831" s="98" t="n">
        <v>0</v>
      </c>
      <c r="O831" s="98" t="n">
        <v>0</v>
      </c>
      <c r="P831" s="98" t="n">
        <v>0</v>
      </c>
      <c r="Q831" s="98" t="n">
        <v>0</v>
      </c>
    </row>
    <row r="832">
      <c r="A832" t="inlineStr">
        <is>
          <t>2024-03</t>
        </is>
      </c>
      <c r="B832" t="inlineStr">
        <is>
          <t>Mars</t>
        </is>
      </c>
      <c r="C832" t="n">
        <v>3</v>
      </c>
      <c r="D832" t="inlineStr">
        <is>
          <t>T1</t>
        </is>
      </c>
      <c r="E832" t="inlineStr">
        <is>
          <t>Bokført</t>
        </is>
      </c>
      <c r="F832" t="inlineStr">
        <is>
          <t>Kommunal Boenhet</t>
        </is>
      </c>
      <c r="G832" t="n">
        <v>254</v>
      </c>
      <c r="H832" t="inlineStr">
        <is>
          <t>Helse og mestring</t>
        </is>
      </c>
      <c r="I832" t="inlineStr">
        <is>
          <t>2 Utgifter</t>
        </is>
      </c>
      <c r="J832" t="inlineStr">
        <is>
          <t>11 Refusjon lønn</t>
        </is>
      </c>
      <c r="K832" t="n">
        <v>1200</v>
      </c>
      <c r="L832" t="n">
        <v>120030</v>
      </c>
      <c r="M832" t="inlineStr">
        <is>
          <t>Hvite / brune varer / elektriske produkter</t>
        </is>
      </c>
      <c r="N832" s="98" t="n">
        <v>0</v>
      </c>
      <c r="O832" s="98" t="n">
        <v>0</v>
      </c>
      <c r="P832" s="98" t="n">
        <v>0</v>
      </c>
      <c r="Q832" s="98" t="n">
        <v>0</v>
      </c>
    </row>
    <row r="833">
      <c r="A833" t="inlineStr">
        <is>
          <t>2024-04</t>
        </is>
      </c>
      <c r="B833" t="inlineStr">
        <is>
          <t>April</t>
        </is>
      </c>
      <c r="C833" t="n">
        <v>4</v>
      </c>
      <c r="D833" t="inlineStr">
        <is>
          <t>T1</t>
        </is>
      </c>
      <c r="E833" t="inlineStr">
        <is>
          <t>Bokført</t>
        </is>
      </c>
      <c r="F833" t="inlineStr">
        <is>
          <t>Kommunal Boenhet</t>
        </is>
      </c>
      <c r="G833" t="n">
        <v>254</v>
      </c>
      <c r="H833" t="inlineStr">
        <is>
          <t>Helse og mestring</t>
        </is>
      </c>
      <c r="I833" t="inlineStr">
        <is>
          <t>2 Utgifter</t>
        </is>
      </c>
      <c r="J833" t="inlineStr">
        <is>
          <t>11 Refusjon lønn</t>
        </is>
      </c>
      <c r="K833" t="n">
        <v>1200</v>
      </c>
      <c r="L833" t="n">
        <v>120030</v>
      </c>
      <c r="M833" t="inlineStr">
        <is>
          <t>Hvite / brune varer / elektriske produkter</t>
        </is>
      </c>
      <c r="N833" s="98" t="n">
        <v>0</v>
      </c>
      <c r="O833" s="98" t="n">
        <v>0</v>
      </c>
      <c r="P833" s="98" t="n">
        <v>0</v>
      </c>
      <c r="Q833" s="98" t="n">
        <v>0</v>
      </c>
    </row>
    <row r="834">
      <c r="A834" t="inlineStr">
        <is>
          <t>2024-05</t>
        </is>
      </c>
      <c r="B834" t="inlineStr">
        <is>
          <t>Mai</t>
        </is>
      </c>
      <c r="C834" t="n">
        <v>5</v>
      </c>
      <c r="D834" t="inlineStr">
        <is>
          <t>T2</t>
        </is>
      </c>
      <c r="E834" t="inlineStr">
        <is>
          <t>Bokført</t>
        </is>
      </c>
      <c r="F834" t="inlineStr">
        <is>
          <t>Kommunal Boenhet</t>
        </is>
      </c>
      <c r="G834" t="n">
        <v>254</v>
      </c>
      <c r="H834" t="inlineStr">
        <is>
          <t>Helse og mestring</t>
        </is>
      </c>
      <c r="I834" t="inlineStr">
        <is>
          <t>2 Utgifter</t>
        </is>
      </c>
      <c r="J834" t="inlineStr">
        <is>
          <t>11 Refusjon lønn</t>
        </is>
      </c>
      <c r="K834" t="n">
        <v>1200</v>
      </c>
      <c r="L834" t="n">
        <v>120030</v>
      </c>
      <c r="M834" t="inlineStr">
        <is>
          <t>Hvite / brune varer / elektriske produkter</t>
        </is>
      </c>
      <c r="N834" s="98" t="n">
        <v>0</v>
      </c>
      <c r="O834" s="98" t="n">
        <v>0</v>
      </c>
      <c r="P834" s="98" t="n">
        <v>0</v>
      </c>
      <c r="Q834" s="98" t="n">
        <v>0</v>
      </c>
    </row>
    <row r="835">
      <c r="A835" t="inlineStr">
        <is>
          <t>2024-06</t>
        </is>
      </c>
      <c r="B835" t="inlineStr">
        <is>
          <t>Juni</t>
        </is>
      </c>
      <c r="C835" t="n">
        <v>6</v>
      </c>
      <c r="D835" t="inlineStr">
        <is>
          <t>T2</t>
        </is>
      </c>
      <c r="E835" t="inlineStr">
        <is>
          <t>Bokført</t>
        </is>
      </c>
      <c r="F835" t="inlineStr">
        <is>
          <t>Kommunal Boenhet</t>
        </is>
      </c>
      <c r="G835" t="n">
        <v>254</v>
      </c>
      <c r="H835" t="inlineStr">
        <is>
          <t>Helse og mestring</t>
        </is>
      </c>
      <c r="I835" t="inlineStr">
        <is>
          <t>2 Utgifter</t>
        </is>
      </c>
      <c r="J835" t="inlineStr">
        <is>
          <t>11 Refusjon lønn</t>
        </is>
      </c>
      <c r="K835" t="n">
        <v>1200</v>
      </c>
      <c r="L835" t="n">
        <v>120030</v>
      </c>
      <c r="M835" t="inlineStr">
        <is>
          <t>Hvite / brune varer / elektriske produkter</t>
        </is>
      </c>
      <c r="N835" s="98" t="n">
        <v>0</v>
      </c>
      <c r="O835" s="98" t="n">
        <v>0</v>
      </c>
      <c r="P835" s="98" t="n">
        <v>0</v>
      </c>
      <c r="Q835" s="98" t="n">
        <v>0</v>
      </c>
    </row>
    <row r="836">
      <c r="A836" t="inlineStr">
        <is>
          <t>2024-07</t>
        </is>
      </c>
      <c r="B836" t="inlineStr">
        <is>
          <t>Juli</t>
        </is>
      </c>
      <c r="C836" t="n">
        <v>7</v>
      </c>
      <c r="D836" t="inlineStr">
        <is>
          <t>T2</t>
        </is>
      </c>
      <c r="E836" t="inlineStr">
        <is>
          <t>Bokført</t>
        </is>
      </c>
      <c r="F836" t="inlineStr">
        <is>
          <t>Kommunal Boenhet</t>
        </is>
      </c>
      <c r="G836" t="n">
        <v>254</v>
      </c>
      <c r="H836" t="inlineStr">
        <is>
          <t>Helse og mestring</t>
        </is>
      </c>
      <c r="I836" t="inlineStr">
        <is>
          <t>2 Utgifter</t>
        </is>
      </c>
      <c r="J836" t="inlineStr">
        <is>
          <t>11 Refusjon lønn</t>
        </is>
      </c>
      <c r="K836" t="n">
        <v>1200</v>
      </c>
      <c r="L836" t="n">
        <v>120030</v>
      </c>
      <c r="M836" t="inlineStr">
        <is>
          <t>Hvite / brune varer / elektriske produkter</t>
        </is>
      </c>
      <c r="N836" s="98" t="n">
        <v>0</v>
      </c>
      <c r="O836" s="98" t="n">
        <v>0</v>
      </c>
      <c r="P836" s="98" t="n">
        <v>0</v>
      </c>
      <c r="Q836" s="98" t="n">
        <v>0</v>
      </c>
    </row>
    <row r="837">
      <c r="A837" t="inlineStr">
        <is>
          <t>2024-08</t>
        </is>
      </c>
      <c r="B837" t="inlineStr">
        <is>
          <t>August</t>
        </is>
      </c>
      <c r="C837" t="n">
        <v>8</v>
      </c>
      <c r="D837" t="inlineStr">
        <is>
          <t>T2</t>
        </is>
      </c>
      <c r="E837" t="inlineStr">
        <is>
          <t>Bokført</t>
        </is>
      </c>
      <c r="F837" t="inlineStr">
        <is>
          <t>Kommunal Boenhet</t>
        </is>
      </c>
      <c r="G837" t="n">
        <v>254</v>
      </c>
      <c r="H837" t="inlineStr">
        <is>
          <t>Helse og mestring</t>
        </is>
      </c>
      <c r="I837" t="inlineStr">
        <is>
          <t>2 Utgifter</t>
        </is>
      </c>
      <c r="J837" t="inlineStr">
        <is>
          <t>11 Refusjon lønn</t>
        </is>
      </c>
      <c r="K837" t="n">
        <v>1200</v>
      </c>
      <c r="L837" t="n">
        <v>120030</v>
      </c>
      <c r="M837" t="inlineStr">
        <is>
          <t>Hvite / brune varer / elektriske produkter</t>
        </is>
      </c>
      <c r="N837" s="98" t="n">
        <v>0</v>
      </c>
      <c r="O837" s="98" t="n">
        <v>0</v>
      </c>
      <c r="P837" s="98" t="n">
        <v>0</v>
      </c>
      <c r="Q837" s="98" t="n">
        <v>0</v>
      </c>
    </row>
    <row r="838">
      <c r="A838" t="inlineStr">
        <is>
          <t>2024-09</t>
        </is>
      </c>
      <c r="B838" t="inlineStr">
        <is>
          <t>September</t>
        </is>
      </c>
      <c r="C838" t="n">
        <v>9</v>
      </c>
      <c r="D838" t="inlineStr">
        <is>
          <t>T3</t>
        </is>
      </c>
      <c r="E838" t="inlineStr">
        <is>
          <t>Gjenstående budsjett</t>
        </is>
      </c>
      <c r="F838" t="inlineStr">
        <is>
          <t>Kommunal Boenhet</t>
        </is>
      </c>
      <c r="G838" t="n">
        <v>254</v>
      </c>
      <c r="H838" t="inlineStr">
        <is>
          <t>Helse og mestring</t>
        </is>
      </c>
      <c r="I838" t="inlineStr">
        <is>
          <t>2 Utgifter</t>
        </is>
      </c>
      <c r="J838" t="inlineStr">
        <is>
          <t>11 Refusjon lønn</t>
        </is>
      </c>
      <c r="K838" t="n">
        <v>1200</v>
      </c>
      <c r="L838" t="n">
        <v>120030</v>
      </c>
      <c r="M838" t="inlineStr">
        <is>
          <t>Hvite / brune varer / elektriske produkter</t>
        </is>
      </c>
      <c r="N838" s="98" t="n">
        <v>0</v>
      </c>
      <c r="O838" s="98" t="n">
        <v>0</v>
      </c>
      <c r="P838" s="98" t="n">
        <v>0</v>
      </c>
      <c r="Q838" s="98" t="n">
        <v>0</v>
      </c>
    </row>
    <row r="839">
      <c r="A839" t="inlineStr">
        <is>
          <t>2024-10</t>
        </is>
      </c>
      <c r="B839" t="inlineStr">
        <is>
          <t>Oktober</t>
        </is>
      </c>
      <c r="C839" t="n">
        <v>10</v>
      </c>
      <c r="D839" t="inlineStr">
        <is>
          <t>T3</t>
        </is>
      </c>
      <c r="E839" t="inlineStr">
        <is>
          <t>Gjenstående budsjett</t>
        </is>
      </c>
      <c r="F839" t="inlineStr">
        <is>
          <t>Kommunal Boenhet</t>
        </is>
      </c>
      <c r="G839" t="n">
        <v>254</v>
      </c>
      <c r="H839" t="inlineStr">
        <is>
          <t>Helse og mestring</t>
        </is>
      </c>
      <c r="I839" t="inlineStr">
        <is>
          <t>2 Utgifter</t>
        </is>
      </c>
      <c r="J839" t="inlineStr">
        <is>
          <t>11 Refusjon lønn</t>
        </is>
      </c>
      <c r="K839" t="n">
        <v>1200</v>
      </c>
      <c r="L839" t="n">
        <v>120030</v>
      </c>
      <c r="M839" t="inlineStr">
        <is>
          <t>Hvite / brune varer / elektriske produkter</t>
        </is>
      </c>
      <c r="N839" s="98" t="n">
        <v>0</v>
      </c>
      <c r="O839" s="98" t="n">
        <v>0</v>
      </c>
      <c r="P839" s="98" t="n">
        <v>0</v>
      </c>
      <c r="Q839" s="98" t="n">
        <v>0</v>
      </c>
    </row>
    <row r="840">
      <c r="A840" t="inlineStr">
        <is>
          <t>2024-11</t>
        </is>
      </c>
      <c r="B840" t="inlineStr">
        <is>
          <t>November</t>
        </is>
      </c>
      <c r="C840" t="n">
        <v>11</v>
      </c>
      <c r="D840" t="inlineStr">
        <is>
          <t>T3</t>
        </is>
      </c>
      <c r="E840" t="inlineStr">
        <is>
          <t>Gjenstående budsjett</t>
        </is>
      </c>
      <c r="F840" t="inlineStr">
        <is>
          <t>Kommunal Boenhet</t>
        </is>
      </c>
      <c r="G840" t="n">
        <v>254</v>
      </c>
      <c r="H840" t="inlineStr">
        <is>
          <t>Helse og mestring</t>
        </is>
      </c>
      <c r="I840" t="inlineStr">
        <is>
          <t>2 Utgifter</t>
        </is>
      </c>
      <c r="J840" t="inlineStr">
        <is>
          <t>11 Refusjon lønn</t>
        </is>
      </c>
      <c r="K840" t="n">
        <v>1200</v>
      </c>
      <c r="L840" t="n">
        <v>120030</v>
      </c>
      <c r="M840" t="inlineStr">
        <is>
          <t>Hvite / brune varer / elektriske produkter</t>
        </is>
      </c>
      <c r="N840" s="98" t="n">
        <v>0</v>
      </c>
      <c r="O840" s="98" t="n">
        <v>0</v>
      </c>
      <c r="P840" s="98" t="n">
        <v>0</v>
      </c>
      <c r="Q840" s="98" t="n">
        <v>0</v>
      </c>
    </row>
    <row r="841">
      <c r="A841" t="inlineStr">
        <is>
          <t>2024-12</t>
        </is>
      </c>
      <c r="B841" t="inlineStr">
        <is>
          <t>Desember</t>
        </is>
      </c>
      <c r="C841" t="n">
        <v>12</v>
      </c>
      <c r="D841" t="inlineStr">
        <is>
          <t>T3</t>
        </is>
      </c>
      <c r="E841" t="inlineStr">
        <is>
          <t>Gjenstående budsjett</t>
        </is>
      </c>
      <c r="F841" t="inlineStr">
        <is>
          <t>Kommunal Boenhet</t>
        </is>
      </c>
      <c r="G841" t="n">
        <v>254</v>
      </c>
      <c r="H841" t="inlineStr">
        <is>
          <t>Helse og mestring</t>
        </is>
      </c>
      <c r="I841" t="inlineStr">
        <is>
          <t>2 Utgifter</t>
        </is>
      </c>
      <c r="J841" t="inlineStr">
        <is>
          <t>11 Refusjon lønn</t>
        </is>
      </c>
      <c r="K841" t="n">
        <v>1200</v>
      </c>
      <c r="L841" t="n">
        <v>120030</v>
      </c>
      <c r="M841" t="inlineStr">
        <is>
          <t>Hvite / brune varer / elektriske produkter</t>
        </is>
      </c>
      <c r="N841" s="98" t="n">
        <v>0</v>
      </c>
      <c r="O841" s="98" t="n">
        <v>0</v>
      </c>
      <c r="P841" s="98" t="n">
        <v>0</v>
      </c>
      <c r="Q841" s="98" t="n">
        <v>0</v>
      </c>
    </row>
    <row r="842">
      <c r="A842" t="inlineStr">
        <is>
          <t>2024-01</t>
        </is>
      </c>
      <c r="B842" t="inlineStr">
        <is>
          <t>Januar</t>
        </is>
      </c>
      <c r="C842" t="n">
        <v>1</v>
      </c>
      <c r="D842" t="inlineStr">
        <is>
          <t>T1</t>
        </is>
      </c>
      <c r="E842" t="inlineStr">
        <is>
          <t>Bokført</t>
        </is>
      </c>
      <c r="F842" t="inlineStr">
        <is>
          <t>Kommunal Boenhet</t>
        </is>
      </c>
      <c r="G842" t="n">
        <v>254</v>
      </c>
      <c r="H842" t="inlineStr">
        <is>
          <t>Helse og mestring</t>
        </is>
      </c>
      <c r="I842" t="inlineStr">
        <is>
          <t>2 Utgifter</t>
        </is>
      </c>
      <c r="J842" t="inlineStr">
        <is>
          <t>11 Refusjon lønn</t>
        </is>
      </c>
      <c r="K842" t="n">
        <v>1200</v>
      </c>
      <c r="L842" t="n">
        <v>120045</v>
      </c>
      <c r="M842" t="inlineStr">
        <is>
          <t>Kjøkkenutstyr</t>
        </is>
      </c>
      <c r="N842" s="98" t="n">
        <v>0</v>
      </c>
      <c r="O842" s="98" t="n">
        <v>0</v>
      </c>
      <c r="P842" s="98" t="n">
        <v>0</v>
      </c>
      <c r="Q842" s="98" t="n">
        <v>0</v>
      </c>
    </row>
    <row r="843">
      <c r="A843" t="inlineStr">
        <is>
          <t>2024-02</t>
        </is>
      </c>
      <c r="B843" t="inlineStr">
        <is>
          <t>Februar</t>
        </is>
      </c>
      <c r="C843" t="n">
        <v>2</v>
      </c>
      <c r="D843" t="inlineStr">
        <is>
          <t>T1</t>
        </is>
      </c>
      <c r="E843" t="inlineStr">
        <is>
          <t>Bokført</t>
        </is>
      </c>
      <c r="F843" t="inlineStr">
        <is>
          <t>Kommunal Boenhet</t>
        </is>
      </c>
      <c r="G843" t="n">
        <v>254</v>
      </c>
      <c r="H843" t="inlineStr">
        <is>
          <t>Helse og mestring</t>
        </is>
      </c>
      <c r="I843" t="inlineStr">
        <is>
          <t>2 Utgifter</t>
        </is>
      </c>
      <c r="J843" t="inlineStr">
        <is>
          <t>11 Refusjon lønn</t>
        </is>
      </c>
      <c r="K843" t="n">
        <v>1200</v>
      </c>
      <c r="L843" t="n">
        <v>120045</v>
      </c>
      <c r="M843" t="inlineStr">
        <is>
          <t>Kjøkkenutstyr</t>
        </is>
      </c>
      <c r="N843" s="98" t="n">
        <v>0</v>
      </c>
      <c r="O843" s="98" t="n">
        <v>0</v>
      </c>
      <c r="P843" s="98" t="n">
        <v>0</v>
      </c>
      <c r="Q843" s="98" t="n">
        <v>0</v>
      </c>
    </row>
    <row r="844">
      <c r="A844" t="inlineStr">
        <is>
          <t>2024-03</t>
        </is>
      </c>
      <c r="B844" t="inlineStr">
        <is>
          <t>Mars</t>
        </is>
      </c>
      <c r="C844" t="n">
        <v>3</v>
      </c>
      <c r="D844" t="inlineStr">
        <is>
          <t>T1</t>
        </is>
      </c>
      <c r="E844" t="inlineStr">
        <is>
          <t>Bokført</t>
        </is>
      </c>
      <c r="F844" t="inlineStr">
        <is>
          <t>Kommunal Boenhet</t>
        </is>
      </c>
      <c r="G844" t="n">
        <v>254</v>
      </c>
      <c r="H844" t="inlineStr">
        <is>
          <t>Helse og mestring</t>
        </is>
      </c>
      <c r="I844" t="inlineStr">
        <is>
          <t>2 Utgifter</t>
        </is>
      </c>
      <c r="J844" t="inlineStr">
        <is>
          <t>11 Refusjon lønn</t>
        </is>
      </c>
      <c r="K844" t="n">
        <v>1200</v>
      </c>
      <c r="L844" t="n">
        <v>120045</v>
      </c>
      <c r="M844" t="inlineStr">
        <is>
          <t>Kjøkkenutstyr</t>
        </is>
      </c>
      <c r="N844" s="98" t="n">
        <v>0</v>
      </c>
      <c r="O844" s="98" t="n">
        <v>0</v>
      </c>
      <c r="P844" s="98" t="n">
        <v>0</v>
      </c>
      <c r="Q844" s="98" t="n">
        <v>0</v>
      </c>
    </row>
    <row r="845">
      <c r="A845" t="inlineStr">
        <is>
          <t>2024-04</t>
        </is>
      </c>
      <c r="B845" t="inlineStr">
        <is>
          <t>April</t>
        </is>
      </c>
      <c r="C845" t="n">
        <v>4</v>
      </c>
      <c r="D845" t="inlineStr">
        <is>
          <t>T1</t>
        </is>
      </c>
      <c r="E845" t="inlineStr">
        <is>
          <t>Bokført</t>
        </is>
      </c>
      <c r="F845" t="inlineStr">
        <is>
          <t>Kommunal Boenhet</t>
        </is>
      </c>
      <c r="G845" t="n">
        <v>254</v>
      </c>
      <c r="H845" t="inlineStr">
        <is>
          <t>Helse og mestring</t>
        </is>
      </c>
      <c r="I845" t="inlineStr">
        <is>
          <t>2 Utgifter</t>
        </is>
      </c>
      <c r="J845" t="inlineStr">
        <is>
          <t>11 Refusjon lønn</t>
        </is>
      </c>
      <c r="K845" t="n">
        <v>1200</v>
      </c>
      <c r="L845" t="n">
        <v>120045</v>
      </c>
      <c r="M845" t="inlineStr">
        <is>
          <t>Kjøkkenutstyr</t>
        </is>
      </c>
      <c r="N845" s="98" t="n">
        <v>0</v>
      </c>
      <c r="O845" s="98" t="n">
        <v>0</v>
      </c>
      <c r="P845" s="98" t="n">
        <v>0</v>
      </c>
      <c r="Q845" s="98" t="n">
        <v>0</v>
      </c>
    </row>
    <row r="846">
      <c r="A846" t="inlineStr">
        <is>
          <t>2024-05</t>
        </is>
      </c>
      <c r="B846" t="inlineStr">
        <is>
          <t>Mai</t>
        </is>
      </c>
      <c r="C846" t="n">
        <v>5</v>
      </c>
      <c r="D846" t="inlineStr">
        <is>
          <t>T2</t>
        </is>
      </c>
      <c r="E846" t="inlineStr">
        <is>
          <t>Bokført</t>
        </is>
      </c>
      <c r="F846" t="inlineStr">
        <is>
          <t>Kommunal Boenhet</t>
        </is>
      </c>
      <c r="G846" t="n">
        <v>254</v>
      </c>
      <c r="H846" t="inlineStr">
        <is>
          <t>Helse og mestring</t>
        </is>
      </c>
      <c r="I846" t="inlineStr">
        <is>
          <t>2 Utgifter</t>
        </is>
      </c>
      <c r="J846" t="inlineStr">
        <is>
          <t>11 Refusjon lønn</t>
        </is>
      </c>
      <c r="K846" t="n">
        <v>1200</v>
      </c>
      <c r="L846" t="n">
        <v>120045</v>
      </c>
      <c r="M846" t="inlineStr">
        <is>
          <t>Kjøkkenutstyr</t>
        </is>
      </c>
      <c r="N846" s="98" t="n">
        <v>0</v>
      </c>
      <c r="O846" s="98" t="n">
        <v>0</v>
      </c>
      <c r="P846" s="98" t="n">
        <v>0</v>
      </c>
      <c r="Q846" s="98" t="n">
        <v>0</v>
      </c>
    </row>
    <row r="847">
      <c r="A847" t="inlineStr">
        <is>
          <t>2024-06</t>
        </is>
      </c>
      <c r="B847" t="inlineStr">
        <is>
          <t>Juni</t>
        </is>
      </c>
      <c r="C847" t="n">
        <v>6</v>
      </c>
      <c r="D847" t="inlineStr">
        <is>
          <t>T2</t>
        </is>
      </c>
      <c r="E847" t="inlineStr">
        <is>
          <t>Bokført</t>
        </is>
      </c>
      <c r="F847" t="inlineStr">
        <is>
          <t>Kommunal Boenhet</t>
        </is>
      </c>
      <c r="G847" t="n">
        <v>254</v>
      </c>
      <c r="H847" t="inlineStr">
        <is>
          <t>Helse og mestring</t>
        </is>
      </c>
      <c r="I847" t="inlineStr">
        <is>
          <t>2 Utgifter</t>
        </is>
      </c>
      <c r="J847" t="inlineStr">
        <is>
          <t>11 Refusjon lønn</t>
        </is>
      </c>
      <c r="K847" t="n">
        <v>1200</v>
      </c>
      <c r="L847" t="n">
        <v>120045</v>
      </c>
      <c r="M847" t="inlineStr">
        <is>
          <t>Kjøkkenutstyr</t>
        </is>
      </c>
      <c r="N847" s="98" t="n">
        <v>0</v>
      </c>
      <c r="O847" s="98" t="n">
        <v>3314.4</v>
      </c>
      <c r="P847" s="98" t="n">
        <v>-3314.4</v>
      </c>
      <c r="Q847" s="98" t="n">
        <v>3314.4</v>
      </c>
    </row>
    <row r="848">
      <c r="A848" t="inlineStr">
        <is>
          <t>2024-07</t>
        </is>
      </c>
      <c r="B848" t="inlineStr">
        <is>
          <t>Juli</t>
        </is>
      </c>
      <c r="C848" t="n">
        <v>7</v>
      </c>
      <c r="D848" t="inlineStr">
        <is>
          <t>T2</t>
        </is>
      </c>
      <c r="E848" t="inlineStr">
        <is>
          <t>Bokført</t>
        </is>
      </c>
      <c r="F848" t="inlineStr">
        <is>
          <t>Kommunal Boenhet</t>
        </is>
      </c>
      <c r="G848" t="n">
        <v>254</v>
      </c>
      <c r="H848" t="inlineStr">
        <is>
          <t>Helse og mestring</t>
        </is>
      </c>
      <c r="I848" t="inlineStr">
        <is>
          <t>2 Utgifter</t>
        </is>
      </c>
      <c r="J848" t="inlineStr">
        <is>
          <t>11 Refusjon lønn</t>
        </is>
      </c>
      <c r="K848" t="n">
        <v>1200</v>
      </c>
      <c r="L848" t="n">
        <v>120045</v>
      </c>
      <c r="M848" t="inlineStr">
        <is>
          <t>Kjøkkenutstyr</t>
        </is>
      </c>
      <c r="N848" s="98" t="n">
        <v>0</v>
      </c>
      <c r="O848" s="98" t="n">
        <v>0</v>
      </c>
      <c r="P848" s="98" t="n">
        <v>0</v>
      </c>
      <c r="Q848" s="98" t="n">
        <v>0</v>
      </c>
    </row>
    <row r="849">
      <c r="A849" t="inlineStr">
        <is>
          <t>2024-08</t>
        </is>
      </c>
      <c r="B849" t="inlineStr">
        <is>
          <t>August</t>
        </is>
      </c>
      <c r="C849" t="n">
        <v>8</v>
      </c>
      <c r="D849" t="inlineStr">
        <is>
          <t>T2</t>
        </is>
      </c>
      <c r="E849" t="inlineStr">
        <is>
          <t>Bokført</t>
        </is>
      </c>
      <c r="F849" t="inlineStr">
        <is>
          <t>Kommunal Boenhet</t>
        </is>
      </c>
      <c r="G849" t="n">
        <v>254</v>
      </c>
      <c r="H849" t="inlineStr">
        <is>
          <t>Helse og mestring</t>
        </is>
      </c>
      <c r="I849" t="inlineStr">
        <is>
          <t>2 Utgifter</t>
        </is>
      </c>
      <c r="J849" t="inlineStr">
        <is>
          <t>11 Refusjon lønn</t>
        </is>
      </c>
      <c r="K849" t="n">
        <v>1200</v>
      </c>
      <c r="L849" t="n">
        <v>120045</v>
      </c>
      <c r="M849" t="inlineStr">
        <is>
          <t>Kjøkkenutstyr</t>
        </is>
      </c>
      <c r="N849" s="98" t="n">
        <v>0</v>
      </c>
      <c r="O849" s="98" t="n">
        <v>0</v>
      </c>
      <c r="P849" s="98" t="n">
        <v>0</v>
      </c>
      <c r="Q849" s="98" t="n">
        <v>0</v>
      </c>
    </row>
    <row r="850">
      <c r="A850" t="inlineStr">
        <is>
          <t>2024-09</t>
        </is>
      </c>
      <c r="B850" t="inlineStr">
        <is>
          <t>September</t>
        </is>
      </c>
      <c r="C850" t="n">
        <v>9</v>
      </c>
      <c r="D850" t="inlineStr">
        <is>
          <t>T3</t>
        </is>
      </c>
      <c r="E850" t="inlineStr">
        <is>
          <t>Gjenstående budsjett</t>
        </is>
      </c>
      <c r="F850" t="inlineStr">
        <is>
          <t>Kommunal Boenhet</t>
        </is>
      </c>
      <c r="G850" t="n">
        <v>254</v>
      </c>
      <c r="H850" t="inlineStr">
        <is>
          <t>Helse og mestring</t>
        </is>
      </c>
      <c r="I850" t="inlineStr">
        <is>
          <t>2 Utgifter</t>
        </is>
      </c>
      <c r="J850" t="inlineStr">
        <is>
          <t>11 Refusjon lønn</t>
        </is>
      </c>
      <c r="K850" t="n">
        <v>1200</v>
      </c>
      <c r="L850" t="n">
        <v>120045</v>
      </c>
      <c r="M850" t="inlineStr">
        <is>
          <t>Kjøkkenutstyr</t>
        </is>
      </c>
      <c r="N850" s="98" t="n">
        <v>0</v>
      </c>
      <c r="O850" s="98" t="n">
        <v>0</v>
      </c>
      <c r="P850" s="98" t="n">
        <v>0</v>
      </c>
      <c r="Q850" s="98" t="n">
        <v>0</v>
      </c>
    </row>
    <row r="851">
      <c r="A851" t="inlineStr">
        <is>
          <t>2024-10</t>
        </is>
      </c>
      <c r="B851" t="inlineStr">
        <is>
          <t>Oktober</t>
        </is>
      </c>
      <c r="C851" t="n">
        <v>10</v>
      </c>
      <c r="D851" t="inlineStr">
        <is>
          <t>T3</t>
        </is>
      </c>
      <c r="E851" t="inlineStr">
        <is>
          <t>Gjenstående budsjett</t>
        </is>
      </c>
      <c r="F851" t="inlineStr">
        <is>
          <t>Kommunal Boenhet</t>
        </is>
      </c>
      <c r="G851" t="n">
        <v>254</v>
      </c>
      <c r="H851" t="inlineStr">
        <is>
          <t>Helse og mestring</t>
        </is>
      </c>
      <c r="I851" t="inlineStr">
        <is>
          <t>2 Utgifter</t>
        </is>
      </c>
      <c r="J851" t="inlineStr">
        <is>
          <t>11 Refusjon lønn</t>
        </is>
      </c>
      <c r="K851" t="n">
        <v>1200</v>
      </c>
      <c r="L851" t="n">
        <v>120045</v>
      </c>
      <c r="M851" t="inlineStr">
        <is>
          <t>Kjøkkenutstyr</t>
        </is>
      </c>
      <c r="N851" s="98" t="n">
        <v>0</v>
      </c>
      <c r="O851" s="98" t="n">
        <v>0</v>
      </c>
      <c r="P851" s="98" t="n">
        <v>0</v>
      </c>
      <c r="Q851" s="98" t="n">
        <v>0</v>
      </c>
    </row>
    <row r="852">
      <c r="A852" t="inlineStr">
        <is>
          <t>2024-11</t>
        </is>
      </c>
      <c r="B852" t="inlineStr">
        <is>
          <t>November</t>
        </is>
      </c>
      <c r="C852" t="n">
        <v>11</v>
      </c>
      <c r="D852" t="inlineStr">
        <is>
          <t>T3</t>
        </is>
      </c>
      <c r="E852" t="inlineStr">
        <is>
          <t>Gjenstående budsjett</t>
        </is>
      </c>
      <c r="F852" t="inlineStr">
        <is>
          <t>Kommunal Boenhet</t>
        </is>
      </c>
      <c r="G852" t="n">
        <v>254</v>
      </c>
      <c r="H852" t="inlineStr">
        <is>
          <t>Helse og mestring</t>
        </is>
      </c>
      <c r="I852" t="inlineStr">
        <is>
          <t>2 Utgifter</t>
        </is>
      </c>
      <c r="J852" t="inlineStr">
        <is>
          <t>11 Refusjon lønn</t>
        </is>
      </c>
      <c r="K852" t="n">
        <v>1200</v>
      </c>
      <c r="L852" t="n">
        <v>120045</v>
      </c>
      <c r="M852" t="inlineStr">
        <is>
          <t>Kjøkkenutstyr</t>
        </is>
      </c>
      <c r="N852" s="98" t="n">
        <v>0</v>
      </c>
      <c r="O852" s="98" t="n">
        <v>0</v>
      </c>
      <c r="P852" s="98" t="n">
        <v>0</v>
      </c>
      <c r="Q852" s="98" t="n">
        <v>0</v>
      </c>
    </row>
    <row r="853">
      <c r="A853" t="inlineStr">
        <is>
          <t>2024-12</t>
        </is>
      </c>
      <c r="B853" t="inlineStr">
        <is>
          <t>Desember</t>
        </is>
      </c>
      <c r="C853" t="n">
        <v>12</v>
      </c>
      <c r="D853" t="inlineStr">
        <is>
          <t>T3</t>
        </is>
      </c>
      <c r="E853" t="inlineStr">
        <is>
          <t>Gjenstående budsjett</t>
        </is>
      </c>
      <c r="F853" t="inlineStr">
        <is>
          <t>Kommunal Boenhet</t>
        </is>
      </c>
      <c r="G853" t="n">
        <v>254</v>
      </c>
      <c r="H853" t="inlineStr">
        <is>
          <t>Helse og mestring</t>
        </is>
      </c>
      <c r="I853" t="inlineStr">
        <is>
          <t>2 Utgifter</t>
        </is>
      </c>
      <c r="J853" t="inlineStr">
        <is>
          <t>11 Refusjon lønn</t>
        </is>
      </c>
      <c r="K853" t="n">
        <v>1200</v>
      </c>
      <c r="L853" t="n">
        <v>120045</v>
      </c>
      <c r="M853" t="inlineStr">
        <is>
          <t>Kjøkkenutstyr</t>
        </is>
      </c>
      <c r="N853" s="98" t="n">
        <v>0</v>
      </c>
      <c r="O853" s="98" t="n">
        <v>0</v>
      </c>
      <c r="P853" s="98" t="n">
        <v>0</v>
      </c>
      <c r="Q853" s="98" t="n">
        <v>0</v>
      </c>
    </row>
    <row r="854">
      <c r="A854" t="inlineStr">
        <is>
          <t>2024-01</t>
        </is>
      </c>
      <c r="B854" t="inlineStr">
        <is>
          <t>Januar</t>
        </is>
      </c>
      <c r="C854" t="n">
        <v>1</v>
      </c>
      <c r="D854" t="inlineStr">
        <is>
          <t>T1</t>
        </is>
      </c>
      <c r="E854" t="inlineStr">
        <is>
          <t>Bokført</t>
        </is>
      </c>
      <c r="F854" t="inlineStr">
        <is>
          <t>Kommunal Boenhet</t>
        </is>
      </c>
      <c r="G854" t="n">
        <v>254</v>
      </c>
      <c r="H854" t="inlineStr">
        <is>
          <t>Helse og mestring</t>
        </is>
      </c>
      <c r="I854" t="inlineStr">
        <is>
          <t>2 Utgifter</t>
        </is>
      </c>
      <c r="J854" t="inlineStr">
        <is>
          <t>11 Refusjon lønn</t>
        </is>
      </c>
      <c r="K854" t="n">
        <v>1200</v>
      </c>
      <c r="L854" t="n">
        <v>120090</v>
      </c>
      <c r="M854" t="inlineStr">
        <is>
          <t>Annet utstyr / andre maskiner</t>
        </is>
      </c>
      <c r="N854" s="98" t="n">
        <v>0</v>
      </c>
      <c r="O854" s="98" t="n">
        <v>0</v>
      </c>
      <c r="P854" s="98" t="n">
        <v>0</v>
      </c>
      <c r="Q854" s="98" t="n">
        <v>0</v>
      </c>
    </row>
    <row r="855">
      <c r="A855" t="inlineStr">
        <is>
          <t>2024-02</t>
        </is>
      </c>
      <c r="B855" t="inlineStr">
        <is>
          <t>Februar</t>
        </is>
      </c>
      <c r="C855" t="n">
        <v>2</v>
      </c>
      <c r="D855" t="inlineStr">
        <is>
          <t>T1</t>
        </is>
      </c>
      <c r="E855" t="inlineStr">
        <is>
          <t>Bokført</t>
        </is>
      </c>
      <c r="F855" t="inlineStr">
        <is>
          <t>Kommunal Boenhet</t>
        </is>
      </c>
      <c r="G855" t="n">
        <v>254</v>
      </c>
      <c r="H855" t="inlineStr">
        <is>
          <t>Helse og mestring</t>
        </is>
      </c>
      <c r="I855" t="inlineStr">
        <is>
          <t>2 Utgifter</t>
        </is>
      </c>
      <c r="J855" t="inlineStr">
        <is>
          <t>11 Refusjon lønn</t>
        </is>
      </c>
      <c r="K855" t="n">
        <v>1200</v>
      </c>
      <c r="L855" t="n">
        <v>120090</v>
      </c>
      <c r="M855" t="inlineStr">
        <is>
          <t>Annet utstyr / andre maskiner</t>
        </is>
      </c>
      <c r="N855" s="98" t="n">
        <v>0</v>
      </c>
      <c r="O855" s="98" t="n">
        <v>0</v>
      </c>
      <c r="P855" s="98" t="n">
        <v>0</v>
      </c>
      <c r="Q855" s="98" t="n">
        <v>0</v>
      </c>
    </row>
    <row r="856">
      <c r="A856" t="inlineStr">
        <is>
          <t>2024-03</t>
        </is>
      </c>
      <c r="B856" t="inlineStr">
        <is>
          <t>Mars</t>
        </is>
      </c>
      <c r="C856" t="n">
        <v>3</v>
      </c>
      <c r="D856" t="inlineStr">
        <is>
          <t>T1</t>
        </is>
      </c>
      <c r="E856" t="inlineStr">
        <is>
          <t>Bokført</t>
        </is>
      </c>
      <c r="F856" t="inlineStr">
        <is>
          <t>Kommunal Boenhet</t>
        </is>
      </c>
      <c r="G856" t="n">
        <v>254</v>
      </c>
      <c r="H856" t="inlineStr">
        <is>
          <t>Helse og mestring</t>
        </is>
      </c>
      <c r="I856" t="inlineStr">
        <is>
          <t>2 Utgifter</t>
        </is>
      </c>
      <c r="J856" t="inlineStr">
        <is>
          <t>11 Refusjon lønn</t>
        </is>
      </c>
      <c r="K856" t="n">
        <v>1200</v>
      </c>
      <c r="L856" t="n">
        <v>120090</v>
      </c>
      <c r="M856" t="inlineStr">
        <is>
          <t>Annet utstyr / andre maskiner</t>
        </is>
      </c>
      <c r="N856" s="98" t="n">
        <v>0</v>
      </c>
      <c r="O856" s="98" t="n">
        <v>0</v>
      </c>
      <c r="P856" s="98" t="n">
        <v>0</v>
      </c>
      <c r="Q856" s="98" t="n">
        <v>0</v>
      </c>
    </row>
    <row r="857">
      <c r="A857" t="inlineStr">
        <is>
          <t>2024-04</t>
        </is>
      </c>
      <c r="B857" t="inlineStr">
        <is>
          <t>April</t>
        </is>
      </c>
      <c r="C857" t="n">
        <v>4</v>
      </c>
      <c r="D857" t="inlineStr">
        <is>
          <t>T1</t>
        </is>
      </c>
      <c r="E857" t="inlineStr">
        <is>
          <t>Bokført</t>
        </is>
      </c>
      <c r="F857" t="inlineStr">
        <is>
          <t>Kommunal Boenhet</t>
        </is>
      </c>
      <c r="G857" t="n">
        <v>254</v>
      </c>
      <c r="H857" t="inlineStr">
        <is>
          <t>Helse og mestring</t>
        </is>
      </c>
      <c r="I857" t="inlineStr">
        <is>
          <t>2 Utgifter</t>
        </is>
      </c>
      <c r="J857" t="inlineStr">
        <is>
          <t>11 Refusjon lønn</t>
        </is>
      </c>
      <c r="K857" t="n">
        <v>1200</v>
      </c>
      <c r="L857" t="n">
        <v>120090</v>
      </c>
      <c r="M857" t="inlineStr">
        <is>
          <t>Annet utstyr / andre maskiner</t>
        </is>
      </c>
      <c r="N857" s="98" t="n">
        <v>0</v>
      </c>
      <c r="O857" s="98" t="n">
        <v>0</v>
      </c>
      <c r="P857" s="98" t="n">
        <v>0</v>
      </c>
      <c r="Q857" s="98" t="n">
        <v>0</v>
      </c>
    </row>
    <row r="858">
      <c r="A858" t="inlineStr">
        <is>
          <t>2024-05</t>
        </is>
      </c>
      <c r="B858" t="inlineStr">
        <is>
          <t>Mai</t>
        </is>
      </c>
      <c r="C858" t="n">
        <v>5</v>
      </c>
      <c r="D858" t="inlineStr">
        <is>
          <t>T2</t>
        </is>
      </c>
      <c r="E858" t="inlineStr">
        <is>
          <t>Bokført</t>
        </is>
      </c>
      <c r="F858" t="inlineStr">
        <is>
          <t>Kommunal Boenhet</t>
        </is>
      </c>
      <c r="G858" t="n">
        <v>254</v>
      </c>
      <c r="H858" t="inlineStr">
        <is>
          <t>Helse og mestring</t>
        </is>
      </c>
      <c r="I858" t="inlineStr">
        <is>
          <t>2 Utgifter</t>
        </is>
      </c>
      <c r="J858" t="inlineStr">
        <is>
          <t>11 Refusjon lønn</t>
        </is>
      </c>
      <c r="K858" t="n">
        <v>1200</v>
      </c>
      <c r="L858" t="n">
        <v>120090</v>
      </c>
      <c r="M858" t="inlineStr">
        <is>
          <t>Annet utstyr / andre maskiner</t>
        </is>
      </c>
      <c r="N858" s="98" t="n">
        <v>0</v>
      </c>
      <c r="O858" s="98" t="n">
        <v>0</v>
      </c>
      <c r="P858" s="98" t="n">
        <v>0</v>
      </c>
      <c r="Q858" s="98" t="n">
        <v>0</v>
      </c>
    </row>
    <row r="859">
      <c r="A859" t="inlineStr">
        <is>
          <t>2024-06</t>
        </is>
      </c>
      <c r="B859" t="inlineStr">
        <is>
          <t>Juni</t>
        </is>
      </c>
      <c r="C859" t="n">
        <v>6</v>
      </c>
      <c r="D859" t="inlineStr">
        <is>
          <t>T2</t>
        </is>
      </c>
      <c r="E859" t="inlineStr">
        <is>
          <t>Bokført</t>
        </is>
      </c>
      <c r="F859" t="inlineStr">
        <is>
          <t>Kommunal Boenhet</t>
        </is>
      </c>
      <c r="G859" t="n">
        <v>254</v>
      </c>
      <c r="H859" t="inlineStr">
        <is>
          <t>Helse og mestring</t>
        </is>
      </c>
      <c r="I859" t="inlineStr">
        <is>
          <t>2 Utgifter</t>
        </is>
      </c>
      <c r="J859" t="inlineStr">
        <is>
          <t>11 Refusjon lønn</t>
        </is>
      </c>
      <c r="K859" t="n">
        <v>1200</v>
      </c>
      <c r="L859" t="n">
        <v>120090</v>
      </c>
      <c r="M859" t="inlineStr">
        <is>
          <t>Annet utstyr / andre maskiner</t>
        </is>
      </c>
      <c r="N859" s="98" t="n">
        <v>0</v>
      </c>
      <c r="O859" s="98" t="n">
        <v>0</v>
      </c>
      <c r="P859" s="98" t="n">
        <v>0</v>
      </c>
      <c r="Q859" s="98" t="n">
        <v>0</v>
      </c>
    </row>
    <row r="860">
      <c r="A860" t="inlineStr">
        <is>
          <t>2024-07</t>
        </is>
      </c>
      <c r="B860" t="inlineStr">
        <is>
          <t>Juli</t>
        </is>
      </c>
      <c r="C860" t="n">
        <v>7</v>
      </c>
      <c r="D860" t="inlineStr">
        <is>
          <t>T2</t>
        </is>
      </c>
      <c r="E860" t="inlineStr">
        <is>
          <t>Bokført</t>
        </is>
      </c>
      <c r="F860" t="inlineStr">
        <is>
          <t>Kommunal Boenhet</t>
        </is>
      </c>
      <c r="G860" t="n">
        <v>254</v>
      </c>
      <c r="H860" t="inlineStr">
        <is>
          <t>Helse og mestring</t>
        </is>
      </c>
      <c r="I860" t="inlineStr">
        <is>
          <t>2 Utgifter</t>
        </is>
      </c>
      <c r="J860" t="inlineStr">
        <is>
          <t>11 Refusjon lønn</t>
        </is>
      </c>
      <c r="K860" t="n">
        <v>1200</v>
      </c>
      <c r="L860" t="n">
        <v>120090</v>
      </c>
      <c r="M860" t="inlineStr">
        <is>
          <t>Annet utstyr / andre maskiner</t>
        </is>
      </c>
      <c r="N860" s="98" t="n">
        <v>0</v>
      </c>
      <c r="O860" s="98" t="n">
        <v>0</v>
      </c>
      <c r="P860" s="98" t="n">
        <v>0</v>
      </c>
      <c r="Q860" s="98" t="n">
        <v>0</v>
      </c>
    </row>
    <row r="861">
      <c r="A861" t="inlineStr">
        <is>
          <t>2024-08</t>
        </is>
      </c>
      <c r="B861" t="inlineStr">
        <is>
          <t>August</t>
        </is>
      </c>
      <c r="C861" t="n">
        <v>8</v>
      </c>
      <c r="D861" t="inlineStr">
        <is>
          <t>T2</t>
        </is>
      </c>
      <c r="E861" t="inlineStr">
        <is>
          <t>Bokført</t>
        </is>
      </c>
      <c r="F861" t="inlineStr">
        <is>
          <t>Kommunal Boenhet</t>
        </is>
      </c>
      <c r="G861" t="n">
        <v>254</v>
      </c>
      <c r="H861" t="inlineStr">
        <is>
          <t>Helse og mestring</t>
        </is>
      </c>
      <c r="I861" t="inlineStr">
        <is>
          <t>2 Utgifter</t>
        </is>
      </c>
      <c r="J861" t="inlineStr">
        <is>
          <t>11 Refusjon lønn</t>
        </is>
      </c>
      <c r="K861" t="n">
        <v>1200</v>
      </c>
      <c r="L861" t="n">
        <v>120090</v>
      </c>
      <c r="M861" t="inlineStr">
        <is>
          <t>Annet utstyr / andre maskiner</t>
        </is>
      </c>
      <c r="N861" s="98" t="n">
        <v>0</v>
      </c>
      <c r="O861" s="98" t="n">
        <v>0</v>
      </c>
      <c r="P861" s="98" t="n">
        <v>0</v>
      </c>
      <c r="Q861" s="98" t="n">
        <v>0</v>
      </c>
    </row>
    <row r="862">
      <c r="A862" t="inlineStr">
        <is>
          <t>2024-09</t>
        </is>
      </c>
      <c r="B862" t="inlineStr">
        <is>
          <t>September</t>
        </is>
      </c>
      <c r="C862" t="n">
        <v>9</v>
      </c>
      <c r="D862" t="inlineStr">
        <is>
          <t>T3</t>
        </is>
      </c>
      <c r="E862" t="inlineStr">
        <is>
          <t>Gjenstående budsjett</t>
        </is>
      </c>
      <c r="F862" t="inlineStr">
        <is>
          <t>Kommunal Boenhet</t>
        </is>
      </c>
      <c r="G862" t="n">
        <v>254</v>
      </c>
      <c r="H862" t="inlineStr">
        <is>
          <t>Helse og mestring</t>
        </is>
      </c>
      <c r="I862" t="inlineStr">
        <is>
          <t>2 Utgifter</t>
        </is>
      </c>
      <c r="J862" t="inlineStr">
        <is>
          <t>11 Refusjon lønn</t>
        </is>
      </c>
      <c r="K862" t="n">
        <v>1200</v>
      </c>
      <c r="L862" t="n">
        <v>120090</v>
      </c>
      <c r="M862" t="inlineStr">
        <is>
          <t>Annet utstyr / andre maskiner</t>
        </is>
      </c>
      <c r="N862" s="98" t="n">
        <v>0</v>
      </c>
      <c r="O862" s="98" t="n">
        <v>0</v>
      </c>
      <c r="P862" s="98" t="n">
        <v>0</v>
      </c>
      <c r="Q862" s="98" t="n">
        <v>0</v>
      </c>
    </row>
    <row r="863">
      <c r="A863" t="inlineStr">
        <is>
          <t>2024-10</t>
        </is>
      </c>
      <c r="B863" t="inlineStr">
        <is>
          <t>Oktober</t>
        </is>
      </c>
      <c r="C863" t="n">
        <v>10</v>
      </c>
      <c r="D863" t="inlineStr">
        <is>
          <t>T3</t>
        </is>
      </c>
      <c r="E863" t="inlineStr">
        <is>
          <t>Gjenstående budsjett</t>
        </is>
      </c>
      <c r="F863" t="inlineStr">
        <is>
          <t>Kommunal Boenhet</t>
        </is>
      </c>
      <c r="G863" t="n">
        <v>254</v>
      </c>
      <c r="H863" t="inlineStr">
        <is>
          <t>Helse og mestring</t>
        </is>
      </c>
      <c r="I863" t="inlineStr">
        <is>
          <t>2 Utgifter</t>
        </is>
      </c>
      <c r="J863" t="inlineStr">
        <is>
          <t>11 Refusjon lønn</t>
        </is>
      </c>
      <c r="K863" t="n">
        <v>1200</v>
      </c>
      <c r="L863" t="n">
        <v>120090</v>
      </c>
      <c r="M863" t="inlineStr">
        <is>
          <t>Annet utstyr / andre maskiner</t>
        </is>
      </c>
      <c r="N863" s="98" t="n">
        <v>0</v>
      </c>
      <c r="O863" s="98" t="n">
        <v>0</v>
      </c>
      <c r="P863" s="98" t="n">
        <v>0</v>
      </c>
      <c r="Q863" s="98" t="n">
        <v>0</v>
      </c>
    </row>
    <row r="864">
      <c r="A864" t="inlineStr">
        <is>
          <t>2024-11</t>
        </is>
      </c>
      <c r="B864" t="inlineStr">
        <is>
          <t>November</t>
        </is>
      </c>
      <c r="C864" t="n">
        <v>11</v>
      </c>
      <c r="D864" t="inlineStr">
        <is>
          <t>T3</t>
        </is>
      </c>
      <c r="E864" t="inlineStr">
        <is>
          <t>Gjenstående budsjett</t>
        </is>
      </c>
      <c r="F864" t="inlineStr">
        <is>
          <t>Kommunal Boenhet</t>
        </is>
      </c>
      <c r="G864" t="n">
        <v>254</v>
      </c>
      <c r="H864" t="inlineStr">
        <is>
          <t>Helse og mestring</t>
        </is>
      </c>
      <c r="I864" t="inlineStr">
        <is>
          <t>2 Utgifter</t>
        </is>
      </c>
      <c r="J864" t="inlineStr">
        <is>
          <t>11 Refusjon lønn</t>
        </is>
      </c>
      <c r="K864" t="n">
        <v>1200</v>
      </c>
      <c r="L864" t="n">
        <v>120090</v>
      </c>
      <c r="M864" t="inlineStr">
        <is>
          <t>Annet utstyr / andre maskiner</t>
        </is>
      </c>
      <c r="N864" s="98" t="n">
        <v>0</v>
      </c>
      <c r="O864" s="98" t="n">
        <v>0</v>
      </c>
      <c r="P864" s="98" t="n">
        <v>0</v>
      </c>
      <c r="Q864" s="98" t="n">
        <v>0</v>
      </c>
    </row>
    <row r="865">
      <c r="A865" t="inlineStr">
        <is>
          <t>2024-12</t>
        </is>
      </c>
      <c r="B865" t="inlineStr">
        <is>
          <t>Desember</t>
        </is>
      </c>
      <c r="C865" t="n">
        <v>12</v>
      </c>
      <c r="D865" t="inlineStr">
        <is>
          <t>T3</t>
        </is>
      </c>
      <c r="E865" t="inlineStr">
        <is>
          <t>Gjenstående budsjett</t>
        </is>
      </c>
      <c r="F865" t="inlineStr">
        <is>
          <t>Kommunal Boenhet</t>
        </is>
      </c>
      <c r="G865" t="n">
        <v>254</v>
      </c>
      <c r="H865" t="inlineStr">
        <is>
          <t>Helse og mestring</t>
        </is>
      </c>
      <c r="I865" t="inlineStr">
        <is>
          <t>2 Utgifter</t>
        </is>
      </c>
      <c r="J865" t="inlineStr">
        <is>
          <t>11 Refusjon lønn</t>
        </is>
      </c>
      <c r="K865" t="n">
        <v>1200</v>
      </c>
      <c r="L865" t="n">
        <v>120090</v>
      </c>
      <c r="M865" t="inlineStr">
        <is>
          <t>Annet utstyr / andre maskiner</t>
        </is>
      </c>
      <c r="N865" s="98" t="n">
        <v>0</v>
      </c>
      <c r="O865" s="98" t="n">
        <v>0</v>
      </c>
      <c r="P865" s="98" t="n">
        <v>0</v>
      </c>
      <c r="Q865" s="98" t="n">
        <v>0</v>
      </c>
    </row>
    <row r="866">
      <c r="A866" t="inlineStr">
        <is>
          <t>2024-01</t>
        </is>
      </c>
      <c r="B866" t="inlineStr">
        <is>
          <t>Januar</t>
        </is>
      </c>
      <c r="C866" t="n">
        <v>1</v>
      </c>
      <c r="D866" t="inlineStr">
        <is>
          <t>T1</t>
        </is>
      </c>
      <c r="E866" t="inlineStr">
        <is>
          <t>Bokført</t>
        </is>
      </c>
      <c r="F866" t="inlineStr">
        <is>
          <t>Kommunal Boenhet</t>
        </is>
      </c>
      <c r="G866" t="n">
        <v>254</v>
      </c>
      <c r="H866" t="inlineStr">
        <is>
          <t>Helse og mestring</t>
        </is>
      </c>
      <c r="I866" t="inlineStr">
        <is>
          <t>2 Utgifter</t>
        </is>
      </c>
      <c r="J866" t="inlineStr">
        <is>
          <t>11 Refusjon lønn</t>
        </is>
      </c>
      <c r="K866" t="n">
        <v>1210</v>
      </c>
      <c r="L866" t="n">
        <v>121010</v>
      </c>
      <c r="M866" t="inlineStr">
        <is>
          <t>Leie / leasing av transportmidler</t>
        </is>
      </c>
      <c r="N866" s="98" t="n">
        <v>0</v>
      </c>
      <c r="O866" s="98" t="n">
        <v>221.4</v>
      </c>
      <c r="P866" s="98" t="n">
        <v>-221.4</v>
      </c>
      <c r="Q866" s="98" t="n">
        <v>221.4</v>
      </c>
    </row>
    <row r="867">
      <c r="A867" t="inlineStr">
        <is>
          <t>2024-02</t>
        </is>
      </c>
      <c r="B867" t="inlineStr">
        <is>
          <t>Februar</t>
        </is>
      </c>
      <c r="C867" t="n">
        <v>2</v>
      </c>
      <c r="D867" t="inlineStr">
        <is>
          <t>T1</t>
        </is>
      </c>
      <c r="E867" t="inlineStr">
        <is>
          <t>Bokført</t>
        </is>
      </c>
      <c r="F867" t="inlineStr">
        <is>
          <t>Kommunal Boenhet</t>
        </is>
      </c>
      <c r="G867" t="n">
        <v>254</v>
      </c>
      <c r="H867" t="inlineStr">
        <is>
          <t>Helse og mestring</t>
        </is>
      </c>
      <c r="I867" t="inlineStr">
        <is>
          <t>2 Utgifter</t>
        </is>
      </c>
      <c r="J867" t="inlineStr">
        <is>
          <t>11 Refusjon lønn</t>
        </is>
      </c>
      <c r="K867" t="n">
        <v>1210</v>
      </c>
      <c r="L867" t="n">
        <v>121010</v>
      </c>
      <c r="M867" t="inlineStr">
        <is>
          <t>Leie / leasing av transportmidler</t>
        </is>
      </c>
      <c r="N867" s="98" t="n">
        <v>0</v>
      </c>
      <c r="O867" s="98" t="n">
        <v>3564.51</v>
      </c>
      <c r="P867" s="98" t="n">
        <v>-3564.51</v>
      </c>
      <c r="Q867" s="98" t="n">
        <v>3564.51</v>
      </c>
    </row>
    <row r="868">
      <c r="A868" t="inlineStr">
        <is>
          <t>2024-03</t>
        </is>
      </c>
      <c r="B868" t="inlineStr">
        <is>
          <t>Mars</t>
        </is>
      </c>
      <c r="C868" t="n">
        <v>3</v>
      </c>
      <c r="D868" t="inlineStr">
        <is>
          <t>T1</t>
        </is>
      </c>
      <c r="E868" t="inlineStr">
        <is>
          <t>Bokført</t>
        </is>
      </c>
      <c r="F868" t="inlineStr">
        <is>
          <t>Kommunal Boenhet</t>
        </is>
      </c>
      <c r="G868" t="n">
        <v>254</v>
      </c>
      <c r="H868" t="inlineStr">
        <is>
          <t>Helse og mestring</t>
        </is>
      </c>
      <c r="I868" t="inlineStr">
        <is>
          <t>2 Utgifter</t>
        </is>
      </c>
      <c r="J868" t="inlineStr">
        <is>
          <t>11 Refusjon lønn</t>
        </is>
      </c>
      <c r="K868" t="n">
        <v>1210</v>
      </c>
      <c r="L868" t="n">
        <v>121010</v>
      </c>
      <c r="M868" t="inlineStr">
        <is>
          <t>Leie / leasing av transportmidler</t>
        </is>
      </c>
      <c r="N868" s="98" t="n">
        <v>0</v>
      </c>
      <c r="O868" s="98" t="n">
        <v>3595.97</v>
      </c>
      <c r="P868" s="98" t="n">
        <v>-3595.97</v>
      </c>
      <c r="Q868" s="98" t="n">
        <v>3595.97</v>
      </c>
    </row>
    <row r="869">
      <c r="A869" t="inlineStr">
        <is>
          <t>2024-04</t>
        </is>
      </c>
      <c r="B869" t="inlineStr">
        <is>
          <t>April</t>
        </is>
      </c>
      <c r="C869" t="n">
        <v>4</v>
      </c>
      <c r="D869" t="inlineStr">
        <is>
          <t>T1</t>
        </is>
      </c>
      <c r="E869" t="inlineStr">
        <is>
          <t>Bokført</t>
        </is>
      </c>
      <c r="F869" t="inlineStr">
        <is>
          <t>Kommunal Boenhet</t>
        </is>
      </c>
      <c r="G869" t="n">
        <v>254</v>
      </c>
      <c r="H869" t="inlineStr">
        <is>
          <t>Helse og mestring</t>
        </is>
      </c>
      <c r="I869" t="inlineStr">
        <is>
          <t>2 Utgifter</t>
        </is>
      </c>
      <c r="J869" t="inlineStr">
        <is>
          <t>11 Refusjon lønn</t>
        </is>
      </c>
      <c r="K869" t="n">
        <v>1210</v>
      </c>
      <c r="L869" t="n">
        <v>121010</v>
      </c>
      <c r="M869" t="inlineStr">
        <is>
          <t>Leie / leasing av transportmidler</t>
        </is>
      </c>
      <c r="N869" s="98" t="n">
        <v>0</v>
      </c>
      <c r="O869" s="98" t="n">
        <v>3938.21</v>
      </c>
      <c r="P869" s="98" t="n">
        <v>-3938.21</v>
      </c>
      <c r="Q869" s="98" t="n">
        <v>3938.21</v>
      </c>
    </row>
    <row r="870">
      <c r="A870" t="inlineStr">
        <is>
          <t>2024-05</t>
        </is>
      </c>
      <c r="B870" t="inlineStr">
        <is>
          <t>Mai</t>
        </is>
      </c>
      <c r="C870" t="n">
        <v>5</v>
      </c>
      <c r="D870" t="inlineStr">
        <is>
          <t>T2</t>
        </is>
      </c>
      <c r="E870" t="inlineStr">
        <is>
          <t>Bokført</t>
        </is>
      </c>
      <c r="F870" t="inlineStr">
        <is>
          <t>Kommunal Boenhet</t>
        </is>
      </c>
      <c r="G870" t="n">
        <v>254</v>
      </c>
      <c r="H870" t="inlineStr">
        <is>
          <t>Helse og mestring</t>
        </is>
      </c>
      <c r="I870" t="inlineStr">
        <is>
          <t>2 Utgifter</t>
        </is>
      </c>
      <c r="J870" t="inlineStr">
        <is>
          <t>11 Refusjon lønn</t>
        </is>
      </c>
      <c r="K870" t="n">
        <v>1210</v>
      </c>
      <c r="L870" t="n">
        <v>121010</v>
      </c>
      <c r="M870" t="inlineStr">
        <is>
          <t>Leie / leasing av transportmidler</t>
        </is>
      </c>
      <c r="N870" s="98" t="n">
        <v>0</v>
      </c>
      <c r="O870" s="98" t="n">
        <v>4730.22</v>
      </c>
      <c r="P870" s="98" t="n">
        <v>-4730.22</v>
      </c>
      <c r="Q870" s="98" t="n">
        <v>4730.22</v>
      </c>
    </row>
    <row r="871">
      <c r="A871" t="inlineStr">
        <is>
          <t>2024-06</t>
        </is>
      </c>
      <c r="B871" t="inlineStr">
        <is>
          <t>Juni</t>
        </is>
      </c>
      <c r="C871" t="n">
        <v>6</v>
      </c>
      <c r="D871" t="inlineStr">
        <is>
          <t>T2</t>
        </is>
      </c>
      <c r="E871" t="inlineStr">
        <is>
          <t>Bokført</t>
        </is>
      </c>
      <c r="F871" t="inlineStr">
        <is>
          <t>Kommunal Boenhet</t>
        </is>
      </c>
      <c r="G871" t="n">
        <v>254</v>
      </c>
      <c r="H871" t="inlineStr">
        <is>
          <t>Helse og mestring</t>
        </is>
      </c>
      <c r="I871" t="inlineStr">
        <is>
          <t>2 Utgifter</t>
        </is>
      </c>
      <c r="J871" t="inlineStr">
        <is>
          <t>11 Refusjon lønn</t>
        </is>
      </c>
      <c r="K871" t="n">
        <v>1210</v>
      </c>
      <c r="L871" t="n">
        <v>121010</v>
      </c>
      <c r="M871" t="inlineStr">
        <is>
          <t>Leie / leasing av transportmidler</t>
        </is>
      </c>
      <c r="N871" s="98" t="n">
        <v>0</v>
      </c>
      <c r="O871" s="98" t="n">
        <v>1416.2</v>
      </c>
      <c r="P871" s="98" t="n">
        <v>-1416.2</v>
      </c>
      <c r="Q871" s="98" t="n">
        <v>1416.2</v>
      </c>
    </row>
    <row r="872">
      <c r="A872" t="inlineStr">
        <is>
          <t>2024-07</t>
        </is>
      </c>
      <c r="B872" t="inlineStr">
        <is>
          <t>Juli</t>
        </is>
      </c>
      <c r="C872" t="n">
        <v>7</v>
      </c>
      <c r="D872" t="inlineStr">
        <is>
          <t>T2</t>
        </is>
      </c>
      <c r="E872" t="inlineStr">
        <is>
          <t>Bokført</t>
        </is>
      </c>
      <c r="F872" t="inlineStr">
        <is>
          <t>Kommunal Boenhet</t>
        </is>
      </c>
      <c r="G872" t="n">
        <v>254</v>
      </c>
      <c r="H872" t="inlineStr">
        <is>
          <t>Helse og mestring</t>
        </is>
      </c>
      <c r="I872" t="inlineStr">
        <is>
          <t>2 Utgifter</t>
        </is>
      </c>
      <c r="J872" t="inlineStr">
        <is>
          <t>11 Refusjon lønn</t>
        </is>
      </c>
      <c r="K872" t="n">
        <v>1210</v>
      </c>
      <c r="L872" t="n">
        <v>121010</v>
      </c>
      <c r="M872" t="inlineStr">
        <is>
          <t>Leie / leasing av transportmidler</t>
        </is>
      </c>
      <c r="N872" s="98" t="n">
        <v>0</v>
      </c>
      <c r="O872" s="98" t="n">
        <v>3719.8</v>
      </c>
      <c r="P872" s="98" t="n">
        <v>-3719.8</v>
      </c>
      <c r="Q872" s="98" t="n">
        <v>3719.8</v>
      </c>
    </row>
    <row r="873">
      <c r="A873" t="inlineStr">
        <is>
          <t>2024-08</t>
        </is>
      </c>
      <c r="B873" t="inlineStr">
        <is>
          <t>August</t>
        </is>
      </c>
      <c r="C873" t="n">
        <v>8</v>
      </c>
      <c r="D873" t="inlineStr">
        <is>
          <t>T2</t>
        </is>
      </c>
      <c r="E873" t="inlineStr">
        <is>
          <t>Bokført</t>
        </is>
      </c>
      <c r="F873" t="inlineStr">
        <is>
          <t>Kommunal Boenhet</t>
        </is>
      </c>
      <c r="G873" t="n">
        <v>254</v>
      </c>
      <c r="H873" t="inlineStr">
        <is>
          <t>Helse og mestring</t>
        </is>
      </c>
      <c r="I873" t="inlineStr">
        <is>
          <t>2 Utgifter</t>
        </is>
      </c>
      <c r="J873" t="inlineStr">
        <is>
          <t>11 Refusjon lønn</t>
        </is>
      </c>
      <c r="K873" t="n">
        <v>1210</v>
      </c>
      <c r="L873" t="n">
        <v>121010</v>
      </c>
      <c r="M873" t="inlineStr">
        <is>
          <t>Leie / leasing av transportmidler</t>
        </is>
      </c>
      <c r="N873" s="98" t="n">
        <v>0</v>
      </c>
      <c r="O873" s="98" t="n">
        <v>468.81</v>
      </c>
      <c r="P873" s="98" t="n">
        <v>-468.81</v>
      </c>
      <c r="Q873" s="98" t="n">
        <v>468.81</v>
      </c>
    </row>
    <row r="874">
      <c r="A874" t="inlineStr">
        <is>
          <t>2024-09</t>
        </is>
      </c>
      <c r="B874" t="inlineStr">
        <is>
          <t>September</t>
        </is>
      </c>
      <c r="C874" t="n">
        <v>9</v>
      </c>
      <c r="D874" t="inlineStr">
        <is>
          <t>T3</t>
        </is>
      </c>
      <c r="E874" t="inlineStr">
        <is>
          <t>Gjenstående budsjett</t>
        </is>
      </c>
      <c r="F874" t="inlineStr">
        <is>
          <t>Kommunal Boenhet</t>
        </is>
      </c>
      <c r="G874" t="n">
        <v>254</v>
      </c>
      <c r="H874" t="inlineStr">
        <is>
          <t>Helse og mestring</t>
        </is>
      </c>
      <c r="I874" t="inlineStr">
        <is>
          <t>2 Utgifter</t>
        </is>
      </c>
      <c r="J874" t="inlineStr">
        <is>
          <t>11 Refusjon lønn</t>
        </is>
      </c>
      <c r="K874" t="n">
        <v>1210</v>
      </c>
      <c r="L874" t="n">
        <v>121010</v>
      </c>
      <c r="M874" t="inlineStr">
        <is>
          <t>Leie / leasing av transportmidler</t>
        </is>
      </c>
      <c r="N874" s="98" t="n">
        <v>0</v>
      </c>
      <c r="O874" s="98" t="n">
        <v>0</v>
      </c>
      <c r="P874" s="98" t="n">
        <v>0</v>
      </c>
      <c r="Q874" s="98" t="n">
        <v>0</v>
      </c>
    </row>
    <row r="875">
      <c r="A875" t="inlineStr">
        <is>
          <t>2024-10</t>
        </is>
      </c>
      <c r="B875" t="inlineStr">
        <is>
          <t>Oktober</t>
        </is>
      </c>
      <c r="C875" t="n">
        <v>10</v>
      </c>
      <c r="D875" t="inlineStr">
        <is>
          <t>T3</t>
        </is>
      </c>
      <c r="E875" t="inlineStr">
        <is>
          <t>Gjenstående budsjett</t>
        </is>
      </c>
      <c r="F875" t="inlineStr">
        <is>
          <t>Kommunal Boenhet</t>
        </is>
      </c>
      <c r="G875" t="n">
        <v>254</v>
      </c>
      <c r="H875" t="inlineStr">
        <is>
          <t>Helse og mestring</t>
        </is>
      </c>
      <c r="I875" t="inlineStr">
        <is>
          <t>2 Utgifter</t>
        </is>
      </c>
      <c r="J875" t="inlineStr">
        <is>
          <t>11 Refusjon lønn</t>
        </is>
      </c>
      <c r="K875" t="n">
        <v>1210</v>
      </c>
      <c r="L875" t="n">
        <v>121010</v>
      </c>
      <c r="M875" t="inlineStr">
        <is>
          <t>Leie / leasing av transportmidler</t>
        </is>
      </c>
      <c r="N875" s="98" t="n">
        <v>0</v>
      </c>
      <c r="O875" s="98" t="n">
        <v>0</v>
      </c>
      <c r="P875" s="98" t="n">
        <v>0</v>
      </c>
      <c r="Q875" s="98" t="n">
        <v>0</v>
      </c>
    </row>
    <row r="876">
      <c r="A876" t="inlineStr">
        <is>
          <t>2024-11</t>
        </is>
      </c>
      <c r="B876" t="inlineStr">
        <is>
          <t>November</t>
        </is>
      </c>
      <c r="C876" t="n">
        <v>11</v>
      </c>
      <c r="D876" t="inlineStr">
        <is>
          <t>T3</t>
        </is>
      </c>
      <c r="E876" t="inlineStr">
        <is>
          <t>Gjenstående budsjett</t>
        </is>
      </c>
      <c r="F876" t="inlineStr">
        <is>
          <t>Kommunal Boenhet</t>
        </is>
      </c>
      <c r="G876" t="n">
        <v>254</v>
      </c>
      <c r="H876" t="inlineStr">
        <is>
          <t>Helse og mestring</t>
        </is>
      </c>
      <c r="I876" t="inlineStr">
        <is>
          <t>2 Utgifter</t>
        </is>
      </c>
      <c r="J876" t="inlineStr">
        <is>
          <t>11 Refusjon lønn</t>
        </is>
      </c>
      <c r="K876" t="n">
        <v>1210</v>
      </c>
      <c r="L876" t="n">
        <v>121010</v>
      </c>
      <c r="M876" t="inlineStr">
        <is>
          <t>Leie / leasing av transportmidler</t>
        </is>
      </c>
      <c r="N876" s="98" t="n">
        <v>0</v>
      </c>
      <c r="O876" s="98" t="n">
        <v>0</v>
      </c>
      <c r="P876" s="98" t="n">
        <v>0</v>
      </c>
      <c r="Q876" s="98" t="n">
        <v>0</v>
      </c>
    </row>
    <row r="877">
      <c r="A877" t="inlineStr">
        <is>
          <t>2024-12</t>
        </is>
      </c>
      <c r="B877" t="inlineStr">
        <is>
          <t>Desember</t>
        </is>
      </c>
      <c r="C877" t="n">
        <v>12</v>
      </c>
      <c r="D877" t="inlineStr">
        <is>
          <t>T3</t>
        </is>
      </c>
      <c r="E877" t="inlineStr">
        <is>
          <t>Gjenstående budsjett</t>
        </is>
      </c>
      <c r="F877" t="inlineStr">
        <is>
          <t>Kommunal Boenhet</t>
        </is>
      </c>
      <c r="G877" t="n">
        <v>254</v>
      </c>
      <c r="H877" t="inlineStr">
        <is>
          <t>Helse og mestring</t>
        </is>
      </c>
      <c r="I877" t="inlineStr">
        <is>
          <t>2 Utgifter</t>
        </is>
      </c>
      <c r="J877" t="inlineStr">
        <is>
          <t>11 Refusjon lønn</t>
        </is>
      </c>
      <c r="K877" t="n">
        <v>1210</v>
      </c>
      <c r="L877" t="n">
        <v>121010</v>
      </c>
      <c r="M877" t="inlineStr">
        <is>
          <t>Leie / leasing av transportmidler</t>
        </is>
      </c>
      <c r="N877" s="98" t="n">
        <v>0</v>
      </c>
      <c r="O877" s="98" t="n">
        <v>0</v>
      </c>
      <c r="P877" s="98" t="n">
        <v>0</v>
      </c>
      <c r="Q877" s="98" t="n">
        <v>0</v>
      </c>
    </row>
    <row r="878">
      <c r="A878" t="inlineStr">
        <is>
          <t>2024-01</t>
        </is>
      </c>
      <c r="B878" t="inlineStr">
        <is>
          <t>Januar</t>
        </is>
      </c>
      <c r="C878" t="n">
        <v>1</v>
      </c>
      <c r="D878" t="inlineStr">
        <is>
          <t>T1</t>
        </is>
      </c>
      <c r="E878" t="inlineStr">
        <is>
          <t>Bokført</t>
        </is>
      </c>
      <c r="F878" t="inlineStr">
        <is>
          <t>Kommunal Boenhet</t>
        </is>
      </c>
      <c r="G878" t="n">
        <v>254</v>
      </c>
      <c r="H878" t="inlineStr">
        <is>
          <t>Helse og mestring</t>
        </is>
      </c>
      <c r="I878" t="inlineStr">
        <is>
          <t>2 Utgifter</t>
        </is>
      </c>
      <c r="J878" t="inlineStr">
        <is>
          <t>11 Refusjon lønn</t>
        </is>
      </c>
      <c r="K878" t="n">
        <v>1220</v>
      </c>
      <c r="L878" t="n">
        <v>122000</v>
      </c>
      <c r="M878" t="inlineStr">
        <is>
          <t>Leie av kontorutstyr / maskiner</t>
        </is>
      </c>
      <c r="N878" s="98" t="n">
        <v>1700</v>
      </c>
      <c r="O878" s="98" t="n">
        <v>2658</v>
      </c>
      <c r="P878" s="98" t="n">
        <v>-958</v>
      </c>
      <c r="Q878" s="98" t="n">
        <v>958</v>
      </c>
    </row>
    <row r="879">
      <c r="A879" t="inlineStr">
        <is>
          <t>2024-02</t>
        </is>
      </c>
      <c r="B879" t="inlineStr">
        <is>
          <t>Februar</t>
        </is>
      </c>
      <c r="C879" t="n">
        <v>2</v>
      </c>
      <c r="D879" t="inlineStr">
        <is>
          <t>T1</t>
        </is>
      </c>
      <c r="E879" t="inlineStr">
        <is>
          <t>Bokført</t>
        </is>
      </c>
      <c r="F879" t="inlineStr">
        <is>
          <t>Kommunal Boenhet</t>
        </is>
      </c>
      <c r="G879" t="n">
        <v>254</v>
      </c>
      <c r="H879" t="inlineStr">
        <is>
          <t>Helse og mestring</t>
        </is>
      </c>
      <c r="I879" t="inlineStr">
        <is>
          <t>2 Utgifter</t>
        </is>
      </c>
      <c r="J879" t="inlineStr">
        <is>
          <t>11 Refusjon lønn</t>
        </is>
      </c>
      <c r="K879" t="n">
        <v>1220</v>
      </c>
      <c r="L879" t="n">
        <v>122000</v>
      </c>
      <c r="M879" t="inlineStr">
        <is>
          <t>Leie av kontorutstyr / maskiner</t>
        </is>
      </c>
      <c r="N879" s="98" t="n">
        <v>1700</v>
      </c>
      <c r="O879" s="98" t="n">
        <v>0</v>
      </c>
      <c r="P879" s="98" t="n">
        <v>1700</v>
      </c>
      <c r="Q879" s="98" t="n">
        <v>-1700</v>
      </c>
    </row>
    <row r="880">
      <c r="A880" t="inlineStr">
        <is>
          <t>2024-03</t>
        </is>
      </c>
      <c r="B880" t="inlineStr">
        <is>
          <t>Mars</t>
        </is>
      </c>
      <c r="C880" t="n">
        <v>3</v>
      </c>
      <c r="D880" t="inlineStr">
        <is>
          <t>T1</t>
        </is>
      </c>
      <c r="E880" t="inlineStr">
        <is>
          <t>Bokført</t>
        </is>
      </c>
      <c r="F880" t="inlineStr">
        <is>
          <t>Kommunal Boenhet</t>
        </is>
      </c>
      <c r="G880" t="n">
        <v>254</v>
      </c>
      <c r="H880" t="inlineStr">
        <is>
          <t>Helse og mestring</t>
        </is>
      </c>
      <c r="I880" t="inlineStr">
        <is>
          <t>2 Utgifter</t>
        </is>
      </c>
      <c r="J880" t="inlineStr">
        <is>
          <t>11 Refusjon lønn</t>
        </is>
      </c>
      <c r="K880" t="n">
        <v>1220</v>
      </c>
      <c r="L880" t="n">
        <v>122000</v>
      </c>
      <c r="M880" t="inlineStr">
        <is>
          <t>Leie av kontorutstyr / maskiner</t>
        </is>
      </c>
      <c r="N880" s="98" t="n">
        <v>1700</v>
      </c>
      <c r="O880" s="98" t="n">
        <v>0</v>
      </c>
      <c r="P880" s="98" t="n">
        <v>1700</v>
      </c>
      <c r="Q880" s="98" t="n">
        <v>-1700</v>
      </c>
    </row>
    <row r="881">
      <c r="A881" t="inlineStr">
        <is>
          <t>2024-04</t>
        </is>
      </c>
      <c r="B881" t="inlineStr">
        <is>
          <t>April</t>
        </is>
      </c>
      <c r="C881" t="n">
        <v>4</v>
      </c>
      <c r="D881" t="inlineStr">
        <is>
          <t>T1</t>
        </is>
      </c>
      <c r="E881" t="inlineStr">
        <is>
          <t>Bokført</t>
        </is>
      </c>
      <c r="F881" t="inlineStr">
        <is>
          <t>Kommunal Boenhet</t>
        </is>
      </c>
      <c r="G881" t="n">
        <v>254</v>
      </c>
      <c r="H881" t="inlineStr">
        <is>
          <t>Helse og mestring</t>
        </is>
      </c>
      <c r="I881" t="inlineStr">
        <is>
          <t>2 Utgifter</t>
        </is>
      </c>
      <c r="J881" t="inlineStr">
        <is>
          <t>11 Refusjon lønn</t>
        </is>
      </c>
      <c r="K881" t="n">
        <v>1220</v>
      </c>
      <c r="L881" t="n">
        <v>122000</v>
      </c>
      <c r="M881" t="inlineStr">
        <is>
          <t>Leie av kontorutstyr / maskiner</t>
        </is>
      </c>
      <c r="N881" s="98" t="n">
        <v>1700</v>
      </c>
      <c r="O881" s="98" t="n">
        <v>2658</v>
      </c>
      <c r="P881" s="98" t="n">
        <v>-958</v>
      </c>
      <c r="Q881" s="98" t="n">
        <v>958</v>
      </c>
    </row>
    <row r="882">
      <c r="A882" t="inlineStr">
        <is>
          <t>2024-05</t>
        </is>
      </c>
      <c r="B882" t="inlineStr">
        <is>
          <t>Mai</t>
        </is>
      </c>
      <c r="C882" t="n">
        <v>5</v>
      </c>
      <c r="D882" t="inlineStr">
        <is>
          <t>T2</t>
        </is>
      </c>
      <c r="E882" t="inlineStr">
        <is>
          <t>Bokført</t>
        </is>
      </c>
      <c r="F882" t="inlineStr">
        <is>
          <t>Kommunal Boenhet</t>
        </is>
      </c>
      <c r="G882" t="n">
        <v>254</v>
      </c>
      <c r="H882" t="inlineStr">
        <is>
          <t>Helse og mestring</t>
        </is>
      </c>
      <c r="I882" t="inlineStr">
        <is>
          <t>2 Utgifter</t>
        </is>
      </c>
      <c r="J882" t="inlineStr">
        <is>
          <t>11 Refusjon lønn</t>
        </is>
      </c>
      <c r="K882" t="n">
        <v>1220</v>
      </c>
      <c r="L882" t="n">
        <v>122000</v>
      </c>
      <c r="M882" t="inlineStr">
        <is>
          <t>Leie av kontorutstyr / maskiner</t>
        </is>
      </c>
      <c r="N882" s="98" t="n">
        <v>1700</v>
      </c>
      <c r="O882" s="98" t="n">
        <v>0</v>
      </c>
      <c r="P882" s="98" t="n">
        <v>1700</v>
      </c>
      <c r="Q882" s="98" t="n">
        <v>-1700</v>
      </c>
    </row>
    <row r="883">
      <c r="A883" t="inlineStr">
        <is>
          <t>2024-06</t>
        </is>
      </c>
      <c r="B883" t="inlineStr">
        <is>
          <t>Juni</t>
        </is>
      </c>
      <c r="C883" t="n">
        <v>6</v>
      </c>
      <c r="D883" t="inlineStr">
        <is>
          <t>T2</t>
        </is>
      </c>
      <c r="E883" t="inlineStr">
        <is>
          <t>Bokført</t>
        </is>
      </c>
      <c r="F883" t="inlineStr">
        <is>
          <t>Kommunal Boenhet</t>
        </is>
      </c>
      <c r="G883" t="n">
        <v>254</v>
      </c>
      <c r="H883" t="inlineStr">
        <is>
          <t>Helse og mestring</t>
        </is>
      </c>
      <c r="I883" t="inlineStr">
        <is>
          <t>2 Utgifter</t>
        </is>
      </c>
      <c r="J883" t="inlineStr">
        <is>
          <t>11 Refusjon lønn</t>
        </is>
      </c>
      <c r="K883" t="n">
        <v>1220</v>
      </c>
      <c r="L883" t="n">
        <v>122000</v>
      </c>
      <c r="M883" t="inlineStr">
        <is>
          <t>Leie av kontorutstyr / maskiner</t>
        </is>
      </c>
      <c r="N883" s="98" t="n">
        <v>1700</v>
      </c>
      <c r="O883" s="98" t="n">
        <v>0</v>
      </c>
      <c r="P883" s="98" t="n">
        <v>1700</v>
      </c>
      <c r="Q883" s="98" t="n">
        <v>-1700</v>
      </c>
    </row>
    <row r="884">
      <c r="A884" t="inlineStr">
        <is>
          <t>2024-07</t>
        </is>
      </c>
      <c r="B884" t="inlineStr">
        <is>
          <t>Juli</t>
        </is>
      </c>
      <c r="C884" t="n">
        <v>7</v>
      </c>
      <c r="D884" t="inlineStr">
        <is>
          <t>T2</t>
        </is>
      </c>
      <c r="E884" t="inlineStr">
        <is>
          <t>Bokført</t>
        </is>
      </c>
      <c r="F884" t="inlineStr">
        <is>
          <t>Kommunal Boenhet</t>
        </is>
      </c>
      <c r="G884" t="n">
        <v>254</v>
      </c>
      <c r="H884" t="inlineStr">
        <is>
          <t>Helse og mestring</t>
        </is>
      </c>
      <c r="I884" t="inlineStr">
        <is>
          <t>2 Utgifter</t>
        </is>
      </c>
      <c r="J884" t="inlineStr">
        <is>
          <t>11 Refusjon lønn</t>
        </is>
      </c>
      <c r="K884" t="n">
        <v>1220</v>
      </c>
      <c r="L884" t="n">
        <v>122000</v>
      </c>
      <c r="M884" t="inlineStr">
        <is>
          <t>Leie av kontorutstyr / maskiner</t>
        </is>
      </c>
      <c r="N884" s="98" t="n">
        <v>1700</v>
      </c>
      <c r="O884" s="98" t="n">
        <v>2658</v>
      </c>
      <c r="P884" s="98" t="n">
        <v>-958</v>
      </c>
      <c r="Q884" s="98" t="n">
        <v>958</v>
      </c>
    </row>
    <row r="885">
      <c r="A885" t="inlineStr">
        <is>
          <t>2024-08</t>
        </is>
      </c>
      <c r="B885" t="inlineStr">
        <is>
          <t>August</t>
        </is>
      </c>
      <c r="C885" t="n">
        <v>8</v>
      </c>
      <c r="D885" t="inlineStr">
        <is>
          <t>T2</t>
        </is>
      </c>
      <c r="E885" t="inlineStr">
        <is>
          <t>Bokført</t>
        </is>
      </c>
      <c r="F885" t="inlineStr">
        <is>
          <t>Kommunal Boenhet</t>
        </is>
      </c>
      <c r="G885" t="n">
        <v>254</v>
      </c>
      <c r="H885" t="inlineStr">
        <is>
          <t>Helse og mestring</t>
        </is>
      </c>
      <c r="I885" t="inlineStr">
        <is>
          <t>2 Utgifter</t>
        </is>
      </c>
      <c r="J885" t="inlineStr">
        <is>
          <t>11 Refusjon lønn</t>
        </is>
      </c>
      <c r="K885" t="n">
        <v>1220</v>
      </c>
      <c r="L885" t="n">
        <v>122000</v>
      </c>
      <c r="M885" t="inlineStr">
        <is>
          <t>Leie av kontorutstyr / maskiner</t>
        </is>
      </c>
      <c r="N885" s="98" t="n">
        <v>1700</v>
      </c>
      <c r="O885" s="98" t="n">
        <v>0</v>
      </c>
      <c r="P885" s="98" t="n">
        <v>1700</v>
      </c>
      <c r="Q885" s="98" t="n">
        <v>-1700</v>
      </c>
    </row>
    <row r="886">
      <c r="A886" t="inlineStr">
        <is>
          <t>2024-09</t>
        </is>
      </c>
      <c r="B886" t="inlineStr">
        <is>
          <t>September</t>
        </is>
      </c>
      <c r="C886" t="n">
        <v>9</v>
      </c>
      <c r="D886" t="inlineStr">
        <is>
          <t>T3</t>
        </is>
      </c>
      <c r="E886" t="inlineStr">
        <is>
          <t>Gjenstående budsjett</t>
        </is>
      </c>
      <c r="F886" t="inlineStr">
        <is>
          <t>Kommunal Boenhet</t>
        </is>
      </c>
      <c r="G886" t="n">
        <v>254</v>
      </c>
      <c r="H886" t="inlineStr">
        <is>
          <t>Helse og mestring</t>
        </is>
      </c>
      <c r="I886" t="inlineStr">
        <is>
          <t>2 Utgifter</t>
        </is>
      </c>
      <c r="J886" t="inlineStr">
        <is>
          <t>11 Refusjon lønn</t>
        </is>
      </c>
      <c r="K886" t="n">
        <v>1220</v>
      </c>
      <c r="L886" t="n">
        <v>122000</v>
      </c>
      <c r="M886" t="inlineStr">
        <is>
          <t>Leie av kontorutstyr / maskiner</t>
        </is>
      </c>
      <c r="N886" s="98" t="n">
        <v>1700</v>
      </c>
      <c r="O886" s="98" t="n">
        <v>0</v>
      </c>
      <c r="P886" s="98" t="n">
        <v>0</v>
      </c>
      <c r="Q886" s="98" t="n">
        <v>-1700</v>
      </c>
    </row>
    <row r="887">
      <c r="A887" t="inlineStr">
        <is>
          <t>2024-10</t>
        </is>
      </c>
      <c r="B887" t="inlineStr">
        <is>
          <t>Oktober</t>
        </is>
      </c>
      <c r="C887" t="n">
        <v>10</v>
      </c>
      <c r="D887" t="inlineStr">
        <is>
          <t>T3</t>
        </is>
      </c>
      <c r="E887" t="inlineStr">
        <is>
          <t>Gjenstående budsjett</t>
        </is>
      </c>
      <c r="F887" t="inlineStr">
        <is>
          <t>Kommunal Boenhet</t>
        </is>
      </c>
      <c r="G887" t="n">
        <v>254</v>
      </c>
      <c r="H887" t="inlineStr">
        <is>
          <t>Helse og mestring</t>
        </is>
      </c>
      <c r="I887" t="inlineStr">
        <is>
          <t>2 Utgifter</t>
        </is>
      </c>
      <c r="J887" t="inlineStr">
        <is>
          <t>11 Refusjon lønn</t>
        </is>
      </c>
      <c r="K887" t="n">
        <v>1220</v>
      </c>
      <c r="L887" t="n">
        <v>122000</v>
      </c>
      <c r="M887" t="inlineStr">
        <is>
          <t>Leie av kontorutstyr / maskiner</t>
        </is>
      </c>
      <c r="N887" s="98" t="n">
        <v>1700</v>
      </c>
      <c r="O887" s="98" t="n">
        <v>0</v>
      </c>
      <c r="P887" s="98" t="n">
        <v>0</v>
      </c>
      <c r="Q887" s="98" t="n">
        <v>-1700</v>
      </c>
    </row>
    <row r="888">
      <c r="A888" t="inlineStr">
        <is>
          <t>2024-11</t>
        </is>
      </c>
      <c r="B888" t="inlineStr">
        <is>
          <t>November</t>
        </is>
      </c>
      <c r="C888" t="n">
        <v>11</v>
      </c>
      <c r="D888" t="inlineStr">
        <is>
          <t>T3</t>
        </is>
      </c>
      <c r="E888" t="inlineStr">
        <is>
          <t>Gjenstående budsjett</t>
        </is>
      </c>
      <c r="F888" t="inlineStr">
        <is>
          <t>Kommunal Boenhet</t>
        </is>
      </c>
      <c r="G888" t="n">
        <v>254</v>
      </c>
      <c r="H888" t="inlineStr">
        <is>
          <t>Helse og mestring</t>
        </is>
      </c>
      <c r="I888" t="inlineStr">
        <is>
          <t>2 Utgifter</t>
        </is>
      </c>
      <c r="J888" t="inlineStr">
        <is>
          <t>11 Refusjon lønn</t>
        </is>
      </c>
      <c r="K888" t="n">
        <v>1220</v>
      </c>
      <c r="L888" t="n">
        <v>122000</v>
      </c>
      <c r="M888" t="inlineStr">
        <is>
          <t>Leie av kontorutstyr / maskiner</t>
        </is>
      </c>
      <c r="N888" s="98" t="n">
        <v>1700</v>
      </c>
      <c r="O888" s="98" t="n">
        <v>0</v>
      </c>
      <c r="P888" s="98" t="n">
        <v>0</v>
      </c>
      <c r="Q888" s="98" t="n">
        <v>-1700</v>
      </c>
    </row>
    <row r="889">
      <c r="A889" t="inlineStr">
        <is>
          <t>2024-12</t>
        </is>
      </c>
      <c r="B889" t="inlineStr">
        <is>
          <t>Desember</t>
        </is>
      </c>
      <c r="C889" t="n">
        <v>12</v>
      </c>
      <c r="D889" t="inlineStr">
        <is>
          <t>T3</t>
        </is>
      </c>
      <c r="E889" t="inlineStr">
        <is>
          <t>Gjenstående budsjett</t>
        </is>
      </c>
      <c r="F889" t="inlineStr">
        <is>
          <t>Kommunal Boenhet</t>
        </is>
      </c>
      <c r="G889" t="n">
        <v>254</v>
      </c>
      <c r="H889" t="inlineStr">
        <is>
          <t>Helse og mestring</t>
        </is>
      </c>
      <c r="I889" t="inlineStr">
        <is>
          <t>2 Utgifter</t>
        </is>
      </c>
      <c r="J889" t="inlineStr">
        <is>
          <t>11 Refusjon lønn</t>
        </is>
      </c>
      <c r="K889" t="n">
        <v>1220</v>
      </c>
      <c r="L889" t="n">
        <v>122000</v>
      </c>
      <c r="M889" t="inlineStr">
        <is>
          <t>Leie av kontorutstyr / maskiner</t>
        </is>
      </c>
      <c r="N889" s="98" t="n">
        <v>1300</v>
      </c>
      <c r="O889" s="98" t="n">
        <v>0</v>
      </c>
      <c r="P889" s="98" t="n">
        <v>0</v>
      </c>
      <c r="Q889" s="98" t="n">
        <v>-1300</v>
      </c>
    </row>
    <row r="890">
      <c r="A890" t="inlineStr">
        <is>
          <t>2024-01</t>
        </is>
      </c>
      <c r="B890" t="inlineStr">
        <is>
          <t>Januar</t>
        </is>
      </c>
      <c r="C890" t="n">
        <v>1</v>
      </c>
      <c r="D890" t="inlineStr">
        <is>
          <t>T1</t>
        </is>
      </c>
      <c r="E890" t="inlineStr">
        <is>
          <t>Bokført</t>
        </is>
      </c>
      <c r="F890" t="inlineStr">
        <is>
          <t>Kommunal Boenhet</t>
        </is>
      </c>
      <c r="G890" t="n">
        <v>254</v>
      </c>
      <c r="H890" t="inlineStr">
        <is>
          <t>Helse og mestring</t>
        </is>
      </c>
      <c r="I890" t="inlineStr">
        <is>
          <t>2 Utgifter</t>
        </is>
      </c>
      <c r="J890" t="inlineStr">
        <is>
          <t>11 Refusjon lønn</t>
        </is>
      </c>
      <c r="K890" t="n">
        <v>1230</v>
      </c>
      <c r="L890" t="n">
        <v>123020</v>
      </c>
      <c r="M890" t="inlineStr">
        <is>
          <t>Vedlikehold - bygning</t>
        </is>
      </c>
      <c r="N890" s="98" t="n">
        <v>0</v>
      </c>
      <c r="O890" s="98" t="n">
        <v>0</v>
      </c>
      <c r="P890" s="98" t="n">
        <v>0</v>
      </c>
      <c r="Q890" s="98" t="n">
        <v>0</v>
      </c>
    </row>
    <row r="891">
      <c r="A891" t="inlineStr">
        <is>
          <t>2024-02</t>
        </is>
      </c>
      <c r="B891" t="inlineStr">
        <is>
          <t>Februar</t>
        </is>
      </c>
      <c r="C891" t="n">
        <v>2</v>
      </c>
      <c r="D891" t="inlineStr">
        <is>
          <t>T1</t>
        </is>
      </c>
      <c r="E891" t="inlineStr">
        <is>
          <t>Bokført</t>
        </is>
      </c>
      <c r="F891" t="inlineStr">
        <is>
          <t>Kommunal Boenhet</t>
        </is>
      </c>
      <c r="G891" t="n">
        <v>254</v>
      </c>
      <c r="H891" t="inlineStr">
        <is>
          <t>Helse og mestring</t>
        </is>
      </c>
      <c r="I891" t="inlineStr">
        <is>
          <t>2 Utgifter</t>
        </is>
      </c>
      <c r="J891" t="inlineStr">
        <is>
          <t>11 Refusjon lønn</t>
        </is>
      </c>
      <c r="K891" t="n">
        <v>1230</v>
      </c>
      <c r="L891" t="n">
        <v>123020</v>
      </c>
      <c r="M891" t="inlineStr">
        <is>
          <t>Vedlikehold - bygning</t>
        </is>
      </c>
      <c r="N891" s="98" t="n">
        <v>0</v>
      </c>
      <c r="O891" s="98" t="n">
        <v>0</v>
      </c>
      <c r="P891" s="98" t="n">
        <v>0</v>
      </c>
      <c r="Q891" s="98" t="n">
        <v>0</v>
      </c>
    </row>
    <row r="892">
      <c r="A892" t="inlineStr">
        <is>
          <t>2024-03</t>
        </is>
      </c>
      <c r="B892" t="inlineStr">
        <is>
          <t>Mars</t>
        </is>
      </c>
      <c r="C892" t="n">
        <v>3</v>
      </c>
      <c r="D892" t="inlineStr">
        <is>
          <t>T1</t>
        </is>
      </c>
      <c r="E892" t="inlineStr">
        <is>
          <t>Bokført</t>
        </is>
      </c>
      <c r="F892" t="inlineStr">
        <is>
          <t>Kommunal Boenhet</t>
        </is>
      </c>
      <c r="G892" t="n">
        <v>254</v>
      </c>
      <c r="H892" t="inlineStr">
        <is>
          <t>Helse og mestring</t>
        </is>
      </c>
      <c r="I892" t="inlineStr">
        <is>
          <t>2 Utgifter</t>
        </is>
      </c>
      <c r="J892" t="inlineStr">
        <is>
          <t>11 Refusjon lønn</t>
        </is>
      </c>
      <c r="K892" t="n">
        <v>1230</v>
      </c>
      <c r="L892" t="n">
        <v>123020</v>
      </c>
      <c r="M892" t="inlineStr">
        <is>
          <t>Vedlikehold - bygning</t>
        </is>
      </c>
      <c r="N892" s="98" t="n">
        <v>0</v>
      </c>
      <c r="O892" s="98" t="n">
        <v>0</v>
      </c>
      <c r="P892" s="98" t="n">
        <v>0</v>
      </c>
      <c r="Q892" s="98" t="n">
        <v>0</v>
      </c>
    </row>
    <row r="893">
      <c r="A893" t="inlineStr">
        <is>
          <t>2024-04</t>
        </is>
      </c>
      <c r="B893" t="inlineStr">
        <is>
          <t>April</t>
        </is>
      </c>
      <c r="C893" t="n">
        <v>4</v>
      </c>
      <c r="D893" t="inlineStr">
        <is>
          <t>T1</t>
        </is>
      </c>
      <c r="E893" t="inlineStr">
        <is>
          <t>Bokført</t>
        </is>
      </c>
      <c r="F893" t="inlineStr">
        <is>
          <t>Kommunal Boenhet</t>
        </is>
      </c>
      <c r="G893" t="n">
        <v>254</v>
      </c>
      <c r="H893" t="inlineStr">
        <is>
          <t>Helse og mestring</t>
        </is>
      </c>
      <c r="I893" t="inlineStr">
        <is>
          <t>2 Utgifter</t>
        </is>
      </c>
      <c r="J893" t="inlineStr">
        <is>
          <t>11 Refusjon lønn</t>
        </is>
      </c>
      <c r="K893" t="n">
        <v>1230</v>
      </c>
      <c r="L893" t="n">
        <v>123020</v>
      </c>
      <c r="M893" t="inlineStr">
        <is>
          <t>Vedlikehold - bygning</t>
        </is>
      </c>
      <c r="N893" s="98" t="n">
        <v>0</v>
      </c>
      <c r="O893" s="98" t="n">
        <v>0</v>
      </c>
      <c r="P893" s="98" t="n">
        <v>0</v>
      </c>
      <c r="Q893" s="98" t="n">
        <v>0</v>
      </c>
    </row>
    <row r="894">
      <c r="A894" t="inlineStr">
        <is>
          <t>2024-05</t>
        </is>
      </c>
      <c r="B894" t="inlineStr">
        <is>
          <t>Mai</t>
        </is>
      </c>
      <c r="C894" t="n">
        <v>5</v>
      </c>
      <c r="D894" t="inlineStr">
        <is>
          <t>T2</t>
        </is>
      </c>
      <c r="E894" t="inlineStr">
        <is>
          <t>Bokført</t>
        </is>
      </c>
      <c r="F894" t="inlineStr">
        <is>
          <t>Kommunal Boenhet</t>
        </is>
      </c>
      <c r="G894" t="n">
        <v>254</v>
      </c>
      <c r="H894" t="inlineStr">
        <is>
          <t>Helse og mestring</t>
        </is>
      </c>
      <c r="I894" t="inlineStr">
        <is>
          <t>2 Utgifter</t>
        </is>
      </c>
      <c r="J894" t="inlineStr">
        <is>
          <t>11 Refusjon lønn</t>
        </is>
      </c>
      <c r="K894" t="n">
        <v>1230</v>
      </c>
      <c r="L894" t="n">
        <v>123020</v>
      </c>
      <c r="M894" t="inlineStr">
        <is>
          <t>Vedlikehold - bygning</t>
        </is>
      </c>
      <c r="N894" s="98" t="n">
        <v>0</v>
      </c>
      <c r="O894" s="98" t="n">
        <v>0</v>
      </c>
      <c r="P894" s="98" t="n">
        <v>0</v>
      </c>
      <c r="Q894" s="98" t="n">
        <v>0</v>
      </c>
    </row>
    <row r="895">
      <c r="A895" t="inlineStr">
        <is>
          <t>2024-06</t>
        </is>
      </c>
      <c r="B895" t="inlineStr">
        <is>
          <t>Juni</t>
        </is>
      </c>
      <c r="C895" t="n">
        <v>6</v>
      </c>
      <c r="D895" t="inlineStr">
        <is>
          <t>T2</t>
        </is>
      </c>
      <c r="E895" t="inlineStr">
        <is>
          <t>Bokført</t>
        </is>
      </c>
      <c r="F895" t="inlineStr">
        <is>
          <t>Kommunal Boenhet</t>
        </is>
      </c>
      <c r="G895" t="n">
        <v>254</v>
      </c>
      <c r="H895" t="inlineStr">
        <is>
          <t>Helse og mestring</t>
        </is>
      </c>
      <c r="I895" t="inlineStr">
        <is>
          <t>2 Utgifter</t>
        </is>
      </c>
      <c r="J895" t="inlineStr">
        <is>
          <t>11 Refusjon lønn</t>
        </is>
      </c>
      <c r="K895" t="n">
        <v>1230</v>
      </c>
      <c r="L895" t="n">
        <v>123020</v>
      </c>
      <c r="M895" t="inlineStr">
        <is>
          <t>Vedlikehold - bygning</t>
        </is>
      </c>
      <c r="N895" s="98" t="n">
        <v>0</v>
      </c>
      <c r="O895" s="98" t="n">
        <v>0</v>
      </c>
      <c r="P895" s="98" t="n">
        <v>0</v>
      </c>
      <c r="Q895" s="98" t="n">
        <v>0</v>
      </c>
    </row>
    <row r="896">
      <c r="A896" t="inlineStr">
        <is>
          <t>2024-07</t>
        </is>
      </c>
      <c r="B896" t="inlineStr">
        <is>
          <t>Juli</t>
        </is>
      </c>
      <c r="C896" t="n">
        <v>7</v>
      </c>
      <c r="D896" t="inlineStr">
        <is>
          <t>T2</t>
        </is>
      </c>
      <c r="E896" t="inlineStr">
        <is>
          <t>Bokført</t>
        </is>
      </c>
      <c r="F896" t="inlineStr">
        <is>
          <t>Kommunal Boenhet</t>
        </is>
      </c>
      <c r="G896" t="n">
        <v>254</v>
      </c>
      <c r="H896" t="inlineStr">
        <is>
          <t>Helse og mestring</t>
        </is>
      </c>
      <c r="I896" t="inlineStr">
        <is>
          <t>2 Utgifter</t>
        </is>
      </c>
      <c r="J896" t="inlineStr">
        <is>
          <t>11 Refusjon lønn</t>
        </is>
      </c>
      <c r="K896" t="n">
        <v>1230</v>
      </c>
      <c r="L896" t="n">
        <v>123020</v>
      </c>
      <c r="M896" t="inlineStr">
        <is>
          <t>Vedlikehold - bygning</t>
        </is>
      </c>
      <c r="N896" s="98" t="n">
        <v>0</v>
      </c>
      <c r="O896" s="98" t="n">
        <v>0</v>
      </c>
      <c r="P896" s="98" t="n">
        <v>0</v>
      </c>
      <c r="Q896" s="98" t="n">
        <v>0</v>
      </c>
    </row>
    <row r="897">
      <c r="A897" t="inlineStr">
        <is>
          <t>2024-08</t>
        </is>
      </c>
      <c r="B897" t="inlineStr">
        <is>
          <t>August</t>
        </is>
      </c>
      <c r="C897" t="n">
        <v>8</v>
      </c>
      <c r="D897" t="inlineStr">
        <is>
          <t>T2</t>
        </is>
      </c>
      <c r="E897" t="inlineStr">
        <is>
          <t>Bokført</t>
        </is>
      </c>
      <c r="F897" t="inlineStr">
        <is>
          <t>Kommunal Boenhet</t>
        </is>
      </c>
      <c r="G897" t="n">
        <v>254</v>
      </c>
      <c r="H897" t="inlineStr">
        <is>
          <t>Helse og mestring</t>
        </is>
      </c>
      <c r="I897" t="inlineStr">
        <is>
          <t>2 Utgifter</t>
        </is>
      </c>
      <c r="J897" t="inlineStr">
        <is>
          <t>11 Refusjon lønn</t>
        </is>
      </c>
      <c r="K897" t="n">
        <v>1230</v>
      </c>
      <c r="L897" t="n">
        <v>123020</v>
      </c>
      <c r="M897" t="inlineStr">
        <is>
          <t>Vedlikehold - bygning</t>
        </is>
      </c>
      <c r="N897" s="98" t="n">
        <v>0</v>
      </c>
      <c r="O897" s="98" t="n">
        <v>0</v>
      </c>
      <c r="P897" s="98" t="n">
        <v>0</v>
      </c>
      <c r="Q897" s="98" t="n">
        <v>0</v>
      </c>
    </row>
    <row r="898">
      <c r="A898" t="inlineStr">
        <is>
          <t>2024-09</t>
        </is>
      </c>
      <c r="B898" t="inlineStr">
        <is>
          <t>September</t>
        </is>
      </c>
      <c r="C898" t="n">
        <v>9</v>
      </c>
      <c r="D898" t="inlineStr">
        <is>
          <t>T3</t>
        </is>
      </c>
      <c r="E898" t="inlineStr">
        <is>
          <t>Gjenstående budsjett</t>
        </is>
      </c>
      <c r="F898" t="inlineStr">
        <is>
          <t>Kommunal Boenhet</t>
        </is>
      </c>
      <c r="G898" t="n">
        <v>254</v>
      </c>
      <c r="H898" t="inlineStr">
        <is>
          <t>Helse og mestring</t>
        </is>
      </c>
      <c r="I898" t="inlineStr">
        <is>
          <t>2 Utgifter</t>
        </is>
      </c>
      <c r="J898" t="inlineStr">
        <is>
          <t>11 Refusjon lønn</t>
        </is>
      </c>
      <c r="K898" t="n">
        <v>1230</v>
      </c>
      <c r="L898" t="n">
        <v>123020</v>
      </c>
      <c r="M898" t="inlineStr">
        <is>
          <t>Vedlikehold - bygning</t>
        </is>
      </c>
      <c r="N898" s="98" t="n">
        <v>0</v>
      </c>
      <c r="O898" s="98" t="n">
        <v>0</v>
      </c>
      <c r="P898" s="98" t="n">
        <v>0</v>
      </c>
      <c r="Q898" s="98" t="n">
        <v>0</v>
      </c>
    </row>
    <row r="899">
      <c r="A899" t="inlineStr">
        <is>
          <t>2024-10</t>
        </is>
      </c>
      <c r="B899" t="inlineStr">
        <is>
          <t>Oktober</t>
        </is>
      </c>
      <c r="C899" t="n">
        <v>10</v>
      </c>
      <c r="D899" t="inlineStr">
        <is>
          <t>T3</t>
        </is>
      </c>
      <c r="E899" t="inlineStr">
        <is>
          <t>Gjenstående budsjett</t>
        </is>
      </c>
      <c r="F899" t="inlineStr">
        <is>
          <t>Kommunal Boenhet</t>
        </is>
      </c>
      <c r="G899" t="n">
        <v>254</v>
      </c>
      <c r="H899" t="inlineStr">
        <is>
          <t>Helse og mestring</t>
        </is>
      </c>
      <c r="I899" t="inlineStr">
        <is>
          <t>2 Utgifter</t>
        </is>
      </c>
      <c r="J899" t="inlineStr">
        <is>
          <t>11 Refusjon lønn</t>
        </is>
      </c>
      <c r="K899" t="n">
        <v>1230</v>
      </c>
      <c r="L899" t="n">
        <v>123020</v>
      </c>
      <c r="M899" t="inlineStr">
        <is>
          <t>Vedlikehold - bygning</t>
        </is>
      </c>
      <c r="N899" s="98" t="n">
        <v>0</v>
      </c>
      <c r="O899" s="98" t="n">
        <v>0</v>
      </c>
      <c r="P899" s="98" t="n">
        <v>0</v>
      </c>
      <c r="Q899" s="98" t="n">
        <v>0</v>
      </c>
    </row>
    <row r="900">
      <c r="A900" t="inlineStr">
        <is>
          <t>2024-11</t>
        </is>
      </c>
      <c r="B900" t="inlineStr">
        <is>
          <t>November</t>
        </is>
      </c>
      <c r="C900" t="n">
        <v>11</v>
      </c>
      <c r="D900" t="inlineStr">
        <is>
          <t>T3</t>
        </is>
      </c>
      <c r="E900" t="inlineStr">
        <is>
          <t>Gjenstående budsjett</t>
        </is>
      </c>
      <c r="F900" t="inlineStr">
        <is>
          <t>Kommunal Boenhet</t>
        </is>
      </c>
      <c r="G900" t="n">
        <v>254</v>
      </c>
      <c r="H900" t="inlineStr">
        <is>
          <t>Helse og mestring</t>
        </is>
      </c>
      <c r="I900" t="inlineStr">
        <is>
          <t>2 Utgifter</t>
        </is>
      </c>
      <c r="J900" t="inlineStr">
        <is>
          <t>11 Refusjon lønn</t>
        </is>
      </c>
      <c r="K900" t="n">
        <v>1230</v>
      </c>
      <c r="L900" t="n">
        <v>123020</v>
      </c>
      <c r="M900" t="inlineStr">
        <is>
          <t>Vedlikehold - bygning</t>
        </is>
      </c>
      <c r="N900" s="98" t="n">
        <v>0</v>
      </c>
      <c r="O900" s="98" t="n">
        <v>0</v>
      </c>
      <c r="P900" s="98" t="n">
        <v>0</v>
      </c>
      <c r="Q900" s="98" t="n">
        <v>0</v>
      </c>
    </row>
    <row r="901">
      <c r="A901" t="inlineStr">
        <is>
          <t>2024-12</t>
        </is>
      </c>
      <c r="B901" t="inlineStr">
        <is>
          <t>Desember</t>
        </is>
      </c>
      <c r="C901" t="n">
        <v>12</v>
      </c>
      <c r="D901" t="inlineStr">
        <is>
          <t>T3</t>
        </is>
      </c>
      <c r="E901" t="inlineStr">
        <is>
          <t>Gjenstående budsjett</t>
        </is>
      </c>
      <c r="F901" t="inlineStr">
        <is>
          <t>Kommunal Boenhet</t>
        </is>
      </c>
      <c r="G901" t="n">
        <v>254</v>
      </c>
      <c r="H901" t="inlineStr">
        <is>
          <t>Helse og mestring</t>
        </is>
      </c>
      <c r="I901" t="inlineStr">
        <is>
          <t>2 Utgifter</t>
        </is>
      </c>
      <c r="J901" t="inlineStr">
        <is>
          <t>11 Refusjon lønn</t>
        </is>
      </c>
      <c r="K901" t="n">
        <v>1230</v>
      </c>
      <c r="L901" t="n">
        <v>123020</v>
      </c>
      <c r="M901" t="inlineStr">
        <is>
          <t>Vedlikehold - bygning</t>
        </is>
      </c>
      <c r="N901" s="98" t="n">
        <v>0</v>
      </c>
      <c r="O901" s="98" t="n">
        <v>0</v>
      </c>
      <c r="P901" s="98" t="n">
        <v>0</v>
      </c>
      <c r="Q901" s="98" t="n">
        <v>0</v>
      </c>
    </row>
    <row r="902">
      <c r="A902" t="inlineStr">
        <is>
          <t>2024-01</t>
        </is>
      </c>
      <c r="B902" t="inlineStr">
        <is>
          <t>Januar</t>
        </is>
      </c>
      <c r="C902" t="n">
        <v>1</v>
      </c>
      <c r="D902" t="inlineStr">
        <is>
          <t>T1</t>
        </is>
      </c>
      <c r="E902" t="inlineStr">
        <is>
          <t>Bokført</t>
        </is>
      </c>
      <c r="F902" t="inlineStr">
        <is>
          <t>Kommunal Boenhet</t>
        </is>
      </c>
      <c r="G902" t="n">
        <v>254</v>
      </c>
      <c r="H902" t="inlineStr">
        <is>
          <t>Helse og mestring</t>
        </is>
      </c>
      <c r="I902" t="inlineStr">
        <is>
          <t>2 Utgifter</t>
        </is>
      </c>
      <c r="J902" t="inlineStr">
        <is>
          <t>11 Refusjon lønn</t>
        </is>
      </c>
      <c r="K902" t="n">
        <v>1230</v>
      </c>
      <c r="L902" t="n">
        <v>123022</v>
      </c>
      <c r="M902" t="inlineStr">
        <is>
          <t>Vedlikehold - elektriske installasjoner</t>
        </is>
      </c>
      <c r="N902" s="98" t="n">
        <v>0</v>
      </c>
      <c r="O902" s="98" t="n">
        <v>0</v>
      </c>
      <c r="P902" s="98" t="n">
        <v>0</v>
      </c>
      <c r="Q902" s="98" t="n">
        <v>0</v>
      </c>
    </row>
    <row r="903">
      <c r="A903" t="inlineStr">
        <is>
          <t>2024-02</t>
        </is>
      </c>
      <c r="B903" t="inlineStr">
        <is>
          <t>Februar</t>
        </is>
      </c>
      <c r="C903" t="n">
        <v>2</v>
      </c>
      <c r="D903" t="inlineStr">
        <is>
          <t>T1</t>
        </is>
      </c>
      <c r="E903" t="inlineStr">
        <is>
          <t>Bokført</t>
        </is>
      </c>
      <c r="F903" t="inlineStr">
        <is>
          <t>Kommunal Boenhet</t>
        </is>
      </c>
      <c r="G903" t="n">
        <v>254</v>
      </c>
      <c r="H903" t="inlineStr">
        <is>
          <t>Helse og mestring</t>
        </is>
      </c>
      <c r="I903" t="inlineStr">
        <is>
          <t>2 Utgifter</t>
        </is>
      </c>
      <c r="J903" t="inlineStr">
        <is>
          <t>11 Refusjon lønn</t>
        </is>
      </c>
      <c r="K903" t="n">
        <v>1230</v>
      </c>
      <c r="L903" t="n">
        <v>123022</v>
      </c>
      <c r="M903" t="inlineStr">
        <is>
          <t>Vedlikehold - elektriske installasjoner</t>
        </is>
      </c>
      <c r="N903" s="98" t="n">
        <v>0</v>
      </c>
      <c r="O903" s="98" t="n">
        <v>9432.57</v>
      </c>
      <c r="P903" s="98" t="n">
        <v>-9432.57</v>
      </c>
      <c r="Q903" s="98" t="n">
        <v>9432.57</v>
      </c>
    </row>
    <row r="904">
      <c r="A904" t="inlineStr">
        <is>
          <t>2024-03</t>
        </is>
      </c>
      <c r="B904" t="inlineStr">
        <is>
          <t>Mars</t>
        </is>
      </c>
      <c r="C904" t="n">
        <v>3</v>
      </c>
      <c r="D904" t="inlineStr">
        <is>
          <t>T1</t>
        </is>
      </c>
      <c r="E904" t="inlineStr">
        <is>
          <t>Bokført</t>
        </is>
      </c>
      <c r="F904" t="inlineStr">
        <is>
          <t>Kommunal Boenhet</t>
        </is>
      </c>
      <c r="G904" t="n">
        <v>254</v>
      </c>
      <c r="H904" t="inlineStr">
        <is>
          <t>Helse og mestring</t>
        </is>
      </c>
      <c r="I904" t="inlineStr">
        <is>
          <t>2 Utgifter</t>
        </is>
      </c>
      <c r="J904" t="inlineStr">
        <is>
          <t>11 Refusjon lønn</t>
        </is>
      </c>
      <c r="K904" t="n">
        <v>1230</v>
      </c>
      <c r="L904" t="n">
        <v>123022</v>
      </c>
      <c r="M904" t="inlineStr">
        <is>
          <t>Vedlikehold - elektriske installasjoner</t>
        </is>
      </c>
      <c r="N904" s="98" t="n">
        <v>0</v>
      </c>
      <c r="O904" s="98" t="n">
        <v>0</v>
      </c>
      <c r="P904" s="98" t="n">
        <v>0</v>
      </c>
      <c r="Q904" s="98" t="n">
        <v>0</v>
      </c>
    </row>
    <row r="905">
      <c r="A905" t="inlineStr">
        <is>
          <t>2024-04</t>
        </is>
      </c>
      <c r="B905" t="inlineStr">
        <is>
          <t>April</t>
        </is>
      </c>
      <c r="C905" t="n">
        <v>4</v>
      </c>
      <c r="D905" t="inlineStr">
        <is>
          <t>T1</t>
        </is>
      </c>
      <c r="E905" t="inlineStr">
        <is>
          <t>Bokført</t>
        </is>
      </c>
      <c r="F905" t="inlineStr">
        <is>
          <t>Kommunal Boenhet</t>
        </is>
      </c>
      <c r="G905" t="n">
        <v>254</v>
      </c>
      <c r="H905" t="inlineStr">
        <is>
          <t>Helse og mestring</t>
        </is>
      </c>
      <c r="I905" t="inlineStr">
        <is>
          <t>2 Utgifter</t>
        </is>
      </c>
      <c r="J905" t="inlineStr">
        <is>
          <t>11 Refusjon lønn</t>
        </is>
      </c>
      <c r="K905" t="n">
        <v>1230</v>
      </c>
      <c r="L905" t="n">
        <v>123022</v>
      </c>
      <c r="M905" t="inlineStr">
        <is>
          <t>Vedlikehold - elektriske installasjoner</t>
        </is>
      </c>
      <c r="N905" s="98" t="n">
        <v>0</v>
      </c>
      <c r="O905" s="98" t="n">
        <v>0</v>
      </c>
      <c r="P905" s="98" t="n">
        <v>0</v>
      </c>
      <c r="Q905" s="98" t="n">
        <v>0</v>
      </c>
    </row>
    <row r="906">
      <c r="A906" t="inlineStr">
        <is>
          <t>2024-05</t>
        </is>
      </c>
      <c r="B906" t="inlineStr">
        <is>
          <t>Mai</t>
        </is>
      </c>
      <c r="C906" t="n">
        <v>5</v>
      </c>
      <c r="D906" t="inlineStr">
        <is>
          <t>T2</t>
        </is>
      </c>
      <c r="E906" t="inlineStr">
        <is>
          <t>Bokført</t>
        </is>
      </c>
      <c r="F906" t="inlineStr">
        <is>
          <t>Kommunal Boenhet</t>
        </is>
      </c>
      <c r="G906" t="n">
        <v>254</v>
      </c>
      <c r="H906" t="inlineStr">
        <is>
          <t>Helse og mestring</t>
        </is>
      </c>
      <c r="I906" t="inlineStr">
        <is>
          <t>2 Utgifter</t>
        </is>
      </c>
      <c r="J906" t="inlineStr">
        <is>
          <t>11 Refusjon lønn</t>
        </is>
      </c>
      <c r="K906" t="n">
        <v>1230</v>
      </c>
      <c r="L906" t="n">
        <v>123022</v>
      </c>
      <c r="M906" t="inlineStr">
        <is>
          <t>Vedlikehold - elektriske installasjoner</t>
        </is>
      </c>
      <c r="N906" s="98" t="n">
        <v>0</v>
      </c>
      <c r="O906" s="98" t="n">
        <v>1470</v>
      </c>
      <c r="P906" s="98" t="n">
        <v>-1470</v>
      </c>
      <c r="Q906" s="98" t="n">
        <v>1470</v>
      </c>
    </row>
    <row r="907">
      <c r="A907" t="inlineStr">
        <is>
          <t>2024-06</t>
        </is>
      </c>
      <c r="B907" t="inlineStr">
        <is>
          <t>Juni</t>
        </is>
      </c>
      <c r="C907" t="n">
        <v>6</v>
      </c>
      <c r="D907" t="inlineStr">
        <is>
          <t>T2</t>
        </is>
      </c>
      <c r="E907" t="inlineStr">
        <is>
          <t>Bokført</t>
        </is>
      </c>
      <c r="F907" t="inlineStr">
        <is>
          <t>Kommunal Boenhet</t>
        </is>
      </c>
      <c r="G907" t="n">
        <v>254</v>
      </c>
      <c r="H907" t="inlineStr">
        <is>
          <t>Helse og mestring</t>
        </is>
      </c>
      <c r="I907" t="inlineStr">
        <is>
          <t>2 Utgifter</t>
        </is>
      </c>
      <c r="J907" t="inlineStr">
        <is>
          <t>11 Refusjon lønn</t>
        </is>
      </c>
      <c r="K907" t="n">
        <v>1230</v>
      </c>
      <c r="L907" t="n">
        <v>123022</v>
      </c>
      <c r="M907" t="inlineStr">
        <is>
          <t>Vedlikehold - elektriske installasjoner</t>
        </is>
      </c>
      <c r="N907" s="98" t="n">
        <v>0</v>
      </c>
      <c r="O907" s="98" t="n">
        <v>0</v>
      </c>
      <c r="P907" s="98" t="n">
        <v>0</v>
      </c>
      <c r="Q907" s="98" t="n">
        <v>0</v>
      </c>
    </row>
    <row r="908">
      <c r="A908" t="inlineStr">
        <is>
          <t>2024-07</t>
        </is>
      </c>
      <c r="B908" t="inlineStr">
        <is>
          <t>Juli</t>
        </is>
      </c>
      <c r="C908" t="n">
        <v>7</v>
      </c>
      <c r="D908" t="inlineStr">
        <is>
          <t>T2</t>
        </is>
      </c>
      <c r="E908" t="inlineStr">
        <is>
          <t>Bokført</t>
        </is>
      </c>
      <c r="F908" t="inlineStr">
        <is>
          <t>Kommunal Boenhet</t>
        </is>
      </c>
      <c r="G908" t="n">
        <v>254</v>
      </c>
      <c r="H908" t="inlineStr">
        <is>
          <t>Helse og mestring</t>
        </is>
      </c>
      <c r="I908" t="inlineStr">
        <is>
          <t>2 Utgifter</t>
        </is>
      </c>
      <c r="J908" t="inlineStr">
        <is>
          <t>11 Refusjon lønn</t>
        </is>
      </c>
      <c r="K908" t="n">
        <v>1230</v>
      </c>
      <c r="L908" t="n">
        <v>123022</v>
      </c>
      <c r="M908" t="inlineStr">
        <is>
          <t>Vedlikehold - elektriske installasjoner</t>
        </is>
      </c>
      <c r="N908" s="98" t="n">
        <v>0</v>
      </c>
      <c r="O908" s="98" t="n">
        <v>0</v>
      </c>
      <c r="P908" s="98" t="n">
        <v>0</v>
      </c>
      <c r="Q908" s="98" t="n">
        <v>0</v>
      </c>
    </row>
    <row r="909">
      <c r="A909" t="inlineStr">
        <is>
          <t>2024-08</t>
        </is>
      </c>
      <c r="B909" t="inlineStr">
        <is>
          <t>August</t>
        </is>
      </c>
      <c r="C909" t="n">
        <v>8</v>
      </c>
      <c r="D909" t="inlineStr">
        <is>
          <t>T2</t>
        </is>
      </c>
      <c r="E909" t="inlineStr">
        <is>
          <t>Bokført</t>
        </is>
      </c>
      <c r="F909" t="inlineStr">
        <is>
          <t>Kommunal Boenhet</t>
        </is>
      </c>
      <c r="G909" t="n">
        <v>254</v>
      </c>
      <c r="H909" t="inlineStr">
        <is>
          <t>Helse og mestring</t>
        </is>
      </c>
      <c r="I909" t="inlineStr">
        <is>
          <t>2 Utgifter</t>
        </is>
      </c>
      <c r="J909" t="inlineStr">
        <is>
          <t>11 Refusjon lønn</t>
        </is>
      </c>
      <c r="K909" t="n">
        <v>1230</v>
      </c>
      <c r="L909" t="n">
        <v>123022</v>
      </c>
      <c r="M909" t="inlineStr">
        <is>
          <t>Vedlikehold - elektriske installasjoner</t>
        </is>
      </c>
      <c r="N909" s="98" t="n">
        <v>0</v>
      </c>
      <c r="O909" s="98" t="n">
        <v>0</v>
      </c>
      <c r="P909" s="98" t="n">
        <v>0</v>
      </c>
      <c r="Q909" s="98" t="n">
        <v>0</v>
      </c>
    </row>
    <row r="910">
      <c r="A910" t="inlineStr">
        <is>
          <t>2024-09</t>
        </is>
      </c>
      <c r="B910" t="inlineStr">
        <is>
          <t>September</t>
        </is>
      </c>
      <c r="C910" t="n">
        <v>9</v>
      </c>
      <c r="D910" t="inlineStr">
        <is>
          <t>T3</t>
        </is>
      </c>
      <c r="E910" t="inlineStr">
        <is>
          <t>Gjenstående budsjett</t>
        </is>
      </c>
      <c r="F910" t="inlineStr">
        <is>
          <t>Kommunal Boenhet</t>
        </is>
      </c>
      <c r="G910" t="n">
        <v>254</v>
      </c>
      <c r="H910" t="inlineStr">
        <is>
          <t>Helse og mestring</t>
        </is>
      </c>
      <c r="I910" t="inlineStr">
        <is>
          <t>2 Utgifter</t>
        </is>
      </c>
      <c r="J910" t="inlineStr">
        <is>
          <t>11 Refusjon lønn</t>
        </is>
      </c>
      <c r="K910" t="n">
        <v>1230</v>
      </c>
      <c r="L910" t="n">
        <v>123022</v>
      </c>
      <c r="M910" t="inlineStr">
        <is>
          <t>Vedlikehold - elektriske installasjoner</t>
        </is>
      </c>
      <c r="N910" s="98" t="n">
        <v>0</v>
      </c>
      <c r="O910" s="98" t="n">
        <v>0</v>
      </c>
      <c r="P910" s="98" t="n">
        <v>0</v>
      </c>
      <c r="Q910" s="98" t="n">
        <v>0</v>
      </c>
    </row>
    <row r="911">
      <c r="A911" t="inlineStr">
        <is>
          <t>2024-10</t>
        </is>
      </c>
      <c r="B911" t="inlineStr">
        <is>
          <t>Oktober</t>
        </is>
      </c>
      <c r="C911" t="n">
        <v>10</v>
      </c>
      <c r="D911" t="inlineStr">
        <is>
          <t>T3</t>
        </is>
      </c>
      <c r="E911" t="inlineStr">
        <is>
          <t>Gjenstående budsjett</t>
        </is>
      </c>
      <c r="F911" t="inlineStr">
        <is>
          <t>Kommunal Boenhet</t>
        </is>
      </c>
      <c r="G911" t="n">
        <v>254</v>
      </c>
      <c r="H911" t="inlineStr">
        <is>
          <t>Helse og mestring</t>
        </is>
      </c>
      <c r="I911" t="inlineStr">
        <is>
          <t>2 Utgifter</t>
        </is>
      </c>
      <c r="J911" t="inlineStr">
        <is>
          <t>11 Refusjon lønn</t>
        </is>
      </c>
      <c r="K911" t="n">
        <v>1230</v>
      </c>
      <c r="L911" t="n">
        <v>123022</v>
      </c>
      <c r="M911" t="inlineStr">
        <is>
          <t>Vedlikehold - elektriske installasjoner</t>
        </is>
      </c>
      <c r="N911" s="98" t="n">
        <v>0</v>
      </c>
      <c r="O911" s="98" t="n">
        <v>0</v>
      </c>
      <c r="P911" s="98" t="n">
        <v>0</v>
      </c>
      <c r="Q911" s="98" t="n">
        <v>0</v>
      </c>
    </row>
    <row r="912">
      <c r="A912" t="inlineStr">
        <is>
          <t>2024-11</t>
        </is>
      </c>
      <c r="B912" t="inlineStr">
        <is>
          <t>November</t>
        </is>
      </c>
      <c r="C912" t="n">
        <v>11</v>
      </c>
      <c r="D912" t="inlineStr">
        <is>
          <t>T3</t>
        </is>
      </c>
      <c r="E912" t="inlineStr">
        <is>
          <t>Gjenstående budsjett</t>
        </is>
      </c>
      <c r="F912" t="inlineStr">
        <is>
          <t>Kommunal Boenhet</t>
        </is>
      </c>
      <c r="G912" t="n">
        <v>254</v>
      </c>
      <c r="H912" t="inlineStr">
        <is>
          <t>Helse og mestring</t>
        </is>
      </c>
      <c r="I912" t="inlineStr">
        <is>
          <t>2 Utgifter</t>
        </is>
      </c>
      <c r="J912" t="inlineStr">
        <is>
          <t>11 Refusjon lønn</t>
        </is>
      </c>
      <c r="K912" t="n">
        <v>1230</v>
      </c>
      <c r="L912" t="n">
        <v>123022</v>
      </c>
      <c r="M912" t="inlineStr">
        <is>
          <t>Vedlikehold - elektriske installasjoner</t>
        </is>
      </c>
      <c r="N912" s="98" t="n">
        <v>0</v>
      </c>
      <c r="O912" s="98" t="n">
        <v>0</v>
      </c>
      <c r="P912" s="98" t="n">
        <v>0</v>
      </c>
      <c r="Q912" s="98" t="n">
        <v>0</v>
      </c>
    </row>
    <row r="913">
      <c r="A913" t="inlineStr">
        <is>
          <t>2024-12</t>
        </is>
      </c>
      <c r="B913" t="inlineStr">
        <is>
          <t>Desember</t>
        </is>
      </c>
      <c r="C913" t="n">
        <v>12</v>
      </c>
      <c r="D913" t="inlineStr">
        <is>
          <t>T3</t>
        </is>
      </c>
      <c r="E913" t="inlineStr">
        <is>
          <t>Gjenstående budsjett</t>
        </is>
      </c>
      <c r="F913" t="inlineStr">
        <is>
          <t>Kommunal Boenhet</t>
        </is>
      </c>
      <c r="G913" t="n">
        <v>254</v>
      </c>
      <c r="H913" t="inlineStr">
        <is>
          <t>Helse og mestring</t>
        </is>
      </c>
      <c r="I913" t="inlineStr">
        <is>
          <t>2 Utgifter</t>
        </is>
      </c>
      <c r="J913" t="inlineStr">
        <is>
          <t>11 Refusjon lønn</t>
        </is>
      </c>
      <c r="K913" t="n">
        <v>1230</v>
      </c>
      <c r="L913" t="n">
        <v>123022</v>
      </c>
      <c r="M913" t="inlineStr">
        <is>
          <t>Vedlikehold - elektriske installasjoner</t>
        </is>
      </c>
      <c r="N913" s="98" t="n">
        <v>0</v>
      </c>
      <c r="O913" s="98" t="n">
        <v>0</v>
      </c>
      <c r="P913" s="98" t="n">
        <v>0</v>
      </c>
      <c r="Q913" s="98" t="n">
        <v>0</v>
      </c>
    </row>
    <row r="914">
      <c r="A914" t="inlineStr">
        <is>
          <t>2024-01</t>
        </is>
      </c>
      <c r="B914" t="inlineStr">
        <is>
          <t>Januar</t>
        </is>
      </c>
      <c r="C914" t="n">
        <v>1</v>
      </c>
      <c r="D914" t="inlineStr">
        <is>
          <t>T1</t>
        </is>
      </c>
      <c r="E914" t="inlineStr">
        <is>
          <t>Bokført</t>
        </is>
      </c>
      <c r="F914" t="inlineStr">
        <is>
          <t>Kommunal Boenhet</t>
        </is>
      </c>
      <c r="G914" t="n">
        <v>254</v>
      </c>
      <c r="H914" t="inlineStr">
        <is>
          <t>Helse og mestring</t>
        </is>
      </c>
      <c r="I914" t="inlineStr">
        <is>
          <t>2 Utgifter</t>
        </is>
      </c>
      <c r="J914" t="inlineStr">
        <is>
          <t>11 Refusjon lønn</t>
        </is>
      </c>
      <c r="K914" t="n">
        <v>1240</v>
      </c>
      <c r="L914" t="n">
        <v>124010</v>
      </c>
      <c r="M914" t="inlineStr">
        <is>
          <t>Drifts- / serviceavtaler - kontormaskiner</t>
        </is>
      </c>
      <c r="N914" s="98" t="n">
        <v>0</v>
      </c>
      <c r="O914" s="98" t="n">
        <v>557.4</v>
      </c>
      <c r="P914" s="98" t="n">
        <v>-557.4</v>
      </c>
      <c r="Q914" s="98" t="n">
        <v>557.4</v>
      </c>
    </row>
    <row r="915">
      <c r="A915" t="inlineStr">
        <is>
          <t>2024-02</t>
        </is>
      </c>
      <c r="B915" t="inlineStr">
        <is>
          <t>Februar</t>
        </is>
      </c>
      <c r="C915" t="n">
        <v>2</v>
      </c>
      <c r="D915" t="inlineStr">
        <is>
          <t>T1</t>
        </is>
      </c>
      <c r="E915" t="inlineStr">
        <is>
          <t>Bokført</t>
        </is>
      </c>
      <c r="F915" t="inlineStr">
        <is>
          <t>Kommunal Boenhet</t>
        </is>
      </c>
      <c r="G915" t="n">
        <v>254</v>
      </c>
      <c r="H915" t="inlineStr">
        <is>
          <t>Helse og mestring</t>
        </is>
      </c>
      <c r="I915" t="inlineStr">
        <is>
          <t>2 Utgifter</t>
        </is>
      </c>
      <c r="J915" t="inlineStr">
        <is>
          <t>11 Refusjon lønn</t>
        </is>
      </c>
      <c r="K915" t="n">
        <v>1240</v>
      </c>
      <c r="L915" t="n">
        <v>124010</v>
      </c>
      <c r="M915" t="inlineStr">
        <is>
          <t>Drifts- / serviceavtaler - kontormaskiner</t>
        </is>
      </c>
      <c r="N915" s="98" t="n">
        <v>0</v>
      </c>
      <c r="O915" s="98" t="n">
        <v>572.6</v>
      </c>
      <c r="P915" s="98" t="n">
        <v>-572.6</v>
      </c>
      <c r="Q915" s="98" t="n">
        <v>572.6</v>
      </c>
    </row>
    <row r="916">
      <c r="A916" t="inlineStr">
        <is>
          <t>2024-03</t>
        </is>
      </c>
      <c r="B916" t="inlineStr">
        <is>
          <t>Mars</t>
        </is>
      </c>
      <c r="C916" t="n">
        <v>3</v>
      </c>
      <c r="D916" t="inlineStr">
        <is>
          <t>T1</t>
        </is>
      </c>
      <c r="E916" t="inlineStr">
        <is>
          <t>Bokført</t>
        </is>
      </c>
      <c r="F916" t="inlineStr">
        <is>
          <t>Kommunal Boenhet</t>
        </is>
      </c>
      <c r="G916" t="n">
        <v>254</v>
      </c>
      <c r="H916" t="inlineStr">
        <is>
          <t>Helse og mestring</t>
        </is>
      </c>
      <c r="I916" t="inlineStr">
        <is>
          <t>2 Utgifter</t>
        </is>
      </c>
      <c r="J916" t="inlineStr">
        <is>
          <t>11 Refusjon lønn</t>
        </is>
      </c>
      <c r="K916" t="n">
        <v>1240</v>
      </c>
      <c r="L916" t="n">
        <v>124010</v>
      </c>
      <c r="M916" t="inlineStr">
        <is>
          <t>Drifts- / serviceavtaler - kontormaskiner</t>
        </is>
      </c>
      <c r="N916" s="98" t="n">
        <v>0</v>
      </c>
      <c r="O916" s="98" t="n">
        <v>0</v>
      </c>
      <c r="P916" s="98" t="n">
        <v>0</v>
      </c>
      <c r="Q916" s="98" t="n">
        <v>0</v>
      </c>
    </row>
    <row r="917">
      <c r="A917" t="inlineStr">
        <is>
          <t>2024-04</t>
        </is>
      </c>
      <c r="B917" t="inlineStr">
        <is>
          <t>April</t>
        </is>
      </c>
      <c r="C917" t="n">
        <v>4</v>
      </c>
      <c r="D917" t="inlineStr">
        <is>
          <t>T1</t>
        </is>
      </c>
      <c r="E917" t="inlineStr">
        <is>
          <t>Bokført</t>
        </is>
      </c>
      <c r="F917" t="inlineStr">
        <is>
          <t>Kommunal Boenhet</t>
        </is>
      </c>
      <c r="G917" t="n">
        <v>254</v>
      </c>
      <c r="H917" t="inlineStr">
        <is>
          <t>Helse og mestring</t>
        </is>
      </c>
      <c r="I917" t="inlineStr">
        <is>
          <t>2 Utgifter</t>
        </is>
      </c>
      <c r="J917" t="inlineStr">
        <is>
          <t>11 Refusjon lønn</t>
        </is>
      </c>
      <c r="K917" t="n">
        <v>1240</v>
      </c>
      <c r="L917" t="n">
        <v>124010</v>
      </c>
      <c r="M917" t="inlineStr">
        <is>
          <t>Drifts- / serviceavtaler - kontormaskiner</t>
        </is>
      </c>
      <c r="N917" s="98" t="n">
        <v>0</v>
      </c>
      <c r="O917" s="98" t="n">
        <v>1676.4</v>
      </c>
      <c r="P917" s="98" t="n">
        <v>-1676.4</v>
      </c>
      <c r="Q917" s="98" t="n">
        <v>1676.4</v>
      </c>
    </row>
    <row r="918">
      <c r="A918" t="inlineStr">
        <is>
          <t>2024-05</t>
        </is>
      </c>
      <c r="B918" t="inlineStr">
        <is>
          <t>Mai</t>
        </is>
      </c>
      <c r="C918" t="n">
        <v>5</v>
      </c>
      <c r="D918" t="inlineStr">
        <is>
          <t>T2</t>
        </is>
      </c>
      <c r="E918" t="inlineStr">
        <is>
          <t>Bokført</t>
        </is>
      </c>
      <c r="F918" t="inlineStr">
        <is>
          <t>Kommunal Boenhet</t>
        </is>
      </c>
      <c r="G918" t="n">
        <v>254</v>
      </c>
      <c r="H918" t="inlineStr">
        <is>
          <t>Helse og mestring</t>
        </is>
      </c>
      <c r="I918" t="inlineStr">
        <is>
          <t>2 Utgifter</t>
        </is>
      </c>
      <c r="J918" t="inlineStr">
        <is>
          <t>11 Refusjon lønn</t>
        </is>
      </c>
      <c r="K918" t="n">
        <v>1240</v>
      </c>
      <c r="L918" t="n">
        <v>124010</v>
      </c>
      <c r="M918" t="inlineStr">
        <is>
          <t>Drifts- / serviceavtaler - kontormaskiner</t>
        </is>
      </c>
      <c r="N918" s="98" t="n">
        <v>0</v>
      </c>
      <c r="O918" s="98" t="n">
        <v>692</v>
      </c>
      <c r="P918" s="98" t="n">
        <v>-692</v>
      </c>
      <c r="Q918" s="98" t="n">
        <v>692</v>
      </c>
    </row>
    <row r="919">
      <c r="A919" t="inlineStr">
        <is>
          <t>2024-06</t>
        </is>
      </c>
      <c r="B919" t="inlineStr">
        <is>
          <t>Juni</t>
        </is>
      </c>
      <c r="C919" t="n">
        <v>6</v>
      </c>
      <c r="D919" t="inlineStr">
        <is>
          <t>T2</t>
        </is>
      </c>
      <c r="E919" t="inlineStr">
        <is>
          <t>Bokført</t>
        </is>
      </c>
      <c r="F919" t="inlineStr">
        <is>
          <t>Kommunal Boenhet</t>
        </is>
      </c>
      <c r="G919" t="n">
        <v>254</v>
      </c>
      <c r="H919" t="inlineStr">
        <is>
          <t>Helse og mestring</t>
        </is>
      </c>
      <c r="I919" t="inlineStr">
        <is>
          <t>2 Utgifter</t>
        </is>
      </c>
      <c r="J919" t="inlineStr">
        <is>
          <t>11 Refusjon lønn</t>
        </is>
      </c>
      <c r="K919" t="n">
        <v>1240</v>
      </c>
      <c r="L919" t="n">
        <v>124010</v>
      </c>
      <c r="M919" t="inlineStr">
        <is>
          <t>Drifts- / serviceavtaler - kontormaskiner</t>
        </is>
      </c>
      <c r="N919" s="98" t="n">
        <v>0</v>
      </c>
      <c r="O919" s="98" t="n">
        <v>0</v>
      </c>
      <c r="P919" s="98" t="n">
        <v>0</v>
      </c>
      <c r="Q919" s="98" t="n">
        <v>0</v>
      </c>
    </row>
    <row r="920">
      <c r="A920" t="inlineStr">
        <is>
          <t>2024-07</t>
        </is>
      </c>
      <c r="B920" t="inlineStr">
        <is>
          <t>Juli</t>
        </is>
      </c>
      <c r="C920" t="n">
        <v>7</v>
      </c>
      <c r="D920" t="inlineStr">
        <is>
          <t>T2</t>
        </is>
      </c>
      <c r="E920" t="inlineStr">
        <is>
          <t>Bokført</t>
        </is>
      </c>
      <c r="F920" t="inlineStr">
        <is>
          <t>Kommunal Boenhet</t>
        </is>
      </c>
      <c r="G920" t="n">
        <v>254</v>
      </c>
      <c r="H920" t="inlineStr">
        <is>
          <t>Helse og mestring</t>
        </is>
      </c>
      <c r="I920" t="inlineStr">
        <is>
          <t>2 Utgifter</t>
        </is>
      </c>
      <c r="J920" t="inlineStr">
        <is>
          <t>11 Refusjon lønn</t>
        </is>
      </c>
      <c r="K920" t="n">
        <v>1240</v>
      </c>
      <c r="L920" t="n">
        <v>124010</v>
      </c>
      <c r="M920" t="inlineStr">
        <is>
          <t>Drifts- / serviceavtaler - kontormaskiner</t>
        </is>
      </c>
      <c r="N920" s="98" t="n">
        <v>0</v>
      </c>
      <c r="O920" s="98" t="n">
        <v>1515.9</v>
      </c>
      <c r="P920" s="98" t="n">
        <v>-1515.9</v>
      </c>
      <c r="Q920" s="98" t="n">
        <v>1515.9</v>
      </c>
    </row>
    <row r="921">
      <c r="A921" t="inlineStr">
        <is>
          <t>2024-08</t>
        </is>
      </c>
      <c r="B921" t="inlineStr">
        <is>
          <t>August</t>
        </is>
      </c>
      <c r="C921" t="n">
        <v>8</v>
      </c>
      <c r="D921" t="inlineStr">
        <is>
          <t>T2</t>
        </is>
      </c>
      <c r="E921" t="inlineStr">
        <is>
          <t>Bokført</t>
        </is>
      </c>
      <c r="F921" t="inlineStr">
        <is>
          <t>Kommunal Boenhet</t>
        </is>
      </c>
      <c r="G921" t="n">
        <v>254</v>
      </c>
      <c r="H921" t="inlineStr">
        <is>
          <t>Helse og mestring</t>
        </is>
      </c>
      <c r="I921" t="inlineStr">
        <is>
          <t>2 Utgifter</t>
        </is>
      </c>
      <c r="J921" t="inlineStr">
        <is>
          <t>11 Refusjon lønn</t>
        </is>
      </c>
      <c r="K921" t="n">
        <v>1240</v>
      </c>
      <c r="L921" t="n">
        <v>124010</v>
      </c>
      <c r="M921" t="inlineStr">
        <is>
          <t>Drifts- / serviceavtaler - kontormaskiner</t>
        </is>
      </c>
      <c r="N921" s="98" t="n">
        <v>0</v>
      </c>
      <c r="O921" s="98" t="n">
        <v>521.2</v>
      </c>
      <c r="P921" s="98" t="n">
        <v>-521.2</v>
      </c>
      <c r="Q921" s="98" t="n">
        <v>521.2</v>
      </c>
    </row>
    <row r="922">
      <c r="A922" t="inlineStr">
        <is>
          <t>2024-09</t>
        </is>
      </c>
      <c r="B922" t="inlineStr">
        <is>
          <t>September</t>
        </is>
      </c>
      <c r="C922" t="n">
        <v>9</v>
      </c>
      <c r="D922" t="inlineStr">
        <is>
          <t>T3</t>
        </is>
      </c>
      <c r="E922" t="inlineStr">
        <is>
          <t>Gjenstående budsjett</t>
        </is>
      </c>
      <c r="F922" t="inlineStr">
        <is>
          <t>Kommunal Boenhet</t>
        </is>
      </c>
      <c r="G922" t="n">
        <v>254</v>
      </c>
      <c r="H922" t="inlineStr">
        <is>
          <t>Helse og mestring</t>
        </is>
      </c>
      <c r="I922" t="inlineStr">
        <is>
          <t>2 Utgifter</t>
        </is>
      </c>
      <c r="J922" t="inlineStr">
        <is>
          <t>11 Refusjon lønn</t>
        </is>
      </c>
      <c r="K922" t="n">
        <v>1240</v>
      </c>
      <c r="L922" t="n">
        <v>124010</v>
      </c>
      <c r="M922" t="inlineStr">
        <is>
          <t>Drifts- / serviceavtaler - kontormaskiner</t>
        </is>
      </c>
      <c r="N922" s="98" t="n">
        <v>0</v>
      </c>
      <c r="O922" s="98" t="n">
        <v>0</v>
      </c>
      <c r="P922" s="98" t="n">
        <v>0</v>
      </c>
      <c r="Q922" s="98" t="n">
        <v>0</v>
      </c>
    </row>
    <row r="923">
      <c r="A923" t="inlineStr">
        <is>
          <t>2024-10</t>
        </is>
      </c>
      <c r="B923" t="inlineStr">
        <is>
          <t>Oktober</t>
        </is>
      </c>
      <c r="C923" t="n">
        <v>10</v>
      </c>
      <c r="D923" t="inlineStr">
        <is>
          <t>T3</t>
        </is>
      </c>
      <c r="E923" t="inlineStr">
        <is>
          <t>Gjenstående budsjett</t>
        </is>
      </c>
      <c r="F923" t="inlineStr">
        <is>
          <t>Kommunal Boenhet</t>
        </is>
      </c>
      <c r="G923" t="n">
        <v>254</v>
      </c>
      <c r="H923" t="inlineStr">
        <is>
          <t>Helse og mestring</t>
        </is>
      </c>
      <c r="I923" t="inlineStr">
        <is>
          <t>2 Utgifter</t>
        </is>
      </c>
      <c r="J923" t="inlineStr">
        <is>
          <t>11 Refusjon lønn</t>
        </is>
      </c>
      <c r="K923" t="n">
        <v>1240</v>
      </c>
      <c r="L923" t="n">
        <v>124010</v>
      </c>
      <c r="M923" t="inlineStr">
        <is>
          <t>Drifts- / serviceavtaler - kontormaskiner</t>
        </is>
      </c>
      <c r="N923" s="98" t="n">
        <v>0</v>
      </c>
      <c r="O923" s="98" t="n">
        <v>0</v>
      </c>
      <c r="P923" s="98" t="n">
        <v>0</v>
      </c>
      <c r="Q923" s="98" t="n">
        <v>0</v>
      </c>
    </row>
    <row r="924">
      <c r="A924" t="inlineStr">
        <is>
          <t>2024-11</t>
        </is>
      </c>
      <c r="B924" t="inlineStr">
        <is>
          <t>November</t>
        </is>
      </c>
      <c r="C924" t="n">
        <v>11</v>
      </c>
      <c r="D924" t="inlineStr">
        <is>
          <t>T3</t>
        </is>
      </c>
      <c r="E924" t="inlineStr">
        <is>
          <t>Gjenstående budsjett</t>
        </is>
      </c>
      <c r="F924" t="inlineStr">
        <is>
          <t>Kommunal Boenhet</t>
        </is>
      </c>
      <c r="G924" t="n">
        <v>254</v>
      </c>
      <c r="H924" t="inlineStr">
        <is>
          <t>Helse og mestring</t>
        </is>
      </c>
      <c r="I924" t="inlineStr">
        <is>
          <t>2 Utgifter</t>
        </is>
      </c>
      <c r="J924" t="inlineStr">
        <is>
          <t>11 Refusjon lønn</t>
        </is>
      </c>
      <c r="K924" t="n">
        <v>1240</v>
      </c>
      <c r="L924" t="n">
        <v>124010</v>
      </c>
      <c r="M924" t="inlineStr">
        <is>
          <t>Drifts- / serviceavtaler - kontormaskiner</t>
        </is>
      </c>
      <c r="N924" s="98" t="n">
        <v>0</v>
      </c>
      <c r="O924" s="98" t="n">
        <v>0</v>
      </c>
      <c r="P924" s="98" t="n">
        <v>0</v>
      </c>
      <c r="Q924" s="98" t="n">
        <v>0</v>
      </c>
    </row>
    <row r="925">
      <c r="A925" t="inlineStr">
        <is>
          <t>2024-12</t>
        </is>
      </c>
      <c r="B925" t="inlineStr">
        <is>
          <t>Desember</t>
        </is>
      </c>
      <c r="C925" t="n">
        <v>12</v>
      </c>
      <c r="D925" t="inlineStr">
        <is>
          <t>T3</t>
        </is>
      </c>
      <c r="E925" t="inlineStr">
        <is>
          <t>Gjenstående budsjett</t>
        </is>
      </c>
      <c r="F925" t="inlineStr">
        <is>
          <t>Kommunal Boenhet</t>
        </is>
      </c>
      <c r="G925" t="n">
        <v>254</v>
      </c>
      <c r="H925" t="inlineStr">
        <is>
          <t>Helse og mestring</t>
        </is>
      </c>
      <c r="I925" t="inlineStr">
        <is>
          <t>2 Utgifter</t>
        </is>
      </c>
      <c r="J925" t="inlineStr">
        <is>
          <t>11 Refusjon lønn</t>
        </is>
      </c>
      <c r="K925" t="n">
        <v>1240</v>
      </c>
      <c r="L925" t="n">
        <v>124010</v>
      </c>
      <c r="M925" t="inlineStr">
        <is>
          <t>Drifts- / serviceavtaler - kontormaskiner</t>
        </is>
      </c>
      <c r="N925" s="98" t="n">
        <v>0</v>
      </c>
      <c r="O925" s="98" t="n">
        <v>0</v>
      </c>
      <c r="P925" s="98" t="n">
        <v>0</v>
      </c>
      <c r="Q925" s="98" t="n">
        <v>0</v>
      </c>
    </row>
    <row r="926">
      <c r="A926" t="inlineStr">
        <is>
          <t>2024-01</t>
        </is>
      </c>
      <c r="B926" t="inlineStr">
        <is>
          <t>Januar</t>
        </is>
      </c>
      <c r="C926" t="n">
        <v>1</v>
      </c>
      <c r="D926" t="inlineStr">
        <is>
          <t>T1</t>
        </is>
      </c>
      <c r="E926" t="inlineStr">
        <is>
          <t>Bokført</t>
        </is>
      </c>
      <c r="F926" t="inlineStr">
        <is>
          <t>Kommunal Boenhet</t>
        </is>
      </c>
      <c r="G926" t="n">
        <v>254</v>
      </c>
      <c r="H926" t="inlineStr">
        <is>
          <t>Helse og mestring</t>
        </is>
      </c>
      <c r="I926" t="inlineStr">
        <is>
          <t>2 Utgifter</t>
        </is>
      </c>
      <c r="J926" t="inlineStr">
        <is>
          <t>11 Refusjon lønn</t>
        </is>
      </c>
      <c r="K926" t="n">
        <v>1240</v>
      </c>
      <c r="L926" t="n">
        <v>124023</v>
      </c>
      <c r="M926" t="inlineStr">
        <is>
          <t>Driftsavtaler - medisinsk utstyr</t>
        </is>
      </c>
      <c r="N926" s="98" t="n">
        <v>0</v>
      </c>
      <c r="O926" s="98" t="n">
        <v>0</v>
      </c>
      <c r="P926" s="98" t="n">
        <v>0</v>
      </c>
      <c r="Q926" s="98" t="n">
        <v>0</v>
      </c>
    </row>
    <row r="927">
      <c r="A927" t="inlineStr">
        <is>
          <t>2024-02</t>
        </is>
      </c>
      <c r="B927" t="inlineStr">
        <is>
          <t>Februar</t>
        </is>
      </c>
      <c r="C927" t="n">
        <v>2</v>
      </c>
      <c r="D927" t="inlineStr">
        <is>
          <t>T1</t>
        </is>
      </c>
      <c r="E927" t="inlineStr">
        <is>
          <t>Bokført</t>
        </is>
      </c>
      <c r="F927" t="inlineStr">
        <is>
          <t>Kommunal Boenhet</t>
        </is>
      </c>
      <c r="G927" t="n">
        <v>254</v>
      </c>
      <c r="H927" t="inlineStr">
        <is>
          <t>Helse og mestring</t>
        </is>
      </c>
      <c r="I927" t="inlineStr">
        <is>
          <t>2 Utgifter</t>
        </is>
      </c>
      <c r="J927" t="inlineStr">
        <is>
          <t>11 Refusjon lønn</t>
        </is>
      </c>
      <c r="K927" t="n">
        <v>1240</v>
      </c>
      <c r="L927" t="n">
        <v>124023</v>
      </c>
      <c r="M927" t="inlineStr">
        <is>
          <t>Driftsavtaler - medisinsk utstyr</t>
        </is>
      </c>
      <c r="N927" s="98" t="n">
        <v>0</v>
      </c>
      <c r="O927" s="98" t="n">
        <v>0</v>
      </c>
      <c r="P927" s="98" t="n">
        <v>0</v>
      </c>
      <c r="Q927" s="98" t="n">
        <v>0</v>
      </c>
    </row>
    <row r="928">
      <c r="A928" t="inlineStr">
        <is>
          <t>2024-03</t>
        </is>
      </c>
      <c r="B928" t="inlineStr">
        <is>
          <t>Mars</t>
        </is>
      </c>
      <c r="C928" t="n">
        <v>3</v>
      </c>
      <c r="D928" t="inlineStr">
        <is>
          <t>T1</t>
        </is>
      </c>
      <c r="E928" t="inlineStr">
        <is>
          <t>Bokført</t>
        </is>
      </c>
      <c r="F928" t="inlineStr">
        <is>
          <t>Kommunal Boenhet</t>
        </is>
      </c>
      <c r="G928" t="n">
        <v>254</v>
      </c>
      <c r="H928" t="inlineStr">
        <is>
          <t>Helse og mestring</t>
        </is>
      </c>
      <c r="I928" t="inlineStr">
        <is>
          <t>2 Utgifter</t>
        </is>
      </c>
      <c r="J928" t="inlineStr">
        <is>
          <t>11 Refusjon lønn</t>
        </is>
      </c>
      <c r="K928" t="n">
        <v>1240</v>
      </c>
      <c r="L928" t="n">
        <v>124023</v>
      </c>
      <c r="M928" t="inlineStr">
        <is>
          <t>Driftsavtaler - medisinsk utstyr</t>
        </is>
      </c>
      <c r="N928" s="98" t="n">
        <v>0</v>
      </c>
      <c r="O928" s="98" t="n">
        <v>0</v>
      </c>
      <c r="P928" s="98" t="n">
        <v>0</v>
      </c>
      <c r="Q928" s="98" t="n">
        <v>0</v>
      </c>
    </row>
    <row r="929">
      <c r="A929" t="inlineStr">
        <is>
          <t>2024-04</t>
        </is>
      </c>
      <c r="B929" t="inlineStr">
        <is>
          <t>April</t>
        </is>
      </c>
      <c r="C929" t="n">
        <v>4</v>
      </c>
      <c r="D929" t="inlineStr">
        <is>
          <t>T1</t>
        </is>
      </c>
      <c r="E929" t="inlineStr">
        <is>
          <t>Bokført</t>
        </is>
      </c>
      <c r="F929" t="inlineStr">
        <is>
          <t>Kommunal Boenhet</t>
        </is>
      </c>
      <c r="G929" t="n">
        <v>254</v>
      </c>
      <c r="H929" t="inlineStr">
        <is>
          <t>Helse og mestring</t>
        </is>
      </c>
      <c r="I929" t="inlineStr">
        <is>
          <t>2 Utgifter</t>
        </is>
      </c>
      <c r="J929" t="inlineStr">
        <is>
          <t>11 Refusjon lønn</t>
        </is>
      </c>
      <c r="K929" t="n">
        <v>1240</v>
      </c>
      <c r="L929" t="n">
        <v>124023</v>
      </c>
      <c r="M929" t="inlineStr">
        <is>
          <t>Driftsavtaler - medisinsk utstyr</t>
        </is>
      </c>
      <c r="N929" s="98" t="n">
        <v>0</v>
      </c>
      <c r="O929" s="98" t="n">
        <v>0</v>
      </c>
      <c r="P929" s="98" t="n">
        <v>0</v>
      </c>
      <c r="Q929" s="98" t="n">
        <v>0</v>
      </c>
    </row>
    <row r="930">
      <c r="A930" t="inlineStr">
        <is>
          <t>2024-05</t>
        </is>
      </c>
      <c r="B930" t="inlineStr">
        <is>
          <t>Mai</t>
        </is>
      </c>
      <c r="C930" t="n">
        <v>5</v>
      </c>
      <c r="D930" t="inlineStr">
        <is>
          <t>T2</t>
        </is>
      </c>
      <c r="E930" t="inlineStr">
        <is>
          <t>Bokført</t>
        </is>
      </c>
      <c r="F930" t="inlineStr">
        <is>
          <t>Kommunal Boenhet</t>
        </is>
      </c>
      <c r="G930" t="n">
        <v>254</v>
      </c>
      <c r="H930" t="inlineStr">
        <is>
          <t>Helse og mestring</t>
        </is>
      </c>
      <c r="I930" t="inlineStr">
        <is>
          <t>2 Utgifter</t>
        </is>
      </c>
      <c r="J930" t="inlineStr">
        <is>
          <t>11 Refusjon lønn</t>
        </is>
      </c>
      <c r="K930" t="n">
        <v>1240</v>
      </c>
      <c r="L930" t="n">
        <v>124023</v>
      </c>
      <c r="M930" t="inlineStr">
        <is>
          <t>Driftsavtaler - medisinsk utstyr</t>
        </is>
      </c>
      <c r="N930" s="98" t="n">
        <v>0</v>
      </c>
      <c r="O930" s="98" t="n">
        <v>0</v>
      </c>
      <c r="P930" s="98" t="n">
        <v>0</v>
      </c>
      <c r="Q930" s="98" t="n">
        <v>0</v>
      </c>
    </row>
    <row r="931">
      <c r="A931" t="inlineStr">
        <is>
          <t>2024-06</t>
        </is>
      </c>
      <c r="B931" t="inlineStr">
        <is>
          <t>Juni</t>
        </is>
      </c>
      <c r="C931" t="n">
        <v>6</v>
      </c>
      <c r="D931" t="inlineStr">
        <is>
          <t>T2</t>
        </is>
      </c>
      <c r="E931" t="inlineStr">
        <is>
          <t>Bokført</t>
        </is>
      </c>
      <c r="F931" t="inlineStr">
        <is>
          <t>Kommunal Boenhet</t>
        </is>
      </c>
      <c r="G931" t="n">
        <v>254</v>
      </c>
      <c r="H931" t="inlineStr">
        <is>
          <t>Helse og mestring</t>
        </is>
      </c>
      <c r="I931" t="inlineStr">
        <is>
          <t>2 Utgifter</t>
        </is>
      </c>
      <c r="J931" t="inlineStr">
        <is>
          <t>11 Refusjon lønn</t>
        </is>
      </c>
      <c r="K931" t="n">
        <v>1240</v>
      </c>
      <c r="L931" t="n">
        <v>124023</v>
      </c>
      <c r="M931" t="inlineStr">
        <is>
          <t>Driftsavtaler - medisinsk utstyr</t>
        </is>
      </c>
      <c r="N931" s="98" t="n">
        <v>0</v>
      </c>
      <c r="O931" s="98" t="n">
        <v>0</v>
      </c>
      <c r="P931" s="98" t="n">
        <v>0</v>
      </c>
      <c r="Q931" s="98" t="n">
        <v>0</v>
      </c>
    </row>
    <row r="932">
      <c r="A932" t="inlineStr">
        <is>
          <t>2024-07</t>
        </is>
      </c>
      <c r="B932" t="inlineStr">
        <is>
          <t>Juli</t>
        </is>
      </c>
      <c r="C932" t="n">
        <v>7</v>
      </c>
      <c r="D932" t="inlineStr">
        <is>
          <t>T2</t>
        </is>
      </c>
      <c r="E932" t="inlineStr">
        <is>
          <t>Bokført</t>
        </is>
      </c>
      <c r="F932" t="inlineStr">
        <is>
          <t>Kommunal Boenhet</t>
        </is>
      </c>
      <c r="G932" t="n">
        <v>254</v>
      </c>
      <c r="H932" t="inlineStr">
        <is>
          <t>Helse og mestring</t>
        </is>
      </c>
      <c r="I932" t="inlineStr">
        <is>
          <t>2 Utgifter</t>
        </is>
      </c>
      <c r="J932" t="inlineStr">
        <is>
          <t>11 Refusjon lønn</t>
        </is>
      </c>
      <c r="K932" t="n">
        <v>1240</v>
      </c>
      <c r="L932" t="n">
        <v>124023</v>
      </c>
      <c r="M932" t="inlineStr">
        <is>
          <t>Driftsavtaler - medisinsk utstyr</t>
        </is>
      </c>
      <c r="N932" s="98" t="n">
        <v>0</v>
      </c>
      <c r="O932" s="98" t="n">
        <v>0</v>
      </c>
      <c r="P932" s="98" t="n">
        <v>0</v>
      </c>
      <c r="Q932" s="98" t="n">
        <v>0</v>
      </c>
    </row>
    <row r="933">
      <c r="A933" t="inlineStr">
        <is>
          <t>2024-08</t>
        </is>
      </c>
      <c r="B933" t="inlineStr">
        <is>
          <t>August</t>
        </is>
      </c>
      <c r="C933" t="n">
        <v>8</v>
      </c>
      <c r="D933" t="inlineStr">
        <is>
          <t>T2</t>
        </is>
      </c>
      <c r="E933" t="inlineStr">
        <is>
          <t>Bokført</t>
        </is>
      </c>
      <c r="F933" t="inlineStr">
        <is>
          <t>Kommunal Boenhet</t>
        </is>
      </c>
      <c r="G933" t="n">
        <v>254</v>
      </c>
      <c r="H933" t="inlineStr">
        <is>
          <t>Helse og mestring</t>
        </is>
      </c>
      <c r="I933" t="inlineStr">
        <is>
          <t>2 Utgifter</t>
        </is>
      </c>
      <c r="J933" t="inlineStr">
        <is>
          <t>11 Refusjon lønn</t>
        </is>
      </c>
      <c r="K933" t="n">
        <v>1240</v>
      </c>
      <c r="L933" t="n">
        <v>124023</v>
      </c>
      <c r="M933" t="inlineStr">
        <is>
          <t>Driftsavtaler - medisinsk utstyr</t>
        </is>
      </c>
      <c r="N933" s="98" t="n">
        <v>0</v>
      </c>
      <c r="O933" s="98" t="n">
        <v>0</v>
      </c>
      <c r="P933" s="98" t="n">
        <v>0</v>
      </c>
      <c r="Q933" s="98" t="n">
        <v>0</v>
      </c>
    </row>
    <row r="934">
      <c r="A934" t="inlineStr">
        <is>
          <t>2024-09</t>
        </is>
      </c>
      <c r="B934" t="inlineStr">
        <is>
          <t>September</t>
        </is>
      </c>
      <c r="C934" t="n">
        <v>9</v>
      </c>
      <c r="D934" t="inlineStr">
        <is>
          <t>T3</t>
        </is>
      </c>
      <c r="E934" t="inlineStr">
        <is>
          <t>Gjenstående budsjett</t>
        </is>
      </c>
      <c r="F934" t="inlineStr">
        <is>
          <t>Kommunal Boenhet</t>
        </is>
      </c>
      <c r="G934" t="n">
        <v>254</v>
      </c>
      <c r="H934" t="inlineStr">
        <is>
          <t>Helse og mestring</t>
        </is>
      </c>
      <c r="I934" t="inlineStr">
        <is>
          <t>2 Utgifter</t>
        </is>
      </c>
      <c r="J934" t="inlineStr">
        <is>
          <t>11 Refusjon lønn</t>
        </is>
      </c>
      <c r="K934" t="n">
        <v>1240</v>
      </c>
      <c r="L934" t="n">
        <v>124023</v>
      </c>
      <c r="M934" t="inlineStr">
        <is>
          <t>Driftsavtaler - medisinsk utstyr</t>
        </is>
      </c>
      <c r="N934" s="98" t="n">
        <v>0</v>
      </c>
      <c r="O934" s="98" t="n">
        <v>0</v>
      </c>
      <c r="P934" s="98" t="n">
        <v>0</v>
      </c>
      <c r="Q934" s="98" t="n">
        <v>0</v>
      </c>
    </row>
    <row r="935">
      <c r="A935" t="inlineStr">
        <is>
          <t>2024-10</t>
        </is>
      </c>
      <c r="B935" t="inlineStr">
        <is>
          <t>Oktober</t>
        </is>
      </c>
      <c r="C935" t="n">
        <v>10</v>
      </c>
      <c r="D935" t="inlineStr">
        <is>
          <t>T3</t>
        </is>
      </c>
      <c r="E935" t="inlineStr">
        <is>
          <t>Gjenstående budsjett</t>
        </is>
      </c>
      <c r="F935" t="inlineStr">
        <is>
          <t>Kommunal Boenhet</t>
        </is>
      </c>
      <c r="G935" t="n">
        <v>254</v>
      </c>
      <c r="H935" t="inlineStr">
        <is>
          <t>Helse og mestring</t>
        </is>
      </c>
      <c r="I935" t="inlineStr">
        <is>
          <t>2 Utgifter</t>
        </is>
      </c>
      <c r="J935" t="inlineStr">
        <is>
          <t>11 Refusjon lønn</t>
        </is>
      </c>
      <c r="K935" t="n">
        <v>1240</v>
      </c>
      <c r="L935" t="n">
        <v>124023</v>
      </c>
      <c r="M935" t="inlineStr">
        <is>
          <t>Driftsavtaler - medisinsk utstyr</t>
        </is>
      </c>
      <c r="N935" s="98" t="n">
        <v>0</v>
      </c>
      <c r="O935" s="98" t="n">
        <v>0</v>
      </c>
      <c r="P935" s="98" t="n">
        <v>0</v>
      </c>
      <c r="Q935" s="98" t="n">
        <v>0</v>
      </c>
    </row>
    <row r="936">
      <c r="A936" t="inlineStr">
        <is>
          <t>2024-11</t>
        </is>
      </c>
      <c r="B936" t="inlineStr">
        <is>
          <t>November</t>
        </is>
      </c>
      <c r="C936" t="n">
        <v>11</v>
      </c>
      <c r="D936" t="inlineStr">
        <is>
          <t>T3</t>
        </is>
      </c>
      <c r="E936" t="inlineStr">
        <is>
          <t>Gjenstående budsjett</t>
        </is>
      </c>
      <c r="F936" t="inlineStr">
        <is>
          <t>Kommunal Boenhet</t>
        </is>
      </c>
      <c r="G936" t="n">
        <v>254</v>
      </c>
      <c r="H936" t="inlineStr">
        <is>
          <t>Helse og mestring</t>
        </is>
      </c>
      <c r="I936" t="inlineStr">
        <is>
          <t>2 Utgifter</t>
        </is>
      </c>
      <c r="J936" t="inlineStr">
        <is>
          <t>11 Refusjon lønn</t>
        </is>
      </c>
      <c r="K936" t="n">
        <v>1240</v>
      </c>
      <c r="L936" t="n">
        <v>124023</v>
      </c>
      <c r="M936" t="inlineStr">
        <is>
          <t>Driftsavtaler - medisinsk utstyr</t>
        </is>
      </c>
      <c r="N936" s="98" t="n">
        <v>0</v>
      </c>
      <c r="O936" s="98" t="n">
        <v>0</v>
      </c>
      <c r="P936" s="98" t="n">
        <v>0</v>
      </c>
      <c r="Q936" s="98" t="n">
        <v>0</v>
      </c>
    </row>
    <row r="937">
      <c r="A937" t="inlineStr">
        <is>
          <t>2024-12</t>
        </is>
      </c>
      <c r="B937" t="inlineStr">
        <is>
          <t>Desember</t>
        </is>
      </c>
      <c r="C937" t="n">
        <v>12</v>
      </c>
      <c r="D937" t="inlineStr">
        <is>
          <t>T3</t>
        </is>
      </c>
      <c r="E937" t="inlineStr">
        <is>
          <t>Gjenstående budsjett</t>
        </is>
      </c>
      <c r="F937" t="inlineStr">
        <is>
          <t>Kommunal Boenhet</t>
        </is>
      </c>
      <c r="G937" t="n">
        <v>254</v>
      </c>
      <c r="H937" t="inlineStr">
        <is>
          <t>Helse og mestring</t>
        </is>
      </c>
      <c r="I937" t="inlineStr">
        <is>
          <t>2 Utgifter</t>
        </is>
      </c>
      <c r="J937" t="inlineStr">
        <is>
          <t>11 Refusjon lønn</t>
        </is>
      </c>
      <c r="K937" t="n">
        <v>1240</v>
      </c>
      <c r="L937" t="n">
        <v>124023</v>
      </c>
      <c r="M937" t="inlineStr">
        <is>
          <t>Driftsavtaler - medisinsk utstyr</t>
        </is>
      </c>
      <c r="N937" s="98" t="n">
        <v>0</v>
      </c>
      <c r="O937" s="98" t="n">
        <v>0</v>
      </c>
      <c r="P937" s="98" t="n">
        <v>0</v>
      </c>
      <c r="Q937" s="98" t="n">
        <v>0</v>
      </c>
    </row>
    <row r="938">
      <c r="A938" t="inlineStr">
        <is>
          <t>2024-01</t>
        </is>
      </c>
      <c r="B938" t="inlineStr">
        <is>
          <t>Januar</t>
        </is>
      </c>
      <c r="C938" t="n">
        <v>1</v>
      </c>
      <c r="D938" t="inlineStr">
        <is>
          <t>T1</t>
        </is>
      </c>
      <c r="E938" t="inlineStr">
        <is>
          <t>Bokført</t>
        </is>
      </c>
      <c r="F938" t="inlineStr">
        <is>
          <t>Kommunal Boenhet</t>
        </is>
      </c>
      <c r="G938" t="n">
        <v>254</v>
      </c>
      <c r="H938" t="inlineStr">
        <is>
          <t>Helse og mestring</t>
        </is>
      </c>
      <c r="I938" t="inlineStr">
        <is>
          <t>2 Utgifter</t>
        </is>
      </c>
      <c r="J938" t="inlineStr">
        <is>
          <t>11 Refusjon lønn</t>
        </is>
      </c>
      <c r="K938" t="n">
        <v>1250</v>
      </c>
      <c r="L938" t="n">
        <v>125000</v>
      </c>
      <c r="M938" t="inlineStr">
        <is>
          <t>Materialer til vedl. - bygg</t>
        </is>
      </c>
      <c r="N938" s="98" t="n">
        <v>0</v>
      </c>
      <c r="O938" s="98" t="n">
        <v>0</v>
      </c>
      <c r="P938" s="98" t="n">
        <v>0</v>
      </c>
      <c r="Q938" s="98" t="n">
        <v>0</v>
      </c>
    </row>
    <row r="939">
      <c r="A939" t="inlineStr">
        <is>
          <t>2024-02</t>
        </is>
      </c>
      <c r="B939" t="inlineStr">
        <is>
          <t>Februar</t>
        </is>
      </c>
      <c r="C939" t="n">
        <v>2</v>
      </c>
      <c r="D939" t="inlineStr">
        <is>
          <t>T1</t>
        </is>
      </c>
      <c r="E939" t="inlineStr">
        <is>
          <t>Bokført</t>
        </is>
      </c>
      <c r="F939" t="inlineStr">
        <is>
          <t>Kommunal Boenhet</t>
        </is>
      </c>
      <c r="G939" t="n">
        <v>254</v>
      </c>
      <c r="H939" t="inlineStr">
        <is>
          <t>Helse og mestring</t>
        </is>
      </c>
      <c r="I939" t="inlineStr">
        <is>
          <t>2 Utgifter</t>
        </is>
      </c>
      <c r="J939" t="inlineStr">
        <is>
          <t>11 Refusjon lønn</t>
        </is>
      </c>
      <c r="K939" t="n">
        <v>1250</v>
      </c>
      <c r="L939" t="n">
        <v>125000</v>
      </c>
      <c r="M939" t="inlineStr">
        <is>
          <t>Materialer til vedl. - bygg</t>
        </is>
      </c>
      <c r="N939" s="98" t="n">
        <v>0</v>
      </c>
      <c r="O939" s="98" t="n">
        <v>0</v>
      </c>
      <c r="P939" s="98" t="n">
        <v>0</v>
      </c>
      <c r="Q939" s="98" t="n">
        <v>0</v>
      </c>
    </row>
    <row r="940">
      <c r="A940" t="inlineStr">
        <is>
          <t>2024-03</t>
        </is>
      </c>
      <c r="B940" t="inlineStr">
        <is>
          <t>Mars</t>
        </is>
      </c>
      <c r="C940" t="n">
        <v>3</v>
      </c>
      <c r="D940" t="inlineStr">
        <is>
          <t>T1</t>
        </is>
      </c>
      <c r="E940" t="inlineStr">
        <is>
          <t>Bokført</t>
        </is>
      </c>
      <c r="F940" t="inlineStr">
        <is>
          <t>Kommunal Boenhet</t>
        </is>
      </c>
      <c r="G940" t="n">
        <v>254</v>
      </c>
      <c r="H940" t="inlineStr">
        <is>
          <t>Helse og mestring</t>
        </is>
      </c>
      <c r="I940" t="inlineStr">
        <is>
          <t>2 Utgifter</t>
        </is>
      </c>
      <c r="J940" t="inlineStr">
        <is>
          <t>11 Refusjon lønn</t>
        </is>
      </c>
      <c r="K940" t="n">
        <v>1250</v>
      </c>
      <c r="L940" t="n">
        <v>125000</v>
      </c>
      <c r="M940" t="inlineStr">
        <is>
          <t>Materialer til vedl. - bygg</t>
        </is>
      </c>
      <c r="N940" s="98" t="n">
        <v>0</v>
      </c>
      <c r="O940" s="98" t="n">
        <v>0</v>
      </c>
      <c r="P940" s="98" t="n">
        <v>0</v>
      </c>
      <c r="Q940" s="98" t="n">
        <v>0</v>
      </c>
    </row>
    <row r="941">
      <c r="A941" t="inlineStr">
        <is>
          <t>2024-04</t>
        </is>
      </c>
      <c r="B941" t="inlineStr">
        <is>
          <t>April</t>
        </is>
      </c>
      <c r="C941" t="n">
        <v>4</v>
      </c>
      <c r="D941" t="inlineStr">
        <is>
          <t>T1</t>
        </is>
      </c>
      <c r="E941" t="inlineStr">
        <is>
          <t>Bokført</t>
        </is>
      </c>
      <c r="F941" t="inlineStr">
        <is>
          <t>Kommunal Boenhet</t>
        </is>
      </c>
      <c r="G941" t="n">
        <v>254</v>
      </c>
      <c r="H941" t="inlineStr">
        <is>
          <t>Helse og mestring</t>
        </is>
      </c>
      <c r="I941" t="inlineStr">
        <is>
          <t>2 Utgifter</t>
        </is>
      </c>
      <c r="J941" t="inlineStr">
        <is>
          <t>11 Refusjon lønn</t>
        </is>
      </c>
      <c r="K941" t="n">
        <v>1250</v>
      </c>
      <c r="L941" t="n">
        <v>125000</v>
      </c>
      <c r="M941" t="inlineStr">
        <is>
          <t>Materialer til vedl. - bygg</t>
        </is>
      </c>
      <c r="N941" s="98" t="n">
        <v>0</v>
      </c>
      <c r="O941" s="98" t="n">
        <v>0</v>
      </c>
      <c r="P941" s="98" t="n">
        <v>0</v>
      </c>
      <c r="Q941" s="98" t="n">
        <v>0</v>
      </c>
    </row>
    <row r="942">
      <c r="A942" t="inlineStr">
        <is>
          <t>2024-05</t>
        </is>
      </c>
      <c r="B942" t="inlineStr">
        <is>
          <t>Mai</t>
        </is>
      </c>
      <c r="C942" t="n">
        <v>5</v>
      </c>
      <c r="D942" t="inlineStr">
        <is>
          <t>T2</t>
        </is>
      </c>
      <c r="E942" t="inlineStr">
        <is>
          <t>Bokført</t>
        </is>
      </c>
      <c r="F942" t="inlineStr">
        <is>
          <t>Kommunal Boenhet</t>
        </is>
      </c>
      <c r="G942" t="n">
        <v>254</v>
      </c>
      <c r="H942" t="inlineStr">
        <is>
          <t>Helse og mestring</t>
        </is>
      </c>
      <c r="I942" t="inlineStr">
        <is>
          <t>2 Utgifter</t>
        </is>
      </c>
      <c r="J942" t="inlineStr">
        <is>
          <t>11 Refusjon lønn</t>
        </is>
      </c>
      <c r="K942" t="n">
        <v>1250</v>
      </c>
      <c r="L942" t="n">
        <v>125000</v>
      </c>
      <c r="M942" t="inlineStr">
        <is>
          <t>Materialer til vedl. - bygg</t>
        </is>
      </c>
      <c r="N942" s="98" t="n">
        <v>0</v>
      </c>
      <c r="O942" s="98" t="n">
        <v>0</v>
      </c>
      <c r="P942" s="98" t="n">
        <v>0</v>
      </c>
      <c r="Q942" s="98" t="n">
        <v>0</v>
      </c>
    </row>
    <row r="943">
      <c r="A943" t="inlineStr">
        <is>
          <t>2024-06</t>
        </is>
      </c>
      <c r="B943" t="inlineStr">
        <is>
          <t>Juni</t>
        </is>
      </c>
      <c r="C943" t="n">
        <v>6</v>
      </c>
      <c r="D943" t="inlineStr">
        <is>
          <t>T2</t>
        </is>
      </c>
      <c r="E943" t="inlineStr">
        <is>
          <t>Bokført</t>
        </is>
      </c>
      <c r="F943" t="inlineStr">
        <is>
          <t>Kommunal Boenhet</t>
        </is>
      </c>
      <c r="G943" t="n">
        <v>254</v>
      </c>
      <c r="H943" t="inlineStr">
        <is>
          <t>Helse og mestring</t>
        </is>
      </c>
      <c r="I943" t="inlineStr">
        <is>
          <t>2 Utgifter</t>
        </is>
      </c>
      <c r="J943" t="inlineStr">
        <is>
          <t>11 Refusjon lønn</t>
        </is>
      </c>
      <c r="K943" t="n">
        <v>1250</v>
      </c>
      <c r="L943" t="n">
        <v>125000</v>
      </c>
      <c r="M943" t="inlineStr">
        <is>
          <t>Materialer til vedl. - bygg</t>
        </is>
      </c>
      <c r="N943" s="98" t="n">
        <v>0</v>
      </c>
      <c r="O943" s="98" t="n">
        <v>0</v>
      </c>
      <c r="P943" s="98" t="n">
        <v>0</v>
      </c>
      <c r="Q943" s="98" t="n">
        <v>0</v>
      </c>
    </row>
    <row r="944">
      <c r="A944" t="inlineStr">
        <is>
          <t>2024-07</t>
        </is>
      </c>
      <c r="B944" t="inlineStr">
        <is>
          <t>Juli</t>
        </is>
      </c>
      <c r="C944" t="n">
        <v>7</v>
      </c>
      <c r="D944" t="inlineStr">
        <is>
          <t>T2</t>
        </is>
      </c>
      <c r="E944" t="inlineStr">
        <is>
          <t>Bokført</t>
        </is>
      </c>
      <c r="F944" t="inlineStr">
        <is>
          <t>Kommunal Boenhet</t>
        </is>
      </c>
      <c r="G944" t="n">
        <v>254</v>
      </c>
      <c r="H944" t="inlineStr">
        <is>
          <t>Helse og mestring</t>
        </is>
      </c>
      <c r="I944" t="inlineStr">
        <is>
          <t>2 Utgifter</t>
        </is>
      </c>
      <c r="J944" t="inlineStr">
        <is>
          <t>11 Refusjon lønn</t>
        </is>
      </c>
      <c r="K944" t="n">
        <v>1250</v>
      </c>
      <c r="L944" t="n">
        <v>125000</v>
      </c>
      <c r="M944" t="inlineStr">
        <is>
          <t>Materialer til vedl. - bygg</t>
        </is>
      </c>
      <c r="N944" s="98" t="n">
        <v>0</v>
      </c>
      <c r="O944" s="98" t="n">
        <v>0</v>
      </c>
      <c r="P944" s="98" t="n">
        <v>0</v>
      </c>
      <c r="Q944" s="98" t="n">
        <v>0</v>
      </c>
    </row>
    <row r="945">
      <c r="A945" t="inlineStr">
        <is>
          <t>2024-08</t>
        </is>
      </c>
      <c r="B945" t="inlineStr">
        <is>
          <t>August</t>
        </is>
      </c>
      <c r="C945" t="n">
        <v>8</v>
      </c>
      <c r="D945" t="inlineStr">
        <is>
          <t>T2</t>
        </is>
      </c>
      <c r="E945" t="inlineStr">
        <is>
          <t>Bokført</t>
        </is>
      </c>
      <c r="F945" t="inlineStr">
        <is>
          <t>Kommunal Boenhet</t>
        </is>
      </c>
      <c r="G945" t="n">
        <v>254</v>
      </c>
      <c r="H945" t="inlineStr">
        <is>
          <t>Helse og mestring</t>
        </is>
      </c>
      <c r="I945" t="inlineStr">
        <is>
          <t>2 Utgifter</t>
        </is>
      </c>
      <c r="J945" t="inlineStr">
        <is>
          <t>11 Refusjon lønn</t>
        </is>
      </c>
      <c r="K945" t="n">
        <v>1250</v>
      </c>
      <c r="L945" t="n">
        <v>125000</v>
      </c>
      <c r="M945" t="inlineStr">
        <is>
          <t>Materialer til vedl. - bygg</t>
        </is>
      </c>
      <c r="N945" s="98" t="n">
        <v>0</v>
      </c>
      <c r="O945" s="98" t="n">
        <v>0</v>
      </c>
      <c r="P945" s="98" t="n">
        <v>0</v>
      </c>
      <c r="Q945" s="98" t="n">
        <v>0</v>
      </c>
    </row>
    <row r="946">
      <c r="A946" t="inlineStr">
        <is>
          <t>2024-09</t>
        </is>
      </c>
      <c r="B946" t="inlineStr">
        <is>
          <t>September</t>
        </is>
      </c>
      <c r="C946" t="n">
        <v>9</v>
      </c>
      <c r="D946" t="inlineStr">
        <is>
          <t>T3</t>
        </is>
      </c>
      <c r="E946" t="inlineStr">
        <is>
          <t>Gjenstående budsjett</t>
        </is>
      </c>
      <c r="F946" t="inlineStr">
        <is>
          <t>Kommunal Boenhet</t>
        </is>
      </c>
      <c r="G946" t="n">
        <v>254</v>
      </c>
      <c r="H946" t="inlineStr">
        <is>
          <t>Helse og mestring</t>
        </is>
      </c>
      <c r="I946" t="inlineStr">
        <is>
          <t>2 Utgifter</t>
        </is>
      </c>
      <c r="J946" t="inlineStr">
        <is>
          <t>11 Refusjon lønn</t>
        </is>
      </c>
      <c r="K946" t="n">
        <v>1250</v>
      </c>
      <c r="L946" t="n">
        <v>125000</v>
      </c>
      <c r="M946" t="inlineStr">
        <is>
          <t>Materialer til vedl. - bygg</t>
        </is>
      </c>
      <c r="N946" s="98" t="n">
        <v>0</v>
      </c>
      <c r="O946" s="98" t="n">
        <v>0</v>
      </c>
      <c r="P946" s="98" t="n">
        <v>0</v>
      </c>
      <c r="Q946" s="98" t="n">
        <v>0</v>
      </c>
    </row>
    <row r="947">
      <c r="A947" t="inlineStr">
        <is>
          <t>2024-10</t>
        </is>
      </c>
      <c r="B947" t="inlineStr">
        <is>
          <t>Oktober</t>
        </is>
      </c>
      <c r="C947" t="n">
        <v>10</v>
      </c>
      <c r="D947" t="inlineStr">
        <is>
          <t>T3</t>
        </is>
      </c>
      <c r="E947" t="inlineStr">
        <is>
          <t>Gjenstående budsjett</t>
        </is>
      </c>
      <c r="F947" t="inlineStr">
        <is>
          <t>Kommunal Boenhet</t>
        </is>
      </c>
      <c r="G947" t="n">
        <v>254</v>
      </c>
      <c r="H947" t="inlineStr">
        <is>
          <t>Helse og mestring</t>
        </is>
      </c>
      <c r="I947" t="inlineStr">
        <is>
          <t>2 Utgifter</t>
        </is>
      </c>
      <c r="J947" t="inlineStr">
        <is>
          <t>11 Refusjon lønn</t>
        </is>
      </c>
      <c r="K947" t="n">
        <v>1250</v>
      </c>
      <c r="L947" t="n">
        <v>125000</v>
      </c>
      <c r="M947" t="inlineStr">
        <is>
          <t>Materialer til vedl. - bygg</t>
        </is>
      </c>
      <c r="N947" s="98" t="n">
        <v>0</v>
      </c>
      <c r="O947" s="98" t="n">
        <v>0</v>
      </c>
      <c r="P947" s="98" t="n">
        <v>0</v>
      </c>
      <c r="Q947" s="98" t="n">
        <v>0</v>
      </c>
    </row>
    <row r="948">
      <c r="A948" t="inlineStr">
        <is>
          <t>2024-11</t>
        </is>
      </c>
      <c r="B948" t="inlineStr">
        <is>
          <t>November</t>
        </is>
      </c>
      <c r="C948" t="n">
        <v>11</v>
      </c>
      <c r="D948" t="inlineStr">
        <is>
          <t>T3</t>
        </is>
      </c>
      <c r="E948" t="inlineStr">
        <is>
          <t>Gjenstående budsjett</t>
        </is>
      </c>
      <c r="F948" t="inlineStr">
        <is>
          <t>Kommunal Boenhet</t>
        </is>
      </c>
      <c r="G948" t="n">
        <v>254</v>
      </c>
      <c r="H948" t="inlineStr">
        <is>
          <t>Helse og mestring</t>
        </is>
      </c>
      <c r="I948" t="inlineStr">
        <is>
          <t>2 Utgifter</t>
        </is>
      </c>
      <c r="J948" t="inlineStr">
        <is>
          <t>11 Refusjon lønn</t>
        </is>
      </c>
      <c r="K948" t="n">
        <v>1250</v>
      </c>
      <c r="L948" t="n">
        <v>125000</v>
      </c>
      <c r="M948" t="inlineStr">
        <is>
          <t>Materialer til vedl. - bygg</t>
        </is>
      </c>
      <c r="N948" s="98" t="n">
        <v>0</v>
      </c>
      <c r="O948" s="98" t="n">
        <v>0</v>
      </c>
      <c r="P948" s="98" t="n">
        <v>0</v>
      </c>
      <c r="Q948" s="98" t="n">
        <v>0</v>
      </c>
    </row>
    <row r="949">
      <c r="A949" t="inlineStr">
        <is>
          <t>2024-12</t>
        </is>
      </c>
      <c r="B949" t="inlineStr">
        <is>
          <t>Desember</t>
        </is>
      </c>
      <c r="C949" t="n">
        <v>12</v>
      </c>
      <c r="D949" t="inlineStr">
        <is>
          <t>T3</t>
        </is>
      </c>
      <c r="E949" t="inlineStr">
        <is>
          <t>Gjenstående budsjett</t>
        </is>
      </c>
      <c r="F949" t="inlineStr">
        <is>
          <t>Kommunal Boenhet</t>
        </is>
      </c>
      <c r="G949" t="n">
        <v>254</v>
      </c>
      <c r="H949" t="inlineStr">
        <is>
          <t>Helse og mestring</t>
        </is>
      </c>
      <c r="I949" t="inlineStr">
        <is>
          <t>2 Utgifter</t>
        </is>
      </c>
      <c r="J949" t="inlineStr">
        <is>
          <t>11 Refusjon lønn</t>
        </is>
      </c>
      <c r="K949" t="n">
        <v>1250</v>
      </c>
      <c r="L949" t="n">
        <v>125000</v>
      </c>
      <c r="M949" t="inlineStr">
        <is>
          <t>Materialer til vedl. - bygg</t>
        </is>
      </c>
      <c r="N949" s="98" t="n">
        <v>0</v>
      </c>
      <c r="O949" s="98" t="n">
        <v>0</v>
      </c>
      <c r="P949" s="98" t="n">
        <v>0</v>
      </c>
      <c r="Q949" s="98" t="n">
        <v>0</v>
      </c>
    </row>
    <row r="950">
      <c r="A950" t="inlineStr">
        <is>
          <t>2024-01</t>
        </is>
      </c>
      <c r="B950" t="inlineStr">
        <is>
          <t>Januar</t>
        </is>
      </c>
      <c r="C950" t="n">
        <v>1</v>
      </c>
      <c r="D950" t="inlineStr">
        <is>
          <t>T1</t>
        </is>
      </c>
      <c r="E950" t="inlineStr">
        <is>
          <t>Bokført</t>
        </is>
      </c>
      <c r="F950" t="inlineStr">
        <is>
          <t>Kommunal Boenhet</t>
        </is>
      </c>
      <c r="G950" t="n">
        <v>254</v>
      </c>
      <c r="H950" t="inlineStr">
        <is>
          <t>Helse og mestring</t>
        </is>
      </c>
      <c r="I950" t="inlineStr">
        <is>
          <t>2 Utgifter</t>
        </is>
      </c>
      <c r="J950" t="inlineStr">
        <is>
          <t>11 Refusjon lønn</t>
        </is>
      </c>
      <c r="K950" t="n">
        <v>1270</v>
      </c>
      <c r="L950" t="n">
        <v>127040</v>
      </c>
      <c r="M950" t="inlineStr">
        <is>
          <t>Kjøp av vikarbyråtjenester</t>
        </is>
      </c>
      <c r="N950" s="98" t="n">
        <v>0</v>
      </c>
      <c r="O950" s="98" t="n">
        <v>0</v>
      </c>
      <c r="P950" s="98" t="n">
        <v>0</v>
      </c>
      <c r="Q950" s="98" t="n">
        <v>0</v>
      </c>
    </row>
    <row r="951">
      <c r="A951" t="inlineStr">
        <is>
          <t>2024-02</t>
        </is>
      </c>
      <c r="B951" t="inlineStr">
        <is>
          <t>Februar</t>
        </is>
      </c>
      <c r="C951" t="n">
        <v>2</v>
      </c>
      <c r="D951" t="inlineStr">
        <is>
          <t>T1</t>
        </is>
      </c>
      <c r="E951" t="inlineStr">
        <is>
          <t>Bokført</t>
        </is>
      </c>
      <c r="F951" t="inlineStr">
        <is>
          <t>Kommunal Boenhet</t>
        </is>
      </c>
      <c r="G951" t="n">
        <v>254</v>
      </c>
      <c r="H951" t="inlineStr">
        <is>
          <t>Helse og mestring</t>
        </is>
      </c>
      <c r="I951" t="inlineStr">
        <is>
          <t>2 Utgifter</t>
        </is>
      </c>
      <c r="J951" t="inlineStr">
        <is>
          <t>11 Refusjon lønn</t>
        </is>
      </c>
      <c r="K951" t="n">
        <v>1270</v>
      </c>
      <c r="L951" t="n">
        <v>127040</v>
      </c>
      <c r="M951" t="inlineStr">
        <is>
          <t>Kjøp av vikarbyråtjenester</t>
        </is>
      </c>
      <c r="N951" s="98" t="n">
        <v>0</v>
      </c>
      <c r="O951" s="98" t="n">
        <v>0</v>
      </c>
      <c r="P951" s="98" t="n">
        <v>0</v>
      </c>
      <c r="Q951" s="98" t="n">
        <v>0</v>
      </c>
    </row>
    <row r="952">
      <c r="A952" t="inlineStr">
        <is>
          <t>2024-03</t>
        </is>
      </c>
      <c r="B952" t="inlineStr">
        <is>
          <t>Mars</t>
        </is>
      </c>
      <c r="C952" t="n">
        <v>3</v>
      </c>
      <c r="D952" t="inlineStr">
        <is>
          <t>T1</t>
        </is>
      </c>
      <c r="E952" t="inlineStr">
        <is>
          <t>Bokført</t>
        </is>
      </c>
      <c r="F952" t="inlineStr">
        <is>
          <t>Kommunal Boenhet</t>
        </is>
      </c>
      <c r="G952" t="n">
        <v>254</v>
      </c>
      <c r="H952" t="inlineStr">
        <is>
          <t>Helse og mestring</t>
        </is>
      </c>
      <c r="I952" t="inlineStr">
        <is>
          <t>2 Utgifter</t>
        </is>
      </c>
      <c r="J952" t="inlineStr">
        <is>
          <t>11 Refusjon lønn</t>
        </is>
      </c>
      <c r="K952" t="n">
        <v>1270</v>
      </c>
      <c r="L952" t="n">
        <v>127040</v>
      </c>
      <c r="M952" t="inlineStr">
        <is>
          <t>Kjøp av vikarbyråtjenester</t>
        </is>
      </c>
      <c r="N952" s="98" t="n">
        <v>0</v>
      </c>
      <c r="O952" s="98" t="n">
        <v>0</v>
      </c>
      <c r="P952" s="98" t="n">
        <v>0</v>
      </c>
      <c r="Q952" s="98" t="n">
        <v>0</v>
      </c>
    </row>
    <row r="953">
      <c r="A953" t="inlineStr">
        <is>
          <t>2024-04</t>
        </is>
      </c>
      <c r="B953" t="inlineStr">
        <is>
          <t>April</t>
        </is>
      </c>
      <c r="C953" t="n">
        <v>4</v>
      </c>
      <c r="D953" t="inlineStr">
        <is>
          <t>T1</t>
        </is>
      </c>
      <c r="E953" t="inlineStr">
        <is>
          <t>Bokført</t>
        </is>
      </c>
      <c r="F953" t="inlineStr">
        <is>
          <t>Kommunal Boenhet</t>
        </is>
      </c>
      <c r="G953" t="n">
        <v>254</v>
      </c>
      <c r="H953" t="inlineStr">
        <is>
          <t>Helse og mestring</t>
        </is>
      </c>
      <c r="I953" t="inlineStr">
        <is>
          <t>2 Utgifter</t>
        </is>
      </c>
      <c r="J953" t="inlineStr">
        <is>
          <t>11 Refusjon lønn</t>
        </is>
      </c>
      <c r="K953" t="n">
        <v>1270</v>
      </c>
      <c r="L953" t="n">
        <v>127040</v>
      </c>
      <c r="M953" t="inlineStr">
        <is>
          <t>Kjøp av vikarbyråtjenester</t>
        </is>
      </c>
      <c r="N953" s="98" t="n">
        <v>0</v>
      </c>
      <c r="O953" s="98" t="n">
        <v>0</v>
      </c>
      <c r="P953" s="98" t="n">
        <v>0</v>
      </c>
      <c r="Q953" s="98" t="n">
        <v>0</v>
      </c>
    </row>
    <row r="954">
      <c r="A954" t="inlineStr">
        <is>
          <t>2024-05</t>
        </is>
      </c>
      <c r="B954" t="inlineStr">
        <is>
          <t>Mai</t>
        </is>
      </c>
      <c r="C954" t="n">
        <v>5</v>
      </c>
      <c r="D954" t="inlineStr">
        <is>
          <t>T2</t>
        </is>
      </c>
      <c r="E954" t="inlineStr">
        <is>
          <t>Bokført</t>
        </is>
      </c>
      <c r="F954" t="inlineStr">
        <is>
          <t>Kommunal Boenhet</t>
        </is>
      </c>
      <c r="G954" t="n">
        <v>254</v>
      </c>
      <c r="H954" t="inlineStr">
        <is>
          <t>Helse og mestring</t>
        </is>
      </c>
      <c r="I954" t="inlineStr">
        <is>
          <t>2 Utgifter</t>
        </is>
      </c>
      <c r="J954" t="inlineStr">
        <is>
          <t>11 Refusjon lønn</t>
        </is>
      </c>
      <c r="K954" t="n">
        <v>1270</v>
      </c>
      <c r="L954" t="n">
        <v>127040</v>
      </c>
      <c r="M954" t="inlineStr">
        <is>
          <t>Kjøp av vikarbyråtjenester</t>
        </is>
      </c>
      <c r="N954" s="98" t="n">
        <v>0</v>
      </c>
      <c r="O954" s="98" t="n">
        <v>0</v>
      </c>
      <c r="P954" s="98" t="n">
        <v>0</v>
      </c>
      <c r="Q954" s="98" t="n">
        <v>0</v>
      </c>
    </row>
    <row r="955">
      <c r="A955" t="inlineStr">
        <is>
          <t>2024-06</t>
        </is>
      </c>
      <c r="B955" t="inlineStr">
        <is>
          <t>Juni</t>
        </is>
      </c>
      <c r="C955" t="n">
        <v>6</v>
      </c>
      <c r="D955" t="inlineStr">
        <is>
          <t>T2</t>
        </is>
      </c>
      <c r="E955" t="inlineStr">
        <is>
          <t>Bokført</t>
        </is>
      </c>
      <c r="F955" t="inlineStr">
        <is>
          <t>Kommunal Boenhet</t>
        </is>
      </c>
      <c r="G955" t="n">
        <v>254</v>
      </c>
      <c r="H955" t="inlineStr">
        <is>
          <t>Helse og mestring</t>
        </is>
      </c>
      <c r="I955" t="inlineStr">
        <is>
          <t>2 Utgifter</t>
        </is>
      </c>
      <c r="J955" t="inlineStr">
        <is>
          <t>11 Refusjon lønn</t>
        </is>
      </c>
      <c r="K955" t="n">
        <v>1270</v>
      </c>
      <c r="L955" t="n">
        <v>127040</v>
      </c>
      <c r="M955" t="inlineStr">
        <is>
          <t>Kjøp av vikarbyråtjenester</t>
        </is>
      </c>
      <c r="N955" s="98" t="n">
        <v>0</v>
      </c>
      <c r="O955" s="98" t="n">
        <v>0</v>
      </c>
      <c r="P955" s="98" t="n">
        <v>0</v>
      </c>
      <c r="Q955" s="98" t="n">
        <v>0</v>
      </c>
    </row>
    <row r="956">
      <c r="A956" t="inlineStr">
        <is>
          <t>2024-07</t>
        </is>
      </c>
      <c r="B956" t="inlineStr">
        <is>
          <t>Juli</t>
        </is>
      </c>
      <c r="C956" t="n">
        <v>7</v>
      </c>
      <c r="D956" t="inlineStr">
        <is>
          <t>T2</t>
        </is>
      </c>
      <c r="E956" t="inlineStr">
        <is>
          <t>Bokført</t>
        </is>
      </c>
      <c r="F956" t="inlineStr">
        <is>
          <t>Kommunal Boenhet</t>
        </is>
      </c>
      <c r="G956" t="n">
        <v>254</v>
      </c>
      <c r="H956" t="inlineStr">
        <is>
          <t>Helse og mestring</t>
        </is>
      </c>
      <c r="I956" t="inlineStr">
        <is>
          <t>2 Utgifter</t>
        </is>
      </c>
      <c r="J956" t="inlineStr">
        <is>
          <t>11 Refusjon lønn</t>
        </is>
      </c>
      <c r="K956" t="n">
        <v>1270</v>
      </c>
      <c r="L956" t="n">
        <v>127040</v>
      </c>
      <c r="M956" t="inlineStr">
        <is>
          <t>Kjøp av vikarbyråtjenester</t>
        </is>
      </c>
      <c r="N956" s="98" t="n">
        <v>0</v>
      </c>
      <c r="O956" s="98" t="n">
        <v>129480</v>
      </c>
      <c r="P956" s="98" t="n">
        <v>-129480</v>
      </c>
      <c r="Q956" s="98" t="n">
        <v>129480</v>
      </c>
    </row>
    <row r="957">
      <c r="A957" t="inlineStr">
        <is>
          <t>2024-08</t>
        </is>
      </c>
      <c r="B957" t="inlineStr">
        <is>
          <t>August</t>
        </is>
      </c>
      <c r="C957" t="n">
        <v>8</v>
      </c>
      <c r="D957" t="inlineStr">
        <is>
          <t>T2</t>
        </is>
      </c>
      <c r="E957" t="inlineStr">
        <is>
          <t>Bokført</t>
        </is>
      </c>
      <c r="F957" t="inlineStr">
        <is>
          <t>Kommunal Boenhet</t>
        </is>
      </c>
      <c r="G957" t="n">
        <v>254</v>
      </c>
      <c r="H957" t="inlineStr">
        <is>
          <t>Helse og mestring</t>
        </is>
      </c>
      <c r="I957" t="inlineStr">
        <is>
          <t>2 Utgifter</t>
        </is>
      </c>
      <c r="J957" t="inlineStr">
        <is>
          <t>11 Refusjon lønn</t>
        </is>
      </c>
      <c r="K957" t="n">
        <v>1270</v>
      </c>
      <c r="L957" t="n">
        <v>127040</v>
      </c>
      <c r="M957" t="inlineStr">
        <is>
          <t>Kjøp av vikarbyråtjenester</t>
        </is>
      </c>
      <c r="N957" s="98" t="n">
        <v>0</v>
      </c>
      <c r="O957" s="98" t="n">
        <v>253176</v>
      </c>
      <c r="P957" s="98" t="n">
        <v>253176</v>
      </c>
      <c r="Q957" s="98" t="n">
        <v>253176</v>
      </c>
    </row>
    <row r="958">
      <c r="A958" t="inlineStr">
        <is>
          <t>2024-09</t>
        </is>
      </c>
      <c r="B958" t="inlineStr">
        <is>
          <t>September</t>
        </is>
      </c>
      <c r="C958" t="n">
        <v>9</v>
      </c>
      <c r="D958" t="inlineStr">
        <is>
          <t>T3</t>
        </is>
      </c>
      <c r="E958" t="inlineStr">
        <is>
          <t>Gjenstående budsjett</t>
        </is>
      </c>
      <c r="F958" t="inlineStr">
        <is>
          <t>Kommunal Boenhet</t>
        </is>
      </c>
      <c r="G958" t="n">
        <v>254</v>
      </c>
      <c r="H958" t="inlineStr">
        <is>
          <t>Helse og mestring</t>
        </is>
      </c>
      <c r="I958" t="inlineStr">
        <is>
          <t>2 Utgifter</t>
        </is>
      </c>
      <c r="J958" t="inlineStr">
        <is>
          <t>11 Refusjon lønn</t>
        </is>
      </c>
      <c r="K958" t="n">
        <v>1270</v>
      </c>
      <c r="L958" t="n">
        <v>127040</v>
      </c>
      <c r="M958" t="inlineStr">
        <is>
          <t>Kjøp av vikarbyråtjenester</t>
        </is>
      </c>
      <c r="N958" s="98" t="n">
        <v>0</v>
      </c>
      <c r="O958" s="98" t="n">
        <v>0</v>
      </c>
      <c r="P958" s="98" t="n">
        <v>0</v>
      </c>
      <c r="Q958" s="98" t="n">
        <v>0</v>
      </c>
    </row>
    <row r="959">
      <c r="A959" t="inlineStr">
        <is>
          <t>2024-10</t>
        </is>
      </c>
      <c r="B959" t="inlineStr">
        <is>
          <t>Oktober</t>
        </is>
      </c>
      <c r="C959" t="n">
        <v>10</v>
      </c>
      <c r="D959" t="inlineStr">
        <is>
          <t>T3</t>
        </is>
      </c>
      <c r="E959" t="inlineStr">
        <is>
          <t>Gjenstående budsjett</t>
        </is>
      </c>
      <c r="F959" t="inlineStr">
        <is>
          <t>Kommunal Boenhet</t>
        </is>
      </c>
      <c r="G959" t="n">
        <v>254</v>
      </c>
      <c r="H959" t="inlineStr">
        <is>
          <t>Helse og mestring</t>
        </is>
      </c>
      <c r="I959" t="inlineStr">
        <is>
          <t>2 Utgifter</t>
        </is>
      </c>
      <c r="J959" t="inlineStr">
        <is>
          <t>11 Refusjon lønn</t>
        </is>
      </c>
      <c r="K959" t="n">
        <v>1270</v>
      </c>
      <c r="L959" t="n">
        <v>127040</v>
      </c>
      <c r="M959" t="inlineStr">
        <is>
          <t>Kjøp av vikarbyråtjenester</t>
        </is>
      </c>
      <c r="N959" s="98" t="n">
        <v>0</v>
      </c>
      <c r="O959" s="98" t="n">
        <v>0</v>
      </c>
      <c r="P959" s="98" t="n">
        <v>0</v>
      </c>
      <c r="Q959" s="98" t="n">
        <v>0</v>
      </c>
    </row>
    <row r="960">
      <c r="A960" t="inlineStr">
        <is>
          <t>2024-11</t>
        </is>
      </c>
      <c r="B960" t="inlineStr">
        <is>
          <t>November</t>
        </is>
      </c>
      <c r="C960" t="n">
        <v>11</v>
      </c>
      <c r="D960" t="inlineStr">
        <is>
          <t>T3</t>
        </is>
      </c>
      <c r="E960" t="inlineStr">
        <is>
          <t>Gjenstående budsjett</t>
        </is>
      </c>
      <c r="F960" t="inlineStr">
        <is>
          <t>Kommunal Boenhet</t>
        </is>
      </c>
      <c r="G960" t="n">
        <v>254</v>
      </c>
      <c r="H960" t="inlineStr">
        <is>
          <t>Helse og mestring</t>
        </is>
      </c>
      <c r="I960" t="inlineStr">
        <is>
          <t>2 Utgifter</t>
        </is>
      </c>
      <c r="J960" t="inlineStr">
        <is>
          <t>11 Refusjon lønn</t>
        </is>
      </c>
      <c r="K960" t="n">
        <v>1270</v>
      </c>
      <c r="L960" t="n">
        <v>127040</v>
      </c>
      <c r="M960" t="inlineStr">
        <is>
          <t>Kjøp av vikarbyråtjenester</t>
        </is>
      </c>
      <c r="N960" s="98" t="n">
        <v>0</v>
      </c>
      <c r="O960" s="98" t="n">
        <v>0</v>
      </c>
      <c r="P960" s="98" t="n">
        <v>0</v>
      </c>
      <c r="Q960" s="98" t="n">
        <v>0</v>
      </c>
    </row>
    <row r="961">
      <c r="A961" t="inlineStr">
        <is>
          <t>2024-12</t>
        </is>
      </c>
      <c r="B961" t="inlineStr">
        <is>
          <t>Desember</t>
        </is>
      </c>
      <c r="C961" t="n">
        <v>12</v>
      </c>
      <c r="D961" t="inlineStr">
        <is>
          <t>T3</t>
        </is>
      </c>
      <c r="E961" t="inlineStr">
        <is>
          <t>Gjenstående budsjett</t>
        </is>
      </c>
      <c r="F961" t="inlineStr">
        <is>
          <t>Kommunal Boenhet</t>
        </is>
      </c>
      <c r="G961" t="n">
        <v>254</v>
      </c>
      <c r="H961" t="inlineStr">
        <is>
          <t>Helse og mestring</t>
        </is>
      </c>
      <c r="I961" t="inlineStr">
        <is>
          <t>2 Utgifter</t>
        </is>
      </c>
      <c r="J961" t="inlineStr">
        <is>
          <t>11 Refusjon lønn</t>
        </is>
      </c>
      <c r="K961" t="n">
        <v>1270</v>
      </c>
      <c r="L961" t="n">
        <v>127040</v>
      </c>
      <c r="M961" t="inlineStr">
        <is>
          <t>Kjøp av vikarbyråtjenester</t>
        </is>
      </c>
      <c r="N961" s="98" t="n">
        <v>0</v>
      </c>
      <c r="O961" s="98" t="n">
        <v>0</v>
      </c>
      <c r="P961" s="98" t="n">
        <v>0</v>
      </c>
      <c r="Q961" s="98" t="n">
        <v>0</v>
      </c>
    </row>
    <row r="962">
      <c r="A962" t="inlineStr">
        <is>
          <t>2024-01</t>
        </is>
      </c>
      <c r="B962" t="inlineStr">
        <is>
          <t>Januar</t>
        </is>
      </c>
      <c r="C962" t="n">
        <v>1</v>
      </c>
      <c r="D962" t="inlineStr">
        <is>
          <t>T1</t>
        </is>
      </c>
      <c r="E962" t="inlineStr">
        <is>
          <t>Bokført</t>
        </is>
      </c>
      <c r="F962" t="inlineStr">
        <is>
          <t>Kommunal Boenhet</t>
        </is>
      </c>
      <c r="G962" t="n">
        <v>254</v>
      </c>
      <c r="H962" t="inlineStr">
        <is>
          <t>Helse og mestring</t>
        </is>
      </c>
      <c r="I962" t="inlineStr">
        <is>
          <t>2 Utgifter</t>
        </is>
      </c>
      <c r="J962" t="inlineStr">
        <is>
          <t>11 Refusjon lønn</t>
        </is>
      </c>
      <c r="K962" t="n">
        <v>1260</v>
      </c>
      <c r="L962" t="n">
        <v>126000</v>
      </c>
      <c r="M962" t="inlineStr">
        <is>
          <t>Renholdstjenester</t>
        </is>
      </c>
      <c r="N962" s="98" t="n">
        <v>0</v>
      </c>
      <c r="O962" s="98" t="n">
        <v>0</v>
      </c>
      <c r="P962" s="98" t="n">
        <v>0</v>
      </c>
      <c r="Q962" s="98" t="n">
        <v>0</v>
      </c>
    </row>
    <row r="963">
      <c r="A963" t="inlineStr">
        <is>
          <t>2024-02</t>
        </is>
      </c>
      <c r="B963" t="inlineStr">
        <is>
          <t>Februar</t>
        </is>
      </c>
      <c r="C963" t="n">
        <v>2</v>
      </c>
      <c r="D963" t="inlineStr">
        <is>
          <t>T1</t>
        </is>
      </c>
      <c r="E963" t="inlineStr">
        <is>
          <t>Bokført</t>
        </is>
      </c>
      <c r="F963" t="inlineStr">
        <is>
          <t>Kommunal Boenhet</t>
        </is>
      </c>
      <c r="G963" t="n">
        <v>254</v>
      </c>
      <c r="H963" t="inlineStr">
        <is>
          <t>Helse og mestring</t>
        </is>
      </c>
      <c r="I963" t="inlineStr">
        <is>
          <t>2 Utgifter</t>
        </is>
      </c>
      <c r="J963" t="inlineStr">
        <is>
          <t>11 Refusjon lønn</t>
        </is>
      </c>
      <c r="K963" t="n">
        <v>1260</v>
      </c>
      <c r="L963" t="n">
        <v>126000</v>
      </c>
      <c r="M963" t="inlineStr">
        <is>
          <t>Renholdstjenester</t>
        </is>
      </c>
      <c r="N963" s="98" t="n">
        <v>0</v>
      </c>
      <c r="O963" s="98" t="n">
        <v>0</v>
      </c>
      <c r="P963" s="98" t="n">
        <v>0</v>
      </c>
      <c r="Q963" s="98" t="n">
        <v>0</v>
      </c>
    </row>
    <row r="964">
      <c r="A964" t="inlineStr">
        <is>
          <t>2024-03</t>
        </is>
      </c>
      <c r="B964" t="inlineStr">
        <is>
          <t>Mars</t>
        </is>
      </c>
      <c r="C964" t="n">
        <v>3</v>
      </c>
      <c r="D964" t="inlineStr">
        <is>
          <t>T1</t>
        </is>
      </c>
      <c r="E964" t="inlineStr">
        <is>
          <t>Bokført</t>
        </is>
      </c>
      <c r="F964" t="inlineStr">
        <is>
          <t>Kommunal Boenhet</t>
        </is>
      </c>
      <c r="G964" t="n">
        <v>254</v>
      </c>
      <c r="H964" t="inlineStr">
        <is>
          <t>Helse og mestring</t>
        </is>
      </c>
      <c r="I964" t="inlineStr">
        <is>
          <t>2 Utgifter</t>
        </is>
      </c>
      <c r="J964" t="inlineStr">
        <is>
          <t>11 Refusjon lønn</t>
        </is>
      </c>
      <c r="K964" t="n">
        <v>1260</v>
      </c>
      <c r="L964" t="n">
        <v>126000</v>
      </c>
      <c r="M964" t="inlineStr">
        <is>
          <t>Renholdstjenester</t>
        </is>
      </c>
      <c r="N964" s="98" t="n">
        <v>0</v>
      </c>
      <c r="O964" s="98" t="n">
        <v>0</v>
      </c>
      <c r="P964" s="98" t="n">
        <v>0</v>
      </c>
      <c r="Q964" s="98" t="n">
        <v>0</v>
      </c>
    </row>
    <row r="965">
      <c r="A965" t="inlineStr">
        <is>
          <t>2024-04</t>
        </is>
      </c>
      <c r="B965" t="inlineStr">
        <is>
          <t>April</t>
        </is>
      </c>
      <c r="C965" t="n">
        <v>4</v>
      </c>
      <c r="D965" t="inlineStr">
        <is>
          <t>T1</t>
        </is>
      </c>
      <c r="E965" t="inlineStr">
        <is>
          <t>Bokført</t>
        </is>
      </c>
      <c r="F965" t="inlineStr">
        <is>
          <t>Kommunal Boenhet</t>
        </is>
      </c>
      <c r="G965" t="n">
        <v>254</v>
      </c>
      <c r="H965" t="inlineStr">
        <is>
          <t>Helse og mestring</t>
        </is>
      </c>
      <c r="I965" t="inlineStr">
        <is>
          <t>2 Utgifter</t>
        </is>
      </c>
      <c r="J965" t="inlineStr">
        <is>
          <t>11 Refusjon lønn</t>
        </is>
      </c>
      <c r="K965" t="n">
        <v>1260</v>
      </c>
      <c r="L965" t="n">
        <v>126000</v>
      </c>
      <c r="M965" t="inlineStr">
        <is>
          <t>Renholdstjenester</t>
        </is>
      </c>
      <c r="N965" s="98" t="n">
        <v>0</v>
      </c>
      <c r="O965" s="98" t="n">
        <v>400</v>
      </c>
      <c r="P965" s="98" t="n">
        <v>-400</v>
      </c>
      <c r="Q965" s="98" t="n">
        <v>400</v>
      </c>
    </row>
    <row r="966">
      <c r="A966" t="inlineStr">
        <is>
          <t>2024-05</t>
        </is>
      </c>
      <c r="B966" t="inlineStr">
        <is>
          <t>Mai</t>
        </is>
      </c>
      <c r="C966" t="n">
        <v>5</v>
      </c>
      <c r="D966" t="inlineStr">
        <is>
          <t>T2</t>
        </is>
      </c>
      <c r="E966" t="inlineStr">
        <is>
          <t>Bokført</t>
        </is>
      </c>
      <c r="F966" t="inlineStr">
        <is>
          <t>Kommunal Boenhet</t>
        </is>
      </c>
      <c r="G966" t="n">
        <v>254</v>
      </c>
      <c r="H966" t="inlineStr">
        <is>
          <t>Helse og mestring</t>
        </is>
      </c>
      <c r="I966" t="inlineStr">
        <is>
          <t>2 Utgifter</t>
        </is>
      </c>
      <c r="J966" t="inlineStr">
        <is>
          <t>11 Refusjon lønn</t>
        </is>
      </c>
      <c r="K966" t="n">
        <v>1260</v>
      </c>
      <c r="L966" t="n">
        <v>126000</v>
      </c>
      <c r="M966" t="inlineStr">
        <is>
          <t>Renholdstjenester</t>
        </is>
      </c>
      <c r="N966" s="98" t="n">
        <v>0</v>
      </c>
      <c r="O966" s="98" t="n">
        <v>0</v>
      </c>
      <c r="P966" s="98" t="n">
        <v>0</v>
      </c>
      <c r="Q966" s="98" t="n">
        <v>0</v>
      </c>
    </row>
    <row r="967">
      <c r="A967" t="inlineStr">
        <is>
          <t>2024-06</t>
        </is>
      </c>
      <c r="B967" t="inlineStr">
        <is>
          <t>Juni</t>
        </is>
      </c>
      <c r="C967" t="n">
        <v>6</v>
      </c>
      <c r="D967" t="inlineStr">
        <is>
          <t>T2</t>
        </is>
      </c>
      <c r="E967" t="inlineStr">
        <is>
          <t>Bokført</t>
        </is>
      </c>
      <c r="F967" t="inlineStr">
        <is>
          <t>Kommunal Boenhet</t>
        </is>
      </c>
      <c r="G967" t="n">
        <v>254</v>
      </c>
      <c r="H967" t="inlineStr">
        <is>
          <t>Helse og mestring</t>
        </is>
      </c>
      <c r="I967" t="inlineStr">
        <is>
          <t>2 Utgifter</t>
        </is>
      </c>
      <c r="J967" t="inlineStr">
        <is>
          <t>11 Refusjon lønn</t>
        </is>
      </c>
      <c r="K967" t="n">
        <v>1260</v>
      </c>
      <c r="L967" t="n">
        <v>126000</v>
      </c>
      <c r="M967" t="inlineStr">
        <is>
          <t>Renholdstjenester</t>
        </is>
      </c>
      <c r="N967" s="98" t="n">
        <v>0</v>
      </c>
      <c r="O967" s="98" t="n">
        <v>0</v>
      </c>
      <c r="P967" s="98" t="n">
        <v>0</v>
      </c>
      <c r="Q967" s="98" t="n">
        <v>0</v>
      </c>
    </row>
    <row r="968">
      <c r="A968" t="inlineStr">
        <is>
          <t>2024-07</t>
        </is>
      </c>
      <c r="B968" t="inlineStr">
        <is>
          <t>Juli</t>
        </is>
      </c>
      <c r="C968" t="n">
        <v>7</v>
      </c>
      <c r="D968" t="inlineStr">
        <is>
          <t>T2</t>
        </is>
      </c>
      <c r="E968" t="inlineStr">
        <is>
          <t>Bokført</t>
        </is>
      </c>
      <c r="F968" t="inlineStr">
        <is>
          <t>Kommunal Boenhet</t>
        </is>
      </c>
      <c r="G968" t="n">
        <v>254</v>
      </c>
      <c r="H968" t="inlineStr">
        <is>
          <t>Helse og mestring</t>
        </is>
      </c>
      <c r="I968" t="inlineStr">
        <is>
          <t>2 Utgifter</t>
        </is>
      </c>
      <c r="J968" t="inlineStr">
        <is>
          <t>11 Refusjon lønn</t>
        </is>
      </c>
      <c r="K968" t="n">
        <v>1260</v>
      </c>
      <c r="L968" t="n">
        <v>126000</v>
      </c>
      <c r="M968" t="inlineStr">
        <is>
          <t>Renholdstjenester</t>
        </is>
      </c>
      <c r="N968" s="98" t="n">
        <v>0</v>
      </c>
      <c r="O968" s="98" t="n">
        <v>0</v>
      </c>
      <c r="P968" s="98" t="n">
        <v>0</v>
      </c>
      <c r="Q968" s="98" t="n">
        <v>0</v>
      </c>
    </row>
    <row r="969">
      <c r="A969" t="inlineStr">
        <is>
          <t>2024-08</t>
        </is>
      </c>
      <c r="B969" t="inlineStr">
        <is>
          <t>August</t>
        </is>
      </c>
      <c r="C969" t="n">
        <v>8</v>
      </c>
      <c r="D969" t="inlineStr">
        <is>
          <t>T2</t>
        </is>
      </c>
      <c r="E969" t="inlineStr">
        <is>
          <t>Bokført</t>
        </is>
      </c>
      <c r="F969" t="inlineStr">
        <is>
          <t>Kommunal Boenhet</t>
        </is>
      </c>
      <c r="G969" t="n">
        <v>254</v>
      </c>
      <c r="H969" t="inlineStr">
        <is>
          <t>Helse og mestring</t>
        </is>
      </c>
      <c r="I969" t="inlineStr">
        <is>
          <t>2 Utgifter</t>
        </is>
      </c>
      <c r="J969" t="inlineStr">
        <is>
          <t>11 Refusjon lønn</t>
        </is>
      </c>
      <c r="K969" t="n">
        <v>1260</v>
      </c>
      <c r="L969" t="n">
        <v>126000</v>
      </c>
      <c r="M969" t="inlineStr">
        <is>
          <t>Renholdstjenester</t>
        </is>
      </c>
      <c r="N969" s="98" t="n">
        <v>0</v>
      </c>
      <c r="O969" s="98" t="n">
        <v>0</v>
      </c>
      <c r="P969" s="98" t="n">
        <v>0</v>
      </c>
      <c r="Q969" s="98" t="n">
        <v>0</v>
      </c>
    </row>
    <row r="970">
      <c r="A970" t="inlineStr">
        <is>
          <t>2024-09</t>
        </is>
      </c>
      <c r="B970" t="inlineStr">
        <is>
          <t>September</t>
        </is>
      </c>
      <c r="C970" t="n">
        <v>9</v>
      </c>
      <c r="D970" t="inlineStr">
        <is>
          <t>T3</t>
        </is>
      </c>
      <c r="E970" t="inlineStr">
        <is>
          <t>Gjenstående budsjett</t>
        </is>
      </c>
      <c r="F970" t="inlineStr">
        <is>
          <t>Kommunal Boenhet</t>
        </is>
      </c>
      <c r="G970" t="n">
        <v>254</v>
      </c>
      <c r="H970" t="inlineStr">
        <is>
          <t>Helse og mestring</t>
        </is>
      </c>
      <c r="I970" t="inlineStr">
        <is>
          <t>2 Utgifter</t>
        </is>
      </c>
      <c r="J970" t="inlineStr">
        <is>
          <t>11 Refusjon lønn</t>
        </is>
      </c>
      <c r="K970" t="n">
        <v>1260</v>
      </c>
      <c r="L970" t="n">
        <v>126000</v>
      </c>
      <c r="M970" t="inlineStr">
        <is>
          <t>Renholdstjenester</t>
        </is>
      </c>
      <c r="N970" s="98" t="n">
        <v>0</v>
      </c>
      <c r="O970" s="98" t="n">
        <v>0</v>
      </c>
      <c r="P970" s="98" t="n">
        <v>0</v>
      </c>
      <c r="Q970" s="98" t="n">
        <v>0</v>
      </c>
    </row>
    <row r="971">
      <c r="A971" t="inlineStr">
        <is>
          <t>2024-10</t>
        </is>
      </c>
      <c r="B971" t="inlineStr">
        <is>
          <t>Oktober</t>
        </is>
      </c>
      <c r="C971" t="n">
        <v>10</v>
      </c>
      <c r="D971" t="inlineStr">
        <is>
          <t>T3</t>
        </is>
      </c>
      <c r="E971" t="inlineStr">
        <is>
          <t>Gjenstående budsjett</t>
        </is>
      </c>
      <c r="F971" t="inlineStr">
        <is>
          <t>Kommunal Boenhet</t>
        </is>
      </c>
      <c r="G971" t="n">
        <v>254</v>
      </c>
      <c r="H971" t="inlineStr">
        <is>
          <t>Helse og mestring</t>
        </is>
      </c>
      <c r="I971" t="inlineStr">
        <is>
          <t>2 Utgifter</t>
        </is>
      </c>
      <c r="J971" t="inlineStr">
        <is>
          <t>11 Refusjon lønn</t>
        </is>
      </c>
      <c r="K971" t="n">
        <v>1260</v>
      </c>
      <c r="L971" t="n">
        <v>126000</v>
      </c>
      <c r="M971" t="inlineStr">
        <is>
          <t>Renholdstjenester</t>
        </is>
      </c>
      <c r="N971" s="98" t="n">
        <v>0</v>
      </c>
      <c r="O971" s="98" t="n">
        <v>0</v>
      </c>
      <c r="P971" s="98" t="n">
        <v>0</v>
      </c>
      <c r="Q971" s="98" t="n">
        <v>0</v>
      </c>
    </row>
    <row r="972">
      <c r="A972" t="inlineStr">
        <is>
          <t>2024-11</t>
        </is>
      </c>
      <c r="B972" t="inlineStr">
        <is>
          <t>November</t>
        </is>
      </c>
      <c r="C972" t="n">
        <v>11</v>
      </c>
      <c r="D972" t="inlineStr">
        <is>
          <t>T3</t>
        </is>
      </c>
      <c r="E972" t="inlineStr">
        <is>
          <t>Gjenstående budsjett</t>
        </is>
      </c>
      <c r="F972" t="inlineStr">
        <is>
          <t>Kommunal Boenhet</t>
        </is>
      </c>
      <c r="G972" t="n">
        <v>254</v>
      </c>
      <c r="H972" t="inlineStr">
        <is>
          <t>Helse og mestring</t>
        </is>
      </c>
      <c r="I972" t="inlineStr">
        <is>
          <t>2 Utgifter</t>
        </is>
      </c>
      <c r="J972" t="inlineStr">
        <is>
          <t>11 Refusjon lønn</t>
        </is>
      </c>
      <c r="K972" t="n">
        <v>1260</v>
      </c>
      <c r="L972" t="n">
        <v>126000</v>
      </c>
      <c r="M972" t="inlineStr">
        <is>
          <t>Renholdstjenester</t>
        </is>
      </c>
      <c r="N972" s="98" t="n">
        <v>0</v>
      </c>
      <c r="O972" s="98" t="n">
        <v>0</v>
      </c>
      <c r="P972" s="98" t="n">
        <v>0</v>
      </c>
      <c r="Q972" s="98" t="n">
        <v>0</v>
      </c>
    </row>
    <row r="973">
      <c r="A973" t="inlineStr">
        <is>
          <t>2024-12</t>
        </is>
      </c>
      <c r="B973" t="inlineStr">
        <is>
          <t>Desember</t>
        </is>
      </c>
      <c r="C973" t="n">
        <v>12</v>
      </c>
      <c r="D973" t="inlineStr">
        <is>
          <t>T3</t>
        </is>
      </c>
      <c r="E973" t="inlineStr">
        <is>
          <t>Gjenstående budsjett</t>
        </is>
      </c>
      <c r="F973" t="inlineStr">
        <is>
          <t>Kommunal Boenhet</t>
        </is>
      </c>
      <c r="G973" t="n">
        <v>254</v>
      </c>
      <c r="H973" t="inlineStr">
        <is>
          <t>Helse og mestring</t>
        </is>
      </c>
      <c r="I973" t="inlineStr">
        <is>
          <t>2 Utgifter</t>
        </is>
      </c>
      <c r="J973" t="inlineStr">
        <is>
          <t>11 Refusjon lønn</t>
        </is>
      </c>
      <c r="K973" t="n">
        <v>1260</v>
      </c>
      <c r="L973" t="n">
        <v>126000</v>
      </c>
      <c r="M973" t="inlineStr">
        <is>
          <t>Renholdstjenester</t>
        </is>
      </c>
      <c r="N973" s="98" t="n">
        <v>0</v>
      </c>
      <c r="O973" s="98" t="n">
        <v>0</v>
      </c>
      <c r="P973" s="98" t="n">
        <v>0</v>
      </c>
      <c r="Q973" s="98" t="n">
        <v>0</v>
      </c>
    </row>
    <row r="974">
      <c r="A974" t="inlineStr">
        <is>
          <t>2024-01</t>
        </is>
      </c>
      <c r="B974" t="inlineStr">
        <is>
          <t>Januar</t>
        </is>
      </c>
      <c r="C974" t="n">
        <v>1</v>
      </c>
      <c r="D974" t="inlineStr">
        <is>
          <t>T1</t>
        </is>
      </c>
      <c r="E974" t="inlineStr">
        <is>
          <t>Bokført</t>
        </is>
      </c>
      <c r="F974" t="inlineStr">
        <is>
          <t>Kommunal Boenhet</t>
        </is>
      </c>
      <c r="G974" t="n">
        <v>254</v>
      </c>
      <c r="H974" t="inlineStr">
        <is>
          <t>Helse og mestring</t>
        </is>
      </c>
      <c r="I974" t="inlineStr">
        <is>
          <t>2 Utgifter</t>
        </is>
      </c>
      <c r="J974" t="inlineStr">
        <is>
          <t>11 Refusjon lønn</t>
        </is>
      </c>
      <c r="K974" t="n">
        <v>1270</v>
      </c>
      <c r="L974" t="n">
        <v>127050</v>
      </c>
      <c r="M974" t="inlineStr">
        <is>
          <t>Bedriftshelsetjenester</t>
        </is>
      </c>
      <c r="N974" s="98" t="n">
        <v>0</v>
      </c>
      <c r="O974" s="98" t="n">
        <v>0</v>
      </c>
      <c r="P974" s="98" t="n">
        <v>0</v>
      </c>
      <c r="Q974" s="98" t="n">
        <v>0</v>
      </c>
    </row>
    <row r="975">
      <c r="A975" t="inlineStr">
        <is>
          <t>2024-02</t>
        </is>
      </c>
      <c r="B975" t="inlineStr">
        <is>
          <t>Februar</t>
        </is>
      </c>
      <c r="C975" t="n">
        <v>2</v>
      </c>
      <c r="D975" t="inlineStr">
        <is>
          <t>T1</t>
        </is>
      </c>
      <c r="E975" t="inlineStr">
        <is>
          <t>Bokført</t>
        </is>
      </c>
      <c r="F975" t="inlineStr">
        <is>
          <t>Kommunal Boenhet</t>
        </is>
      </c>
      <c r="G975" t="n">
        <v>254</v>
      </c>
      <c r="H975" t="inlineStr">
        <is>
          <t>Helse og mestring</t>
        </is>
      </c>
      <c r="I975" t="inlineStr">
        <is>
          <t>2 Utgifter</t>
        </is>
      </c>
      <c r="J975" t="inlineStr">
        <is>
          <t>11 Refusjon lønn</t>
        </is>
      </c>
      <c r="K975" t="n">
        <v>1270</v>
      </c>
      <c r="L975" t="n">
        <v>127050</v>
      </c>
      <c r="M975" t="inlineStr">
        <is>
          <t>Bedriftshelsetjenester</t>
        </is>
      </c>
      <c r="N975" s="98" t="n">
        <v>0</v>
      </c>
      <c r="O975" s="98" t="n">
        <v>0</v>
      </c>
      <c r="P975" s="98" t="n">
        <v>0</v>
      </c>
      <c r="Q975" s="98" t="n">
        <v>0</v>
      </c>
    </row>
    <row r="976">
      <c r="A976" t="inlineStr">
        <is>
          <t>2024-03</t>
        </is>
      </c>
      <c r="B976" t="inlineStr">
        <is>
          <t>Mars</t>
        </is>
      </c>
      <c r="C976" t="n">
        <v>3</v>
      </c>
      <c r="D976" t="inlineStr">
        <is>
          <t>T1</t>
        </is>
      </c>
      <c r="E976" t="inlineStr">
        <is>
          <t>Bokført</t>
        </is>
      </c>
      <c r="F976" t="inlineStr">
        <is>
          <t>Kommunal Boenhet</t>
        </is>
      </c>
      <c r="G976" t="n">
        <v>254</v>
      </c>
      <c r="H976" t="inlineStr">
        <is>
          <t>Helse og mestring</t>
        </is>
      </c>
      <c r="I976" t="inlineStr">
        <is>
          <t>2 Utgifter</t>
        </is>
      </c>
      <c r="J976" t="inlineStr">
        <is>
          <t>11 Refusjon lønn</t>
        </is>
      </c>
      <c r="K976" t="n">
        <v>1270</v>
      </c>
      <c r="L976" t="n">
        <v>127050</v>
      </c>
      <c r="M976" t="inlineStr">
        <is>
          <t>Bedriftshelsetjenester</t>
        </is>
      </c>
      <c r="N976" s="98" t="n">
        <v>0</v>
      </c>
      <c r="O976" s="98" t="n">
        <v>0</v>
      </c>
      <c r="P976" s="98" t="n">
        <v>0</v>
      </c>
      <c r="Q976" s="98" t="n">
        <v>0</v>
      </c>
    </row>
    <row r="977">
      <c r="A977" t="inlineStr">
        <is>
          <t>2024-04</t>
        </is>
      </c>
      <c r="B977" t="inlineStr">
        <is>
          <t>April</t>
        </is>
      </c>
      <c r="C977" t="n">
        <v>4</v>
      </c>
      <c r="D977" t="inlineStr">
        <is>
          <t>T1</t>
        </is>
      </c>
      <c r="E977" t="inlineStr">
        <is>
          <t>Bokført</t>
        </is>
      </c>
      <c r="F977" t="inlineStr">
        <is>
          <t>Kommunal Boenhet</t>
        </is>
      </c>
      <c r="G977" t="n">
        <v>254</v>
      </c>
      <c r="H977" t="inlineStr">
        <is>
          <t>Helse og mestring</t>
        </is>
      </c>
      <c r="I977" t="inlineStr">
        <is>
          <t>2 Utgifter</t>
        </is>
      </c>
      <c r="J977" t="inlineStr">
        <is>
          <t>11 Refusjon lønn</t>
        </is>
      </c>
      <c r="K977" t="n">
        <v>1270</v>
      </c>
      <c r="L977" t="n">
        <v>127050</v>
      </c>
      <c r="M977" t="inlineStr">
        <is>
          <t>Bedriftshelsetjenester</t>
        </is>
      </c>
      <c r="N977" s="98" t="n">
        <v>0</v>
      </c>
      <c r="O977" s="98" t="n">
        <v>0</v>
      </c>
      <c r="P977" s="98" t="n">
        <v>0</v>
      </c>
      <c r="Q977" s="98" t="n">
        <v>0</v>
      </c>
    </row>
    <row r="978">
      <c r="A978" t="inlineStr">
        <is>
          <t>2024-05</t>
        </is>
      </c>
      <c r="B978" t="inlineStr">
        <is>
          <t>Mai</t>
        </is>
      </c>
      <c r="C978" t="n">
        <v>5</v>
      </c>
      <c r="D978" t="inlineStr">
        <is>
          <t>T2</t>
        </is>
      </c>
      <c r="E978" t="inlineStr">
        <is>
          <t>Bokført</t>
        </is>
      </c>
      <c r="F978" t="inlineStr">
        <is>
          <t>Kommunal Boenhet</t>
        </is>
      </c>
      <c r="G978" t="n">
        <v>254</v>
      </c>
      <c r="H978" t="inlineStr">
        <is>
          <t>Helse og mestring</t>
        </is>
      </c>
      <c r="I978" t="inlineStr">
        <is>
          <t>2 Utgifter</t>
        </is>
      </c>
      <c r="J978" t="inlineStr">
        <is>
          <t>11 Refusjon lønn</t>
        </is>
      </c>
      <c r="K978" t="n">
        <v>1270</v>
      </c>
      <c r="L978" t="n">
        <v>127050</v>
      </c>
      <c r="M978" t="inlineStr">
        <is>
          <t>Bedriftshelsetjenester</t>
        </is>
      </c>
      <c r="N978" s="98" t="n">
        <v>0</v>
      </c>
      <c r="O978" s="98" t="n">
        <v>0</v>
      </c>
      <c r="P978" s="98" t="n">
        <v>0</v>
      </c>
      <c r="Q978" s="98" t="n">
        <v>0</v>
      </c>
    </row>
    <row r="979">
      <c r="A979" t="inlineStr">
        <is>
          <t>2024-06</t>
        </is>
      </c>
      <c r="B979" t="inlineStr">
        <is>
          <t>Juni</t>
        </is>
      </c>
      <c r="C979" t="n">
        <v>6</v>
      </c>
      <c r="D979" t="inlineStr">
        <is>
          <t>T2</t>
        </is>
      </c>
      <c r="E979" t="inlineStr">
        <is>
          <t>Bokført</t>
        </is>
      </c>
      <c r="F979" t="inlineStr">
        <is>
          <t>Kommunal Boenhet</t>
        </is>
      </c>
      <c r="G979" t="n">
        <v>254</v>
      </c>
      <c r="H979" t="inlineStr">
        <is>
          <t>Helse og mestring</t>
        </is>
      </c>
      <c r="I979" t="inlineStr">
        <is>
          <t>2 Utgifter</t>
        </is>
      </c>
      <c r="J979" t="inlineStr">
        <is>
          <t>11 Refusjon lønn</t>
        </is>
      </c>
      <c r="K979" t="n">
        <v>1270</v>
      </c>
      <c r="L979" t="n">
        <v>127050</v>
      </c>
      <c r="M979" t="inlineStr">
        <is>
          <t>Bedriftshelsetjenester</t>
        </is>
      </c>
      <c r="N979" s="98" t="n">
        <v>0</v>
      </c>
      <c r="O979" s="98" t="n">
        <v>0</v>
      </c>
      <c r="P979" s="98" t="n">
        <v>0</v>
      </c>
      <c r="Q979" s="98" t="n">
        <v>0</v>
      </c>
    </row>
    <row r="980">
      <c r="A980" t="inlineStr">
        <is>
          <t>2024-07</t>
        </is>
      </c>
      <c r="B980" t="inlineStr">
        <is>
          <t>Juli</t>
        </is>
      </c>
      <c r="C980" t="n">
        <v>7</v>
      </c>
      <c r="D980" t="inlineStr">
        <is>
          <t>T2</t>
        </is>
      </c>
      <c r="E980" t="inlineStr">
        <is>
          <t>Bokført</t>
        </is>
      </c>
      <c r="F980" t="inlineStr">
        <is>
          <t>Kommunal Boenhet</t>
        </is>
      </c>
      <c r="G980" t="n">
        <v>254</v>
      </c>
      <c r="H980" t="inlineStr">
        <is>
          <t>Helse og mestring</t>
        </is>
      </c>
      <c r="I980" t="inlineStr">
        <is>
          <t>2 Utgifter</t>
        </is>
      </c>
      <c r="J980" t="inlineStr">
        <is>
          <t>11 Refusjon lønn</t>
        </is>
      </c>
      <c r="K980" t="n">
        <v>1270</v>
      </c>
      <c r="L980" t="n">
        <v>127050</v>
      </c>
      <c r="M980" t="inlineStr">
        <is>
          <t>Bedriftshelsetjenester</t>
        </is>
      </c>
      <c r="N980" s="98" t="n">
        <v>0</v>
      </c>
      <c r="O980" s="98" t="n">
        <v>0</v>
      </c>
      <c r="P980" s="98" t="n">
        <v>0</v>
      </c>
      <c r="Q980" s="98" t="n">
        <v>0</v>
      </c>
    </row>
    <row r="981">
      <c r="A981" t="inlineStr">
        <is>
          <t>2024-08</t>
        </is>
      </c>
      <c r="B981" t="inlineStr">
        <is>
          <t>August</t>
        </is>
      </c>
      <c r="C981" t="n">
        <v>8</v>
      </c>
      <c r="D981" t="inlineStr">
        <is>
          <t>T2</t>
        </is>
      </c>
      <c r="E981" t="inlineStr">
        <is>
          <t>Bokført</t>
        </is>
      </c>
      <c r="F981" t="inlineStr">
        <is>
          <t>Kommunal Boenhet</t>
        </is>
      </c>
      <c r="G981" t="n">
        <v>254</v>
      </c>
      <c r="H981" t="inlineStr">
        <is>
          <t>Helse og mestring</t>
        </is>
      </c>
      <c r="I981" t="inlineStr">
        <is>
          <t>2 Utgifter</t>
        </is>
      </c>
      <c r="J981" t="inlineStr">
        <is>
          <t>11 Refusjon lønn</t>
        </is>
      </c>
      <c r="K981" t="n">
        <v>1270</v>
      </c>
      <c r="L981" t="n">
        <v>127050</v>
      </c>
      <c r="M981" t="inlineStr">
        <is>
          <t>Bedriftshelsetjenester</t>
        </is>
      </c>
      <c r="N981" s="98" t="n">
        <v>0</v>
      </c>
      <c r="O981" s="98" t="n">
        <v>0</v>
      </c>
      <c r="P981" s="98" t="n">
        <v>0</v>
      </c>
      <c r="Q981" s="98" t="n">
        <v>0</v>
      </c>
    </row>
    <row r="982">
      <c r="A982" t="inlineStr">
        <is>
          <t>2024-09</t>
        </is>
      </c>
      <c r="B982" t="inlineStr">
        <is>
          <t>September</t>
        </is>
      </c>
      <c r="C982" t="n">
        <v>9</v>
      </c>
      <c r="D982" t="inlineStr">
        <is>
          <t>T3</t>
        </is>
      </c>
      <c r="E982" t="inlineStr">
        <is>
          <t>Gjenstående budsjett</t>
        </is>
      </c>
      <c r="F982" t="inlineStr">
        <is>
          <t>Kommunal Boenhet</t>
        </is>
      </c>
      <c r="G982" t="n">
        <v>254</v>
      </c>
      <c r="H982" t="inlineStr">
        <is>
          <t>Helse og mestring</t>
        </is>
      </c>
      <c r="I982" t="inlineStr">
        <is>
          <t>2 Utgifter</t>
        </is>
      </c>
      <c r="J982" t="inlineStr">
        <is>
          <t>11 Refusjon lønn</t>
        </is>
      </c>
      <c r="K982" t="n">
        <v>1270</v>
      </c>
      <c r="L982" t="n">
        <v>127050</v>
      </c>
      <c r="M982" t="inlineStr">
        <is>
          <t>Bedriftshelsetjenester</t>
        </is>
      </c>
      <c r="N982" s="98" t="n">
        <v>0</v>
      </c>
      <c r="O982" s="98" t="n">
        <v>0</v>
      </c>
      <c r="P982" s="98" t="n">
        <v>0</v>
      </c>
      <c r="Q982" s="98" t="n">
        <v>0</v>
      </c>
    </row>
    <row r="983">
      <c r="A983" t="inlineStr">
        <is>
          <t>2024-10</t>
        </is>
      </c>
      <c r="B983" t="inlineStr">
        <is>
          <t>Oktober</t>
        </is>
      </c>
      <c r="C983" t="n">
        <v>10</v>
      </c>
      <c r="D983" t="inlineStr">
        <is>
          <t>T3</t>
        </is>
      </c>
      <c r="E983" t="inlineStr">
        <is>
          <t>Gjenstående budsjett</t>
        </is>
      </c>
      <c r="F983" t="inlineStr">
        <is>
          <t>Kommunal Boenhet</t>
        </is>
      </c>
      <c r="G983" t="n">
        <v>254</v>
      </c>
      <c r="H983" t="inlineStr">
        <is>
          <t>Helse og mestring</t>
        </is>
      </c>
      <c r="I983" t="inlineStr">
        <is>
          <t>2 Utgifter</t>
        </is>
      </c>
      <c r="J983" t="inlineStr">
        <is>
          <t>11 Refusjon lønn</t>
        </is>
      </c>
      <c r="K983" t="n">
        <v>1270</v>
      </c>
      <c r="L983" t="n">
        <v>127050</v>
      </c>
      <c r="M983" t="inlineStr">
        <is>
          <t>Bedriftshelsetjenester</t>
        </is>
      </c>
      <c r="N983" s="98" t="n">
        <v>0</v>
      </c>
      <c r="O983" s="98" t="n">
        <v>0</v>
      </c>
      <c r="P983" s="98" t="n">
        <v>0</v>
      </c>
      <c r="Q983" s="98" t="n">
        <v>0</v>
      </c>
    </row>
    <row r="984">
      <c r="A984" t="inlineStr">
        <is>
          <t>2024-11</t>
        </is>
      </c>
      <c r="B984" t="inlineStr">
        <is>
          <t>November</t>
        </is>
      </c>
      <c r="C984" t="n">
        <v>11</v>
      </c>
      <c r="D984" t="inlineStr">
        <is>
          <t>T3</t>
        </is>
      </c>
      <c r="E984" t="inlineStr">
        <is>
          <t>Gjenstående budsjett</t>
        </is>
      </c>
      <c r="F984" t="inlineStr">
        <is>
          <t>Kommunal Boenhet</t>
        </is>
      </c>
      <c r="G984" t="n">
        <v>254</v>
      </c>
      <c r="H984" t="inlineStr">
        <is>
          <t>Helse og mestring</t>
        </is>
      </c>
      <c r="I984" t="inlineStr">
        <is>
          <t>2 Utgifter</t>
        </is>
      </c>
      <c r="J984" t="inlineStr">
        <is>
          <t>11 Refusjon lønn</t>
        </is>
      </c>
      <c r="K984" t="n">
        <v>1270</v>
      </c>
      <c r="L984" t="n">
        <v>127050</v>
      </c>
      <c r="M984" t="inlineStr">
        <is>
          <t>Bedriftshelsetjenester</t>
        </is>
      </c>
      <c r="N984" s="98" t="n">
        <v>0</v>
      </c>
      <c r="O984" s="98" t="n">
        <v>0</v>
      </c>
      <c r="P984" s="98" t="n">
        <v>0</v>
      </c>
      <c r="Q984" s="98" t="n">
        <v>0</v>
      </c>
    </row>
    <row r="985">
      <c r="A985" t="inlineStr">
        <is>
          <t>2024-12</t>
        </is>
      </c>
      <c r="B985" t="inlineStr">
        <is>
          <t>Desember</t>
        </is>
      </c>
      <c r="C985" t="n">
        <v>12</v>
      </c>
      <c r="D985" t="inlineStr">
        <is>
          <t>T3</t>
        </is>
      </c>
      <c r="E985" t="inlineStr">
        <is>
          <t>Gjenstående budsjett</t>
        </is>
      </c>
      <c r="F985" t="inlineStr">
        <is>
          <t>Kommunal Boenhet</t>
        </is>
      </c>
      <c r="G985" t="n">
        <v>254</v>
      </c>
      <c r="H985" t="inlineStr">
        <is>
          <t>Helse og mestring</t>
        </is>
      </c>
      <c r="I985" t="inlineStr">
        <is>
          <t>2 Utgifter</t>
        </is>
      </c>
      <c r="J985" t="inlineStr">
        <is>
          <t>11 Refusjon lønn</t>
        </is>
      </c>
      <c r="K985" t="n">
        <v>1270</v>
      </c>
      <c r="L985" t="n">
        <v>127050</v>
      </c>
      <c r="M985" t="inlineStr">
        <is>
          <t>Bedriftshelsetjenester</t>
        </is>
      </c>
      <c r="N985" s="98" t="n">
        <v>0</v>
      </c>
      <c r="O985" s="98" t="n">
        <v>0</v>
      </c>
      <c r="P985" s="98" t="n">
        <v>0</v>
      </c>
      <c r="Q985" s="98" t="n">
        <v>0</v>
      </c>
    </row>
    <row r="986">
      <c r="A986" t="inlineStr">
        <is>
          <t>2024-01</t>
        </is>
      </c>
      <c r="B986" t="inlineStr">
        <is>
          <t>Januar</t>
        </is>
      </c>
      <c r="C986" t="n">
        <v>1</v>
      </c>
      <c r="D986" t="inlineStr">
        <is>
          <t>T1</t>
        </is>
      </c>
      <c r="E986" t="inlineStr">
        <is>
          <t>Bokført</t>
        </is>
      </c>
      <c r="F986" t="inlineStr">
        <is>
          <t>Kommunal Boenhet</t>
        </is>
      </c>
      <c r="G986" t="n">
        <v>254</v>
      </c>
      <c r="H986" t="inlineStr">
        <is>
          <t>Helse og mestring</t>
        </is>
      </c>
      <c r="I986" t="inlineStr">
        <is>
          <t>2 Utgifter</t>
        </is>
      </c>
      <c r="J986" t="inlineStr">
        <is>
          <t>14 Overføringer</t>
        </is>
      </c>
      <c r="K986" t="n">
        <v>1429</v>
      </c>
      <c r="L986" t="n">
        <v>142900</v>
      </c>
      <c r="M986" t="inlineStr">
        <is>
          <t>Merverdiavgift som gir rett til momskompensasjon</t>
        </is>
      </c>
      <c r="N986" s="98" t="n">
        <v>11662</v>
      </c>
      <c r="O986" s="98" t="n">
        <v>5070.82</v>
      </c>
      <c r="P986" s="98" t="n">
        <v>6591.18</v>
      </c>
      <c r="Q986" s="98" t="n">
        <v>-6591.18</v>
      </c>
    </row>
    <row r="987">
      <c r="A987" t="inlineStr">
        <is>
          <t>2024-02</t>
        </is>
      </c>
      <c r="B987" t="inlineStr">
        <is>
          <t>Februar</t>
        </is>
      </c>
      <c r="C987" t="n">
        <v>2</v>
      </c>
      <c r="D987" t="inlineStr">
        <is>
          <t>T1</t>
        </is>
      </c>
      <c r="E987" t="inlineStr">
        <is>
          <t>Bokført</t>
        </is>
      </c>
      <c r="F987" t="inlineStr">
        <is>
          <t>Kommunal Boenhet</t>
        </is>
      </c>
      <c r="G987" t="n">
        <v>254</v>
      </c>
      <c r="H987" t="inlineStr">
        <is>
          <t>Helse og mestring</t>
        </is>
      </c>
      <c r="I987" t="inlineStr">
        <is>
          <t>2 Utgifter</t>
        </is>
      </c>
      <c r="J987" t="inlineStr">
        <is>
          <t>14 Overføringer</t>
        </is>
      </c>
      <c r="K987" t="n">
        <v>1429</v>
      </c>
      <c r="L987" t="n">
        <v>142900</v>
      </c>
      <c r="M987" t="inlineStr">
        <is>
          <t>Merverdiavgift som gir rett til momskompensasjon</t>
        </is>
      </c>
      <c r="N987" s="98" t="n">
        <v>11662</v>
      </c>
      <c r="O987" s="98" t="n">
        <v>7325.59</v>
      </c>
      <c r="P987" s="98" t="n">
        <v>4336.41</v>
      </c>
      <c r="Q987" s="98" t="n">
        <v>-4336.41</v>
      </c>
    </row>
    <row r="988">
      <c r="A988" t="inlineStr">
        <is>
          <t>2024-03</t>
        </is>
      </c>
      <c r="B988" t="inlineStr">
        <is>
          <t>Mars</t>
        </is>
      </c>
      <c r="C988" t="n">
        <v>3</v>
      </c>
      <c r="D988" t="inlineStr">
        <is>
          <t>T1</t>
        </is>
      </c>
      <c r="E988" t="inlineStr">
        <is>
          <t>Bokført</t>
        </is>
      </c>
      <c r="F988" t="inlineStr">
        <is>
          <t>Kommunal Boenhet</t>
        </is>
      </c>
      <c r="G988" t="n">
        <v>254</v>
      </c>
      <c r="H988" t="inlineStr">
        <is>
          <t>Helse og mestring</t>
        </is>
      </c>
      <c r="I988" t="inlineStr">
        <is>
          <t>2 Utgifter</t>
        </is>
      </c>
      <c r="J988" t="inlineStr">
        <is>
          <t>14 Overføringer</t>
        </is>
      </c>
      <c r="K988" t="n">
        <v>1429</v>
      </c>
      <c r="L988" t="n">
        <v>142900</v>
      </c>
      <c r="M988" t="inlineStr">
        <is>
          <t>Merverdiavgift som gir rett til momskompensasjon</t>
        </is>
      </c>
      <c r="N988" s="98" t="n">
        <v>11662</v>
      </c>
      <c r="O988" s="98" t="n">
        <v>854.99</v>
      </c>
      <c r="P988" s="98" t="n">
        <v>10807.01</v>
      </c>
      <c r="Q988" s="98" t="n">
        <v>-10807.01</v>
      </c>
    </row>
    <row r="989">
      <c r="A989" t="inlineStr">
        <is>
          <t>2024-04</t>
        </is>
      </c>
      <c r="B989" t="inlineStr">
        <is>
          <t>April</t>
        </is>
      </c>
      <c r="C989" t="n">
        <v>4</v>
      </c>
      <c r="D989" t="inlineStr">
        <is>
          <t>T1</t>
        </is>
      </c>
      <c r="E989" t="inlineStr">
        <is>
          <t>Bokført</t>
        </is>
      </c>
      <c r="F989" t="inlineStr">
        <is>
          <t>Kommunal Boenhet</t>
        </is>
      </c>
      <c r="G989" t="n">
        <v>254</v>
      </c>
      <c r="H989" t="inlineStr">
        <is>
          <t>Helse og mestring</t>
        </is>
      </c>
      <c r="I989" t="inlineStr">
        <is>
          <t>2 Utgifter</t>
        </is>
      </c>
      <c r="J989" t="inlineStr">
        <is>
          <t>14 Overføringer</t>
        </is>
      </c>
      <c r="K989" t="n">
        <v>1429</v>
      </c>
      <c r="L989" t="n">
        <v>142900</v>
      </c>
      <c r="M989" t="inlineStr">
        <is>
          <t>Merverdiavgift som gir rett til momskompensasjon</t>
        </is>
      </c>
      <c r="N989" s="98" t="n">
        <v>11662</v>
      </c>
      <c r="O989" s="98" t="n">
        <v>6710.36</v>
      </c>
      <c r="P989" s="98" t="n">
        <v>4951.64</v>
      </c>
      <c r="Q989" s="98" t="n">
        <v>-4951.64</v>
      </c>
    </row>
    <row r="990">
      <c r="A990" t="inlineStr">
        <is>
          <t>2024-05</t>
        </is>
      </c>
      <c r="B990" t="inlineStr">
        <is>
          <t>Mai</t>
        </is>
      </c>
      <c r="C990" t="n">
        <v>5</v>
      </c>
      <c r="D990" t="inlineStr">
        <is>
          <t>T2</t>
        </is>
      </c>
      <c r="E990" t="inlineStr">
        <is>
          <t>Bokført</t>
        </is>
      </c>
      <c r="F990" t="inlineStr">
        <is>
          <t>Kommunal Boenhet</t>
        </is>
      </c>
      <c r="G990" t="n">
        <v>254</v>
      </c>
      <c r="H990" t="inlineStr">
        <is>
          <t>Helse og mestring</t>
        </is>
      </c>
      <c r="I990" t="inlineStr">
        <is>
          <t>2 Utgifter</t>
        </is>
      </c>
      <c r="J990" t="inlineStr">
        <is>
          <t>14 Overføringer</t>
        </is>
      </c>
      <c r="K990" t="n">
        <v>1429</v>
      </c>
      <c r="L990" t="n">
        <v>142900</v>
      </c>
      <c r="M990" t="inlineStr">
        <is>
          <t>Merverdiavgift som gir rett til momskompensasjon</t>
        </is>
      </c>
      <c r="N990" s="98" t="n">
        <v>11662</v>
      </c>
      <c r="O990" s="98" t="n">
        <v>3213.92</v>
      </c>
      <c r="P990" s="98" t="n">
        <v>8448.08</v>
      </c>
      <c r="Q990" s="98" t="n">
        <v>-8448.08</v>
      </c>
    </row>
    <row r="991">
      <c r="A991" t="inlineStr">
        <is>
          <t>2024-06</t>
        </is>
      </c>
      <c r="B991" t="inlineStr">
        <is>
          <t>Juni</t>
        </is>
      </c>
      <c r="C991" t="n">
        <v>6</v>
      </c>
      <c r="D991" t="inlineStr">
        <is>
          <t>T2</t>
        </is>
      </c>
      <c r="E991" t="inlineStr">
        <is>
          <t>Bokført</t>
        </is>
      </c>
      <c r="F991" t="inlineStr">
        <is>
          <t>Kommunal Boenhet</t>
        </is>
      </c>
      <c r="G991" t="n">
        <v>254</v>
      </c>
      <c r="H991" t="inlineStr">
        <is>
          <t>Helse og mestring</t>
        </is>
      </c>
      <c r="I991" t="inlineStr">
        <is>
          <t>2 Utgifter</t>
        </is>
      </c>
      <c r="J991" t="inlineStr">
        <is>
          <t>14 Overføringer</t>
        </is>
      </c>
      <c r="K991" t="n">
        <v>1429</v>
      </c>
      <c r="L991" t="n">
        <v>142900</v>
      </c>
      <c r="M991" t="inlineStr">
        <is>
          <t>Merverdiavgift som gir rett til momskompensasjon</t>
        </is>
      </c>
      <c r="N991" s="98" t="n">
        <v>11662</v>
      </c>
      <c r="O991" s="98" t="n">
        <v>7138.93</v>
      </c>
      <c r="P991" s="98" t="n">
        <v>4523.07</v>
      </c>
      <c r="Q991" s="98" t="n">
        <v>-4523.07</v>
      </c>
    </row>
    <row r="992">
      <c r="A992" t="inlineStr">
        <is>
          <t>2024-07</t>
        </is>
      </c>
      <c r="B992" t="inlineStr">
        <is>
          <t>Juli</t>
        </is>
      </c>
      <c r="C992" t="n">
        <v>7</v>
      </c>
      <c r="D992" t="inlineStr">
        <is>
          <t>T2</t>
        </is>
      </c>
      <c r="E992" t="inlineStr">
        <is>
          <t>Bokført</t>
        </is>
      </c>
      <c r="F992" t="inlineStr">
        <is>
          <t>Kommunal Boenhet</t>
        </is>
      </c>
      <c r="G992" t="n">
        <v>254</v>
      </c>
      <c r="H992" t="inlineStr">
        <is>
          <t>Helse og mestring</t>
        </is>
      </c>
      <c r="I992" t="inlineStr">
        <is>
          <t>2 Utgifter</t>
        </is>
      </c>
      <c r="J992" t="inlineStr">
        <is>
          <t>14 Overføringer</t>
        </is>
      </c>
      <c r="K992" t="n">
        <v>1429</v>
      </c>
      <c r="L992" t="n">
        <v>142900</v>
      </c>
      <c r="M992" t="inlineStr">
        <is>
          <t>Merverdiavgift som gir rett til momskompensasjon</t>
        </is>
      </c>
      <c r="N992" s="98" t="n">
        <v>11662</v>
      </c>
      <c r="O992" s="98" t="n">
        <v>1353.12</v>
      </c>
      <c r="P992" s="98" t="n">
        <v>10308.88</v>
      </c>
      <c r="Q992" s="98" t="n">
        <v>-10308.88</v>
      </c>
    </row>
    <row r="993">
      <c r="A993" t="inlineStr">
        <is>
          <t>2024-08</t>
        </is>
      </c>
      <c r="B993" t="inlineStr">
        <is>
          <t>August</t>
        </is>
      </c>
      <c r="C993" t="n">
        <v>8</v>
      </c>
      <c r="D993" t="inlineStr">
        <is>
          <t>T2</t>
        </is>
      </c>
      <c r="E993" t="inlineStr">
        <is>
          <t>Bokført</t>
        </is>
      </c>
      <c r="F993" t="inlineStr">
        <is>
          <t>Kommunal Boenhet</t>
        </is>
      </c>
      <c r="G993" t="n">
        <v>254</v>
      </c>
      <c r="H993" t="inlineStr">
        <is>
          <t>Helse og mestring</t>
        </is>
      </c>
      <c r="I993" t="inlineStr">
        <is>
          <t>2 Utgifter</t>
        </is>
      </c>
      <c r="J993" t="inlineStr">
        <is>
          <t>14 Overføringer</t>
        </is>
      </c>
      <c r="K993" t="n">
        <v>1429</v>
      </c>
      <c r="L993" t="n">
        <v>142900</v>
      </c>
      <c r="M993" t="inlineStr">
        <is>
          <t>Merverdiavgift som gir rett til momskompensasjon</t>
        </is>
      </c>
      <c r="N993" s="98" t="n">
        <v>11662</v>
      </c>
      <c r="O993" s="98" t="n">
        <v>3549.55</v>
      </c>
      <c r="P993" s="98" t="n">
        <v>8112.45</v>
      </c>
      <c r="Q993" s="98" t="n">
        <v>-8112.45</v>
      </c>
    </row>
    <row r="994">
      <c r="A994" t="inlineStr">
        <is>
          <t>2024-09</t>
        </is>
      </c>
      <c r="B994" t="inlineStr">
        <is>
          <t>September</t>
        </is>
      </c>
      <c r="C994" t="n">
        <v>9</v>
      </c>
      <c r="D994" t="inlineStr">
        <is>
          <t>T3</t>
        </is>
      </c>
      <c r="E994" t="inlineStr">
        <is>
          <t>Gjenstående budsjett</t>
        </is>
      </c>
      <c r="F994" t="inlineStr">
        <is>
          <t>Kommunal Boenhet</t>
        </is>
      </c>
      <c r="G994" t="n">
        <v>254</v>
      </c>
      <c r="H994" t="inlineStr">
        <is>
          <t>Helse og mestring</t>
        </is>
      </c>
      <c r="I994" t="inlineStr">
        <is>
          <t>2 Utgifter</t>
        </is>
      </c>
      <c r="J994" t="inlineStr">
        <is>
          <t>14 Overføringer</t>
        </is>
      </c>
      <c r="K994" t="n">
        <v>1429</v>
      </c>
      <c r="L994" t="n">
        <v>142900</v>
      </c>
      <c r="M994" t="inlineStr">
        <is>
          <t>Merverdiavgift som gir rett til momskompensasjon</t>
        </is>
      </c>
      <c r="N994" s="98" t="n">
        <v>11662</v>
      </c>
      <c r="O994" s="98" t="n">
        <v>0</v>
      </c>
      <c r="P994" s="98" t="n">
        <v>0</v>
      </c>
      <c r="Q994" s="98" t="n">
        <v>-11662</v>
      </c>
    </row>
    <row r="995">
      <c r="A995" t="inlineStr">
        <is>
          <t>2024-10</t>
        </is>
      </c>
      <c r="B995" t="inlineStr">
        <is>
          <t>Oktober</t>
        </is>
      </c>
      <c r="C995" t="n">
        <v>10</v>
      </c>
      <c r="D995" t="inlineStr">
        <is>
          <t>T3</t>
        </is>
      </c>
      <c r="E995" t="inlineStr">
        <is>
          <t>Gjenstående budsjett</t>
        </is>
      </c>
      <c r="F995" t="inlineStr">
        <is>
          <t>Kommunal Boenhet</t>
        </is>
      </c>
      <c r="G995" t="n">
        <v>254</v>
      </c>
      <c r="H995" t="inlineStr">
        <is>
          <t>Helse og mestring</t>
        </is>
      </c>
      <c r="I995" t="inlineStr">
        <is>
          <t>2 Utgifter</t>
        </is>
      </c>
      <c r="J995" t="inlineStr">
        <is>
          <t>14 Overføringer</t>
        </is>
      </c>
      <c r="K995" t="n">
        <v>1429</v>
      </c>
      <c r="L995" t="n">
        <v>142900</v>
      </c>
      <c r="M995" t="inlineStr">
        <is>
          <t>Merverdiavgift som gir rett til momskompensasjon</t>
        </is>
      </c>
      <c r="N995" s="98" t="n">
        <v>11662</v>
      </c>
      <c r="O995" s="98" t="n">
        <v>0</v>
      </c>
      <c r="P995" s="98" t="n">
        <v>0</v>
      </c>
      <c r="Q995" s="98" t="n">
        <v>-11662</v>
      </c>
    </row>
    <row r="996">
      <c r="A996" t="inlineStr">
        <is>
          <t>2024-11</t>
        </is>
      </c>
      <c r="B996" t="inlineStr">
        <is>
          <t>November</t>
        </is>
      </c>
      <c r="C996" t="n">
        <v>11</v>
      </c>
      <c r="D996" t="inlineStr">
        <is>
          <t>T3</t>
        </is>
      </c>
      <c r="E996" t="inlineStr">
        <is>
          <t>Gjenstående budsjett</t>
        </is>
      </c>
      <c r="F996" t="inlineStr">
        <is>
          <t>Kommunal Boenhet</t>
        </is>
      </c>
      <c r="G996" t="n">
        <v>254</v>
      </c>
      <c r="H996" t="inlineStr">
        <is>
          <t>Helse og mestring</t>
        </is>
      </c>
      <c r="I996" t="inlineStr">
        <is>
          <t>2 Utgifter</t>
        </is>
      </c>
      <c r="J996" t="inlineStr">
        <is>
          <t>14 Overføringer</t>
        </is>
      </c>
      <c r="K996" t="n">
        <v>1429</v>
      </c>
      <c r="L996" t="n">
        <v>142900</v>
      </c>
      <c r="M996" t="inlineStr">
        <is>
          <t>Merverdiavgift som gir rett til momskompensasjon</t>
        </is>
      </c>
      <c r="N996" s="98" t="n">
        <v>11662</v>
      </c>
      <c r="O996" s="98" t="n">
        <v>0</v>
      </c>
      <c r="P996" s="98" t="n">
        <v>0</v>
      </c>
      <c r="Q996" s="98" t="n">
        <v>-11662</v>
      </c>
    </row>
    <row r="997">
      <c r="A997" t="inlineStr">
        <is>
          <t>2024-12</t>
        </is>
      </c>
      <c r="B997" t="inlineStr">
        <is>
          <t>Desember</t>
        </is>
      </c>
      <c r="C997" t="n">
        <v>12</v>
      </c>
      <c r="D997" t="inlineStr">
        <is>
          <t>T3</t>
        </is>
      </c>
      <c r="E997" t="inlineStr">
        <is>
          <t>Gjenstående budsjett</t>
        </is>
      </c>
      <c r="F997" t="inlineStr">
        <is>
          <t>Kommunal Boenhet</t>
        </is>
      </c>
      <c r="G997" t="n">
        <v>254</v>
      </c>
      <c r="H997" t="inlineStr">
        <is>
          <t>Helse og mestring</t>
        </is>
      </c>
      <c r="I997" t="inlineStr">
        <is>
          <t>2 Utgifter</t>
        </is>
      </c>
      <c r="J997" t="inlineStr">
        <is>
          <t>14 Overføringer</t>
        </is>
      </c>
      <c r="K997" t="n">
        <v>1429</v>
      </c>
      <c r="L997" t="n">
        <v>142900</v>
      </c>
      <c r="M997" t="inlineStr">
        <is>
          <t>Merverdiavgift som gir rett til momskompensasjon</t>
        </is>
      </c>
      <c r="N997" s="98" t="n">
        <v>11718</v>
      </c>
      <c r="O997" s="98" t="n">
        <v>0</v>
      </c>
      <c r="P997" s="98" t="n">
        <v>0</v>
      </c>
      <c r="Q997" s="98" t="n">
        <v>-11718</v>
      </c>
    </row>
    <row r="998">
      <c r="A998" t="inlineStr">
        <is>
          <t>2024-01</t>
        </is>
      </c>
      <c r="B998" t="inlineStr">
        <is>
          <t>Januar</t>
        </is>
      </c>
      <c r="C998" t="n">
        <v>1</v>
      </c>
      <c r="D998" t="inlineStr">
        <is>
          <t>T1</t>
        </is>
      </c>
      <c r="E998" t="inlineStr">
        <is>
          <t>Bokført</t>
        </is>
      </c>
      <c r="F998" t="inlineStr">
        <is>
          <t>Kommunal Boenhet</t>
        </is>
      </c>
      <c r="G998" t="n">
        <v>254</v>
      </c>
      <c r="H998" t="inlineStr">
        <is>
          <t>Helse og mestring</t>
        </is>
      </c>
      <c r="I998" t="inlineStr">
        <is>
          <t>2 Utgifter</t>
        </is>
      </c>
      <c r="J998" t="inlineStr">
        <is>
          <t>14 Overføringer</t>
        </is>
      </c>
      <c r="K998" t="n">
        <v>1729</v>
      </c>
      <c r="L998" t="n">
        <v>172900</v>
      </c>
      <c r="M998" t="inlineStr">
        <is>
          <t>Kompensasjon for merverdiavgift</t>
        </is>
      </c>
      <c r="N998" s="98" t="n">
        <v>-11662</v>
      </c>
      <c r="O998" s="98" t="n">
        <v>-5070.82</v>
      </c>
      <c r="P998" s="98" t="n">
        <v>-6591.18</v>
      </c>
      <c r="Q998" s="98" t="n">
        <v>6591.18</v>
      </c>
    </row>
    <row r="999">
      <c r="A999" t="inlineStr">
        <is>
          <t>2024-02</t>
        </is>
      </c>
      <c r="B999" t="inlineStr">
        <is>
          <t>Februar</t>
        </is>
      </c>
      <c r="C999" t="n">
        <v>2</v>
      </c>
      <c r="D999" t="inlineStr">
        <is>
          <t>T1</t>
        </is>
      </c>
      <c r="E999" t="inlineStr">
        <is>
          <t>Bokført</t>
        </is>
      </c>
      <c r="F999" t="inlineStr">
        <is>
          <t>Kommunal Boenhet</t>
        </is>
      </c>
      <c r="G999" t="n">
        <v>254</v>
      </c>
      <c r="H999" t="inlineStr">
        <is>
          <t>Helse og mestring</t>
        </is>
      </c>
      <c r="I999" t="inlineStr">
        <is>
          <t>2 Utgifter</t>
        </is>
      </c>
      <c r="J999" t="inlineStr">
        <is>
          <t>14 Overføringer</t>
        </is>
      </c>
      <c r="K999" t="n">
        <v>1729</v>
      </c>
      <c r="L999" t="n">
        <v>172900</v>
      </c>
      <c r="M999" t="inlineStr">
        <is>
          <t>Kompensasjon for merverdiavgift</t>
        </is>
      </c>
      <c r="N999" s="98" t="n">
        <v>-11662</v>
      </c>
      <c r="O999" s="98" t="n">
        <v>-7325.59</v>
      </c>
      <c r="P999" s="98" t="n">
        <v>-4336.41</v>
      </c>
      <c r="Q999" s="98" t="n">
        <v>4336.41</v>
      </c>
    </row>
    <row r="1000">
      <c r="A1000" t="inlineStr">
        <is>
          <t>2024-03</t>
        </is>
      </c>
      <c r="B1000" t="inlineStr">
        <is>
          <t>Mars</t>
        </is>
      </c>
      <c r="C1000" t="n">
        <v>3</v>
      </c>
      <c r="D1000" t="inlineStr">
        <is>
          <t>T1</t>
        </is>
      </c>
      <c r="E1000" t="inlineStr">
        <is>
          <t>Bokført</t>
        </is>
      </c>
      <c r="F1000" t="inlineStr">
        <is>
          <t>Kommunal Boenhet</t>
        </is>
      </c>
      <c r="G1000" t="n">
        <v>254</v>
      </c>
      <c r="H1000" t="inlineStr">
        <is>
          <t>Helse og mestring</t>
        </is>
      </c>
      <c r="I1000" t="inlineStr">
        <is>
          <t>2 Utgifter</t>
        </is>
      </c>
      <c r="J1000" t="inlineStr">
        <is>
          <t>14 Overføringer</t>
        </is>
      </c>
      <c r="K1000" t="n">
        <v>1729</v>
      </c>
      <c r="L1000" t="n">
        <v>172900</v>
      </c>
      <c r="M1000" t="inlineStr">
        <is>
          <t>Kompensasjon for merverdiavgift</t>
        </is>
      </c>
      <c r="N1000" s="98" t="n">
        <v>-11662</v>
      </c>
      <c r="O1000" s="98" t="n">
        <v>-854.99</v>
      </c>
      <c r="P1000" s="98" t="n">
        <v>-10807.01</v>
      </c>
      <c r="Q1000" s="98" t="n">
        <v>10807.01</v>
      </c>
    </row>
    <row r="1001">
      <c r="A1001" t="inlineStr">
        <is>
          <t>2024-04</t>
        </is>
      </c>
      <c r="B1001" t="inlineStr">
        <is>
          <t>April</t>
        </is>
      </c>
      <c r="C1001" t="n">
        <v>4</v>
      </c>
      <c r="D1001" t="inlineStr">
        <is>
          <t>T1</t>
        </is>
      </c>
      <c r="E1001" t="inlineStr">
        <is>
          <t>Bokført</t>
        </is>
      </c>
      <c r="F1001" t="inlineStr">
        <is>
          <t>Kommunal Boenhet</t>
        </is>
      </c>
      <c r="G1001" t="n">
        <v>254</v>
      </c>
      <c r="H1001" t="inlineStr">
        <is>
          <t>Helse og mestring</t>
        </is>
      </c>
      <c r="I1001" t="inlineStr">
        <is>
          <t>2 Utgifter</t>
        </is>
      </c>
      <c r="J1001" t="inlineStr">
        <is>
          <t>14 Overføringer</t>
        </is>
      </c>
      <c r="K1001" t="n">
        <v>1729</v>
      </c>
      <c r="L1001" t="n">
        <v>172900</v>
      </c>
      <c r="M1001" t="inlineStr">
        <is>
          <t>Kompensasjon for merverdiavgift</t>
        </is>
      </c>
      <c r="N1001" s="98" t="n">
        <v>-11662</v>
      </c>
      <c r="O1001" s="98" t="n">
        <v>-6710.36</v>
      </c>
      <c r="P1001" s="98" t="n">
        <v>-4951.64</v>
      </c>
      <c r="Q1001" s="98" t="n">
        <v>4951.64</v>
      </c>
    </row>
    <row r="1002">
      <c r="A1002" t="inlineStr">
        <is>
          <t>2024-05</t>
        </is>
      </c>
      <c r="B1002" t="inlineStr">
        <is>
          <t>Mai</t>
        </is>
      </c>
      <c r="C1002" t="n">
        <v>5</v>
      </c>
      <c r="D1002" t="inlineStr">
        <is>
          <t>T2</t>
        </is>
      </c>
      <c r="E1002" t="inlineStr">
        <is>
          <t>Bokført</t>
        </is>
      </c>
      <c r="F1002" t="inlineStr">
        <is>
          <t>Kommunal Boenhet</t>
        </is>
      </c>
      <c r="G1002" t="n">
        <v>254</v>
      </c>
      <c r="H1002" t="inlineStr">
        <is>
          <t>Helse og mestring</t>
        </is>
      </c>
      <c r="I1002" t="inlineStr">
        <is>
          <t>2 Utgifter</t>
        </is>
      </c>
      <c r="J1002" t="inlineStr">
        <is>
          <t>14 Overføringer</t>
        </is>
      </c>
      <c r="K1002" t="n">
        <v>1729</v>
      </c>
      <c r="L1002" t="n">
        <v>172900</v>
      </c>
      <c r="M1002" t="inlineStr">
        <is>
          <t>Kompensasjon for merverdiavgift</t>
        </is>
      </c>
      <c r="N1002" s="98" t="n">
        <v>-11662</v>
      </c>
      <c r="O1002" s="98" t="n">
        <v>-3213.92</v>
      </c>
      <c r="P1002" s="98" t="n">
        <v>-8448.08</v>
      </c>
      <c r="Q1002" s="98" t="n">
        <v>8448.08</v>
      </c>
    </row>
    <row r="1003">
      <c r="A1003" t="inlineStr">
        <is>
          <t>2024-06</t>
        </is>
      </c>
      <c r="B1003" t="inlineStr">
        <is>
          <t>Juni</t>
        </is>
      </c>
      <c r="C1003" t="n">
        <v>6</v>
      </c>
      <c r="D1003" t="inlineStr">
        <is>
          <t>T2</t>
        </is>
      </c>
      <c r="E1003" t="inlineStr">
        <is>
          <t>Bokført</t>
        </is>
      </c>
      <c r="F1003" t="inlineStr">
        <is>
          <t>Kommunal Boenhet</t>
        </is>
      </c>
      <c r="G1003" t="n">
        <v>254</v>
      </c>
      <c r="H1003" t="inlineStr">
        <is>
          <t>Helse og mestring</t>
        </is>
      </c>
      <c r="I1003" t="inlineStr">
        <is>
          <t>2 Utgifter</t>
        </is>
      </c>
      <c r="J1003" t="inlineStr">
        <is>
          <t>14 Overføringer</t>
        </is>
      </c>
      <c r="K1003" t="n">
        <v>1729</v>
      </c>
      <c r="L1003" t="n">
        <v>172900</v>
      </c>
      <c r="M1003" t="inlineStr">
        <is>
          <t>Kompensasjon for merverdiavgift</t>
        </is>
      </c>
      <c r="N1003" s="98" t="n">
        <v>-11662</v>
      </c>
      <c r="O1003" s="98" t="n">
        <v>-7138.93</v>
      </c>
      <c r="P1003" s="98" t="n">
        <v>-4523.07</v>
      </c>
      <c r="Q1003" s="98" t="n">
        <v>4523.07</v>
      </c>
    </row>
    <row r="1004">
      <c r="A1004" t="inlineStr">
        <is>
          <t>2024-07</t>
        </is>
      </c>
      <c r="B1004" t="inlineStr">
        <is>
          <t>Juli</t>
        </is>
      </c>
      <c r="C1004" t="n">
        <v>7</v>
      </c>
      <c r="D1004" t="inlineStr">
        <is>
          <t>T2</t>
        </is>
      </c>
      <c r="E1004" t="inlineStr">
        <is>
          <t>Bokført</t>
        </is>
      </c>
      <c r="F1004" t="inlineStr">
        <is>
          <t>Kommunal Boenhet</t>
        </is>
      </c>
      <c r="G1004" t="n">
        <v>254</v>
      </c>
      <c r="H1004" t="inlineStr">
        <is>
          <t>Helse og mestring</t>
        </is>
      </c>
      <c r="I1004" t="inlineStr">
        <is>
          <t>2 Utgifter</t>
        </is>
      </c>
      <c r="J1004" t="inlineStr">
        <is>
          <t>14 Overføringer</t>
        </is>
      </c>
      <c r="K1004" t="n">
        <v>1729</v>
      </c>
      <c r="L1004" t="n">
        <v>172900</v>
      </c>
      <c r="M1004" t="inlineStr">
        <is>
          <t>Kompensasjon for merverdiavgift</t>
        </is>
      </c>
      <c r="N1004" s="98" t="n">
        <v>-11662</v>
      </c>
      <c r="O1004" s="98" t="n">
        <v>-1353.12</v>
      </c>
      <c r="P1004" s="98" t="n">
        <v>-10308.88</v>
      </c>
      <c r="Q1004" s="98" t="n">
        <v>10308.88</v>
      </c>
    </row>
    <row r="1005">
      <c r="A1005" t="inlineStr">
        <is>
          <t>2024-08</t>
        </is>
      </c>
      <c r="B1005" t="inlineStr">
        <is>
          <t>August</t>
        </is>
      </c>
      <c r="C1005" t="n">
        <v>8</v>
      </c>
      <c r="D1005" t="inlineStr">
        <is>
          <t>T2</t>
        </is>
      </c>
      <c r="E1005" t="inlineStr">
        <is>
          <t>Bokført</t>
        </is>
      </c>
      <c r="F1005" t="inlineStr">
        <is>
          <t>Kommunal Boenhet</t>
        </is>
      </c>
      <c r="G1005" t="n">
        <v>254</v>
      </c>
      <c r="H1005" t="inlineStr">
        <is>
          <t>Helse og mestring</t>
        </is>
      </c>
      <c r="I1005" t="inlineStr">
        <is>
          <t>2 Utgifter</t>
        </is>
      </c>
      <c r="J1005" t="inlineStr">
        <is>
          <t>14 Overføringer</t>
        </is>
      </c>
      <c r="K1005" t="n">
        <v>1729</v>
      </c>
      <c r="L1005" t="n">
        <v>172900</v>
      </c>
      <c r="M1005" t="inlineStr">
        <is>
          <t>Kompensasjon for merverdiavgift</t>
        </is>
      </c>
      <c r="N1005" s="98" t="n">
        <v>-11662</v>
      </c>
      <c r="O1005" s="98" t="n">
        <v>-3549.55</v>
      </c>
      <c r="P1005" s="98" t="n">
        <v>-8112.45</v>
      </c>
      <c r="Q1005" s="98" t="n">
        <v>8112.45</v>
      </c>
    </row>
    <row r="1006">
      <c r="A1006" t="inlineStr">
        <is>
          <t>2024-09</t>
        </is>
      </c>
      <c r="B1006" t="inlineStr">
        <is>
          <t>September</t>
        </is>
      </c>
      <c r="C1006" t="n">
        <v>9</v>
      </c>
      <c r="D1006" t="inlineStr">
        <is>
          <t>T3</t>
        </is>
      </c>
      <c r="E1006" t="inlineStr">
        <is>
          <t>Gjenstående budsjett</t>
        </is>
      </c>
      <c r="F1006" t="inlineStr">
        <is>
          <t>Kommunal Boenhet</t>
        </is>
      </c>
      <c r="G1006" t="n">
        <v>254</v>
      </c>
      <c r="H1006" t="inlineStr">
        <is>
          <t>Helse og mestring</t>
        </is>
      </c>
      <c r="I1006" t="inlineStr">
        <is>
          <t>2 Utgifter</t>
        </is>
      </c>
      <c r="J1006" t="inlineStr">
        <is>
          <t>14 Overføringer</t>
        </is>
      </c>
      <c r="K1006" t="n">
        <v>1729</v>
      </c>
      <c r="L1006" t="n">
        <v>172900</v>
      </c>
      <c r="M1006" t="inlineStr">
        <is>
          <t>Kompensasjon for merverdiavgift</t>
        </is>
      </c>
      <c r="N1006" s="98" t="n">
        <v>-11662</v>
      </c>
      <c r="O1006" s="98" t="n">
        <v>0</v>
      </c>
      <c r="P1006" s="98" t="n">
        <v>0</v>
      </c>
      <c r="Q1006" s="98" t="n">
        <v>11662</v>
      </c>
    </row>
    <row r="1007">
      <c r="A1007" t="inlineStr">
        <is>
          <t>2024-10</t>
        </is>
      </c>
      <c r="B1007" t="inlineStr">
        <is>
          <t>Oktober</t>
        </is>
      </c>
      <c r="C1007" t="n">
        <v>10</v>
      </c>
      <c r="D1007" t="inlineStr">
        <is>
          <t>T3</t>
        </is>
      </c>
      <c r="E1007" t="inlineStr">
        <is>
          <t>Gjenstående budsjett</t>
        </is>
      </c>
      <c r="F1007" t="inlineStr">
        <is>
          <t>Kommunal Boenhet</t>
        </is>
      </c>
      <c r="G1007" t="n">
        <v>254</v>
      </c>
      <c r="H1007" t="inlineStr">
        <is>
          <t>Helse og mestring</t>
        </is>
      </c>
      <c r="I1007" t="inlineStr">
        <is>
          <t>2 Utgifter</t>
        </is>
      </c>
      <c r="J1007" t="inlineStr">
        <is>
          <t>14 Overføringer</t>
        </is>
      </c>
      <c r="K1007" t="n">
        <v>1729</v>
      </c>
      <c r="L1007" t="n">
        <v>172900</v>
      </c>
      <c r="M1007" t="inlineStr">
        <is>
          <t>Kompensasjon for merverdiavgift</t>
        </is>
      </c>
      <c r="N1007" s="98" t="n">
        <v>-11662</v>
      </c>
      <c r="O1007" s="98" t="n">
        <v>0</v>
      </c>
      <c r="P1007" s="98" t="n">
        <v>0</v>
      </c>
      <c r="Q1007" s="98" t="n">
        <v>11662</v>
      </c>
    </row>
    <row r="1008">
      <c r="A1008" t="inlineStr">
        <is>
          <t>2024-11</t>
        </is>
      </c>
      <c r="B1008" t="inlineStr">
        <is>
          <t>November</t>
        </is>
      </c>
      <c r="C1008" t="n">
        <v>11</v>
      </c>
      <c r="D1008" t="inlineStr">
        <is>
          <t>T3</t>
        </is>
      </c>
      <c r="E1008" t="inlineStr">
        <is>
          <t>Gjenstående budsjett</t>
        </is>
      </c>
      <c r="F1008" t="inlineStr">
        <is>
          <t>Kommunal Boenhet</t>
        </is>
      </c>
      <c r="G1008" t="n">
        <v>254</v>
      </c>
      <c r="H1008" t="inlineStr">
        <is>
          <t>Helse og mestring</t>
        </is>
      </c>
      <c r="I1008" t="inlineStr">
        <is>
          <t>2 Utgifter</t>
        </is>
      </c>
      <c r="J1008" t="inlineStr">
        <is>
          <t>14 Overføringer</t>
        </is>
      </c>
      <c r="K1008" t="n">
        <v>1729</v>
      </c>
      <c r="L1008" t="n">
        <v>172900</v>
      </c>
      <c r="M1008" t="inlineStr">
        <is>
          <t>Kompensasjon for merverdiavgift</t>
        </is>
      </c>
      <c r="N1008" s="98" t="n">
        <v>-11662</v>
      </c>
      <c r="O1008" s="98" t="n">
        <v>0</v>
      </c>
      <c r="P1008" s="98" t="n">
        <v>0</v>
      </c>
      <c r="Q1008" s="98" t="n">
        <v>11662</v>
      </c>
    </row>
    <row r="1009">
      <c r="A1009" t="inlineStr">
        <is>
          <t>2024-12</t>
        </is>
      </c>
      <c r="B1009" t="inlineStr">
        <is>
          <t>Desember</t>
        </is>
      </c>
      <c r="C1009" t="n">
        <v>12</v>
      </c>
      <c r="D1009" t="inlineStr">
        <is>
          <t>T3</t>
        </is>
      </c>
      <c r="E1009" t="inlineStr">
        <is>
          <t>Gjenstående budsjett</t>
        </is>
      </c>
      <c r="F1009" t="inlineStr">
        <is>
          <t>Kommunal Boenhet</t>
        </is>
      </c>
      <c r="G1009" t="n">
        <v>254</v>
      </c>
      <c r="H1009" t="inlineStr">
        <is>
          <t>Helse og mestring</t>
        </is>
      </c>
      <c r="I1009" t="inlineStr">
        <is>
          <t>2 Utgifter</t>
        </is>
      </c>
      <c r="J1009" t="inlineStr">
        <is>
          <t>14 Overføringer</t>
        </is>
      </c>
      <c r="K1009" t="n">
        <v>1729</v>
      </c>
      <c r="L1009" t="n">
        <v>172900</v>
      </c>
      <c r="M1009" t="inlineStr">
        <is>
          <t>Kompensasjon for merverdiavgift</t>
        </is>
      </c>
      <c r="N1009" s="98" t="n">
        <v>-11718</v>
      </c>
      <c r="O1009" s="98" t="n">
        <v>0</v>
      </c>
      <c r="P1009" s="98" t="n">
        <v>0</v>
      </c>
      <c r="Q1009" s="98" t="n">
        <v>11718</v>
      </c>
    </row>
    <row r="1010">
      <c r="A1010" t="inlineStr">
        <is>
          <t>2024-01</t>
        </is>
      </c>
      <c r="B1010" t="inlineStr">
        <is>
          <t>Januar</t>
        </is>
      </c>
      <c r="C1010" t="n">
        <v>1</v>
      </c>
      <c r="D1010" t="inlineStr">
        <is>
          <t>T1</t>
        </is>
      </c>
      <c r="E1010" t="inlineStr">
        <is>
          <t>Bokført</t>
        </is>
      </c>
      <c r="F1010" t="inlineStr">
        <is>
          <t>Kommunal Boenhet</t>
        </is>
      </c>
      <c r="G1010" t="n">
        <v>254</v>
      </c>
      <c r="H1010" t="inlineStr">
        <is>
          <t>Helse og mestring</t>
        </is>
      </c>
      <c r="I1010" t="inlineStr">
        <is>
          <t>2 Utgifter</t>
        </is>
      </c>
      <c r="J1010" t="inlineStr">
        <is>
          <t>15 Finansutgifter</t>
        </is>
      </c>
      <c r="K1010" t="n">
        <v>1500</v>
      </c>
      <c r="L1010" t="n">
        <v>150010</v>
      </c>
      <c r="M1010" t="inlineStr">
        <is>
          <t>Forsinkelsesrenter (mora)</t>
        </is>
      </c>
      <c r="N1010" s="98" t="n">
        <v>0</v>
      </c>
      <c r="O1010" s="98" t="n">
        <v>0</v>
      </c>
      <c r="P1010" s="98" t="n">
        <v>0</v>
      </c>
      <c r="Q1010" s="98" t="n">
        <v>0</v>
      </c>
    </row>
    <row r="1011">
      <c r="A1011" t="inlineStr">
        <is>
          <t>2024-02</t>
        </is>
      </c>
      <c r="B1011" t="inlineStr">
        <is>
          <t>Februar</t>
        </is>
      </c>
      <c r="C1011" t="n">
        <v>2</v>
      </c>
      <c r="D1011" t="inlineStr">
        <is>
          <t>T1</t>
        </is>
      </c>
      <c r="E1011" t="inlineStr">
        <is>
          <t>Bokført</t>
        </is>
      </c>
      <c r="F1011" t="inlineStr">
        <is>
          <t>Kommunal Boenhet</t>
        </is>
      </c>
      <c r="G1011" t="n">
        <v>254</v>
      </c>
      <c r="H1011" t="inlineStr">
        <is>
          <t>Helse og mestring</t>
        </is>
      </c>
      <c r="I1011" t="inlineStr">
        <is>
          <t>2 Utgifter</t>
        </is>
      </c>
      <c r="J1011" t="inlineStr">
        <is>
          <t>15 Finansutgifter</t>
        </is>
      </c>
      <c r="K1011" t="n">
        <v>1500</v>
      </c>
      <c r="L1011" t="n">
        <v>150010</v>
      </c>
      <c r="M1011" t="inlineStr">
        <is>
          <t>Forsinkelsesrenter (mora)</t>
        </is>
      </c>
      <c r="N1011" s="98" t="n">
        <v>0</v>
      </c>
      <c r="O1011" s="98" t="n">
        <v>0</v>
      </c>
      <c r="P1011" s="98" t="n">
        <v>0</v>
      </c>
      <c r="Q1011" s="98" t="n">
        <v>0</v>
      </c>
    </row>
    <row r="1012">
      <c r="A1012" t="inlineStr">
        <is>
          <t>2024-03</t>
        </is>
      </c>
      <c r="B1012" t="inlineStr">
        <is>
          <t>Mars</t>
        </is>
      </c>
      <c r="C1012" t="n">
        <v>3</v>
      </c>
      <c r="D1012" t="inlineStr">
        <is>
          <t>T1</t>
        </is>
      </c>
      <c r="E1012" t="inlineStr">
        <is>
          <t>Bokført</t>
        </is>
      </c>
      <c r="F1012" t="inlineStr">
        <is>
          <t>Kommunal Boenhet</t>
        </is>
      </c>
      <c r="G1012" t="n">
        <v>254</v>
      </c>
      <c r="H1012" t="inlineStr">
        <is>
          <t>Helse og mestring</t>
        </is>
      </c>
      <c r="I1012" t="inlineStr">
        <is>
          <t>2 Utgifter</t>
        </is>
      </c>
      <c r="J1012" t="inlineStr">
        <is>
          <t>15 Finansutgifter</t>
        </is>
      </c>
      <c r="K1012" t="n">
        <v>1500</v>
      </c>
      <c r="L1012" t="n">
        <v>150010</v>
      </c>
      <c r="M1012" t="inlineStr">
        <is>
          <t>Forsinkelsesrenter (mora)</t>
        </is>
      </c>
      <c r="N1012" s="98" t="n">
        <v>0</v>
      </c>
      <c r="O1012" s="98" t="n">
        <v>9.27</v>
      </c>
      <c r="P1012" s="98" t="n">
        <v>-9.27</v>
      </c>
      <c r="Q1012" s="98" t="n">
        <v>9.27</v>
      </c>
    </row>
    <row r="1013">
      <c r="A1013" t="inlineStr">
        <is>
          <t>2024-04</t>
        </is>
      </c>
      <c r="B1013" t="inlineStr">
        <is>
          <t>April</t>
        </is>
      </c>
      <c r="C1013" t="n">
        <v>4</v>
      </c>
      <c r="D1013" t="inlineStr">
        <is>
          <t>T1</t>
        </is>
      </c>
      <c r="E1013" t="inlineStr">
        <is>
          <t>Bokført</t>
        </is>
      </c>
      <c r="F1013" t="inlineStr">
        <is>
          <t>Kommunal Boenhet</t>
        </is>
      </c>
      <c r="G1013" t="n">
        <v>254</v>
      </c>
      <c r="H1013" t="inlineStr">
        <is>
          <t>Helse og mestring</t>
        </is>
      </c>
      <c r="I1013" t="inlineStr">
        <is>
          <t>2 Utgifter</t>
        </is>
      </c>
      <c r="J1013" t="inlineStr">
        <is>
          <t>15 Finansutgifter</t>
        </is>
      </c>
      <c r="K1013" t="n">
        <v>1500</v>
      </c>
      <c r="L1013" t="n">
        <v>150010</v>
      </c>
      <c r="M1013" t="inlineStr">
        <is>
          <t>Forsinkelsesrenter (mora)</t>
        </is>
      </c>
      <c r="N1013" s="98" t="n">
        <v>0</v>
      </c>
      <c r="O1013" s="98" t="n">
        <v>0</v>
      </c>
      <c r="P1013" s="98" t="n">
        <v>0</v>
      </c>
      <c r="Q1013" s="98" t="n">
        <v>0</v>
      </c>
    </row>
    <row r="1014">
      <c r="A1014" t="inlineStr">
        <is>
          <t>2024-05</t>
        </is>
      </c>
      <c r="B1014" t="inlineStr">
        <is>
          <t>Mai</t>
        </is>
      </c>
      <c r="C1014" t="n">
        <v>5</v>
      </c>
      <c r="D1014" t="inlineStr">
        <is>
          <t>T2</t>
        </is>
      </c>
      <c r="E1014" t="inlineStr">
        <is>
          <t>Bokført</t>
        </is>
      </c>
      <c r="F1014" t="inlineStr">
        <is>
          <t>Kommunal Boenhet</t>
        </is>
      </c>
      <c r="G1014" t="n">
        <v>254</v>
      </c>
      <c r="H1014" t="inlineStr">
        <is>
          <t>Helse og mestring</t>
        </is>
      </c>
      <c r="I1014" t="inlineStr">
        <is>
          <t>2 Utgifter</t>
        </is>
      </c>
      <c r="J1014" t="inlineStr">
        <is>
          <t>15 Finansutgifter</t>
        </is>
      </c>
      <c r="K1014" t="n">
        <v>1500</v>
      </c>
      <c r="L1014" t="n">
        <v>150010</v>
      </c>
      <c r="M1014" t="inlineStr">
        <is>
          <t>Forsinkelsesrenter (mora)</t>
        </is>
      </c>
      <c r="N1014" s="98" t="n">
        <v>0</v>
      </c>
      <c r="O1014" s="98" t="n">
        <v>0</v>
      </c>
      <c r="P1014" s="98" t="n">
        <v>0</v>
      </c>
      <c r="Q1014" s="98" t="n">
        <v>0</v>
      </c>
    </row>
    <row r="1015">
      <c r="A1015" t="inlineStr">
        <is>
          <t>2024-06</t>
        </is>
      </c>
      <c r="B1015" t="inlineStr">
        <is>
          <t>Juni</t>
        </is>
      </c>
      <c r="C1015" t="n">
        <v>6</v>
      </c>
      <c r="D1015" t="inlineStr">
        <is>
          <t>T2</t>
        </is>
      </c>
      <c r="E1015" t="inlineStr">
        <is>
          <t>Bokført</t>
        </is>
      </c>
      <c r="F1015" t="inlineStr">
        <is>
          <t>Kommunal Boenhet</t>
        </is>
      </c>
      <c r="G1015" t="n">
        <v>254</v>
      </c>
      <c r="H1015" t="inlineStr">
        <is>
          <t>Helse og mestring</t>
        </is>
      </c>
      <c r="I1015" t="inlineStr">
        <is>
          <t>2 Utgifter</t>
        </is>
      </c>
      <c r="J1015" t="inlineStr">
        <is>
          <t>15 Finansutgifter</t>
        </is>
      </c>
      <c r="K1015" t="n">
        <v>1500</v>
      </c>
      <c r="L1015" t="n">
        <v>150010</v>
      </c>
      <c r="M1015" t="inlineStr">
        <is>
          <t>Forsinkelsesrenter (mora)</t>
        </is>
      </c>
      <c r="N1015" s="98" t="n">
        <v>0</v>
      </c>
      <c r="O1015" s="98" t="n">
        <v>0</v>
      </c>
      <c r="P1015" s="98" t="n">
        <v>0</v>
      </c>
      <c r="Q1015" s="98" t="n">
        <v>0</v>
      </c>
    </row>
    <row r="1016">
      <c r="A1016" t="inlineStr">
        <is>
          <t>2024-07</t>
        </is>
      </c>
      <c r="B1016" t="inlineStr">
        <is>
          <t>Juli</t>
        </is>
      </c>
      <c r="C1016" t="n">
        <v>7</v>
      </c>
      <c r="D1016" t="inlineStr">
        <is>
          <t>T2</t>
        </is>
      </c>
      <c r="E1016" t="inlineStr">
        <is>
          <t>Bokført</t>
        </is>
      </c>
      <c r="F1016" t="inlineStr">
        <is>
          <t>Kommunal Boenhet</t>
        </is>
      </c>
      <c r="G1016" t="n">
        <v>254</v>
      </c>
      <c r="H1016" t="inlineStr">
        <is>
          <t>Helse og mestring</t>
        </is>
      </c>
      <c r="I1016" t="inlineStr">
        <is>
          <t>2 Utgifter</t>
        </is>
      </c>
      <c r="J1016" t="inlineStr">
        <is>
          <t>15 Finansutgifter</t>
        </is>
      </c>
      <c r="K1016" t="n">
        <v>1500</v>
      </c>
      <c r="L1016" t="n">
        <v>150010</v>
      </c>
      <c r="M1016" t="inlineStr">
        <is>
          <t>Forsinkelsesrenter (mora)</t>
        </is>
      </c>
      <c r="N1016" s="98" t="n">
        <v>0</v>
      </c>
      <c r="O1016" s="98" t="n">
        <v>0</v>
      </c>
      <c r="P1016" s="98" t="n">
        <v>0</v>
      </c>
      <c r="Q1016" s="98" t="n">
        <v>0</v>
      </c>
    </row>
    <row r="1017">
      <c r="A1017" t="inlineStr">
        <is>
          <t>2024-08</t>
        </is>
      </c>
      <c r="B1017" t="inlineStr">
        <is>
          <t>August</t>
        </is>
      </c>
      <c r="C1017" t="n">
        <v>8</v>
      </c>
      <c r="D1017" t="inlineStr">
        <is>
          <t>T2</t>
        </is>
      </c>
      <c r="E1017" t="inlineStr">
        <is>
          <t>Bokført</t>
        </is>
      </c>
      <c r="F1017" t="inlineStr">
        <is>
          <t>Kommunal Boenhet</t>
        </is>
      </c>
      <c r="G1017" t="n">
        <v>254</v>
      </c>
      <c r="H1017" t="inlineStr">
        <is>
          <t>Helse og mestring</t>
        </is>
      </c>
      <c r="I1017" t="inlineStr">
        <is>
          <t>2 Utgifter</t>
        </is>
      </c>
      <c r="J1017" t="inlineStr">
        <is>
          <t>15 Finansutgifter</t>
        </is>
      </c>
      <c r="K1017" t="n">
        <v>1500</v>
      </c>
      <c r="L1017" t="n">
        <v>150010</v>
      </c>
      <c r="M1017" t="inlineStr">
        <is>
          <t>Forsinkelsesrenter (mora)</t>
        </is>
      </c>
      <c r="N1017" s="98" t="n">
        <v>0</v>
      </c>
      <c r="O1017" s="98" t="n">
        <v>0</v>
      </c>
      <c r="P1017" s="98" t="n">
        <v>0</v>
      </c>
      <c r="Q1017" s="98" t="n">
        <v>0</v>
      </c>
    </row>
    <row r="1018">
      <c r="A1018" t="inlineStr">
        <is>
          <t>2024-09</t>
        </is>
      </c>
      <c r="B1018" t="inlineStr">
        <is>
          <t>September</t>
        </is>
      </c>
      <c r="C1018" t="n">
        <v>9</v>
      </c>
      <c r="D1018" t="inlineStr">
        <is>
          <t>T3</t>
        </is>
      </c>
      <c r="E1018" t="inlineStr">
        <is>
          <t>Gjenstående budsjett</t>
        </is>
      </c>
      <c r="F1018" t="inlineStr">
        <is>
          <t>Kommunal Boenhet</t>
        </is>
      </c>
      <c r="G1018" t="n">
        <v>254</v>
      </c>
      <c r="H1018" t="inlineStr">
        <is>
          <t>Helse og mestring</t>
        </is>
      </c>
      <c r="I1018" t="inlineStr">
        <is>
          <t>2 Utgifter</t>
        </is>
      </c>
      <c r="J1018" t="inlineStr">
        <is>
          <t>15 Finansutgifter</t>
        </is>
      </c>
      <c r="K1018" t="n">
        <v>1500</v>
      </c>
      <c r="L1018" t="n">
        <v>150010</v>
      </c>
      <c r="M1018" t="inlineStr">
        <is>
          <t>Forsinkelsesrenter (mora)</t>
        </is>
      </c>
      <c r="N1018" s="98" t="n">
        <v>0</v>
      </c>
      <c r="O1018" s="98" t="n">
        <v>0</v>
      </c>
      <c r="P1018" s="98" t="n">
        <v>0</v>
      </c>
      <c r="Q1018" s="98" t="n">
        <v>0</v>
      </c>
    </row>
    <row r="1019">
      <c r="A1019" t="inlineStr">
        <is>
          <t>2024-10</t>
        </is>
      </c>
      <c r="B1019" t="inlineStr">
        <is>
          <t>Oktober</t>
        </is>
      </c>
      <c r="C1019" t="n">
        <v>10</v>
      </c>
      <c r="D1019" t="inlineStr">
        <is>
          <t>T3</t>
        </is>
      </c>
      <c r="E1019" t="inlineStr">
        <is>
          <t>Gjenstående budsjett</t>
        </is>
      </c>
      <c r="F1019" t="inlineStr">
        <is>
          <t>Kommunal Boenhet</t>
        </is>
      </c>
      <c r="G1019" t="n">
        <v>254</v>
      </c>
      <c r="H1019" t="inlineStr">
        <is>
          <t>Helse og mestring</t>
        </is>
      </c>
      <c r="I1019" t="inlineStr">
        <is>
          <t>2 Utgifter</t>
        </is>
      </c>
      <c r="J1019" t="inlineStr">
        <is>
          <t>15 Finansutgifter</t>
        </is>
      </c>
      <c r="K1019" t="n">
        <v>1500</v>
      </c>
      <c r="L1019" t="n">
        <v>150010</v>
      </c>
      <c r="M1019" t="inlineStr">
        <is>
          <t>Forsinkelsesrenter (mora)</t>
        </is>
      </c>
      <c r="N1019" s="98" t="n">
        <v>0</v>
      </c>
      <c r="O1019" s="98" t="n">
        <v>0</v>
      </c>
      <c r="P1019" s="98" t="n">
        <v>0</v>
      </c>
      <c r="Q1019" s="98" t="n">
        <v>0</v>
      </c>
    </row>
    <row r="1020">
      <c r="A1020" t="inlineStr">
        <is>
          <t>2024-11</t>
        </is>
      </c>
      <c r="B1020" t="inlineStr">
        <is>
          <t>November</t>
        </is>
      </c>
      <c r="C1020" t="n">
        <v>11</v>
      </c>
      <c r="D1020" t="inlineStr">
        <is>
          <t>T3</t>
        </is>
      </c>
      <c r="E1020" t="inlineStr">
        <is>
          <t>Gjenstående budsjett</t>
        </is>
      </c>
      <c r="F1020" t="inlineStr">
        <is>
          <t>Kommunal Boenhet</t>
        </is>
      </c>
      <c r="G1020" t="n">
        <v>254</v>
      </c>
      <c r="H1020" t="inlineStr">
        <is>
          <t>Helse og mestring</t>
        </is>
      </c>
      <c r="I1020" t="inlineStr">
        <is>
          <t>2 Utgifter</t>
        </is>
      </c>
      <c r="J1020" t="inlineStr">
        <is>
          <t>15 Finansutgifter</t>
        </is>
      </c>
      <c r="K1020" t="n">
        <v>1500</v>
      </c>
      <c r="L1020" t="n">
        <v>150010</v>
      </c>
      <c r="M1020" t="inlineStr">
        <is>
          <t>Forsinkelsesrenter (mora)</t>
        </is>
      </c>
      <c r="N1020" s="98" t="n">
        <v>0</v>
      </c>
      <c r="O1020" s="98" t="n">
        <v>0</v>
      </c>
      <c r="P1020" s="98" t="n">
        <v>0</v>
      </c>
      <c r="Q1020" s="98" t="n">
        <v>0</v>
      </c>
    </row>
    <row r="1021">
      <c r="A1021" t="inlineStr">
        <is>
          <t>2024-12</t>
        </is>
      </c>
      <c r="B1021" t="inlineStr">
        <is>
          <t>Desember</t>
        </is>
      </c>
      <c r="C1021" t="n">
        <v>12</v>
      </c>
      <c r="D1021" t="inlineStr">
        <is>
          <t>T3</t>
        </is>
      </c>
      <c r="E1021" t="inlineStr">
        <is>
          <t>Gjenstående budsjett</t>
        </is>
      </c>
      <c r="F1021" t="inlineStr">
        <is>
          <t>Kommunal Boenhet</t>
        </is>
      </c>
      <c r="G1021" t="n">
        <v>254</v>
      </c>
      <c r="H1021" t="inlineStr">
        <is>
          <t>Helse og mestring</t>
        </is>
      </c>
      <c r="I1021" t="inlineStr">
        <is>
          <t>2 Utgifter</t>
        </is>
      </c>
      <c r="J1021" t="inlineStr">
        <is>
          <t>15 Finansutgifter</t>
        </is>
      </c>
      <c r="K1021" t="n">
        <v>1500</v>
      </c>
      <c r="L1021" t="n">
        <v>150010</v>
      </c>
      <c r="M1021" t="inlineStr">
        <is>
          <t>Forsinkelsesrenter (mora)</t>
        </is>
      </c>
      <c r="N1021" s="98" t="n">
        <v>0</v>
      </c>
      <c r="O1021" s="98" t="n">
        <v>0</v>
      </c>
      <c r="P1021" s="98" t="n">
        <v>0</v>
      </c>
      <c r="Q1021" s="98" t="n">
        <v>0</v>
      </c>
    </row>
    <row r="1022">
      <c r="A1022" t="inlineStr">
        <is>
          <t>2024-01</t>
        </is>
      </c>
      <c r="B1022" t="inlineStr">
        <is>
          <t>Januar</t>
        </is>
      </c>
      <c r="C1022" t="n">
        <v>1</v>
      </c>
      <c r="D1022" t="inlineStr">
        <is>
          <t>T1</t>
        </is>
      </c>
      <c r="E1022" t="inlineStr">
        <is>
          <t>Bokført</t>
        </is>
      </c>
      <c r="F1022" t="inlineStr">
        <is>
          <t>Kommunal Boenhet</t>
        </is>
      </c>
      <c r="G1022" t="n">
        <v>254</v>
      </c>
      <c r="H1022" t="inlineStr">
        <is>
          <t>Helse og mestring</t>
        </is>
      </c>
      <c r="I1022" t="inlineStr">
        <is>
          <t>3 Inntekter</t>
        </is>
      </c>
      <c r="J1022" t="inlineStr">
        <is>
          <t>16 Brukerbetaling</t>
        </is>
      </c>
      <c r="K1022" t="n">
        <v>1600</v>
      </c>
      <c r="L1022" t="n">
        <v>160000</v>
      </c>
      <c r="M1022" t="inlineStr">
        <is>
          <t>Brukerbetaling for kommunale tjenester -</t>
        </is>
      </c>
      <c r="N1022" s="98" t="n">
        <v>14</v>
      </c>
      <c r="O1022" s="98" t="n">
        <v>0</v>
      </c>
      <c r="P1022" s="98" t="n">
        <v>14</v>
      </c>
      <c r="Q1022" s="98" t="n">
        <v>-14</v>
      </c>
    </row>
    <row r="1023">
      <c r="A1023" t="inlineStr">
        <is>
          <t>2024-02</t>
        </is>
      </c>
      <c r="B1023" t="inlineStr">
        <is>
          <t>Februar</t>
        </is>
      </c>
      <c r="C1023" t="n">
        <v>2</v>
      </c>
      <c r="D1023" t="inlineStr">
        <is>
          <t>T1</t>
        </is>
      </c>
      <c r="E1023" t="inlineStr">
        <is>
          <t>Bokført</t>
        </is>
      </c>
      <c r="F1023" t="inlineStr">
        <is>
          <t>Kommunal Boenhet</t>
        </is>
      </c>
      <c r="G1023" t="n">
        <v>254</v>
      </c>
      <c r="H1023" t="inlineStr">
        <is>
          <t>Helse og mestring</t>
        </is>
      </c>
      <c r="I1023" t="inlineStr">
        <is>
          <t>3 Inntekter</t>
        </is>
      </c>
      <c r="J1023" t="inlineStr">
        <is>
          <t>16 Brukerbetaling</t>
        </is>
      </c>
      <c r="K1023" t="n">
        <v>1600</v>
      </c>
      <c r="L1023" t="n">
        <v>160000</v>
      </c>
      <c r="M1023" t="inlineStr">
        <is>
          <t>Brukerbetaling for kommunale tjenester -</t>
        </is>
      </c>
      <c r="N1023" s="98" t="n">
        <v>14</v>
      </c>
      <c r="O1023" s="98" t="n">
        <v>0</v>
      </c>
      <c r="P1023" s="98" t="n">
        <v>14</v>
      </c>
      <c r="Q1023" s="98" t="n">
        <v>-14</v>
      </c>
    </row>
    <row r="1024">
      <c r="A1024" t="inlineStr">
        <is>
          <t>2024-03</t>
        </is>
      </c>
      <c r="B1024" t="inlineStr">
        <is>
          <t>Mars</t>
        </is>
      </c>
      <c r="C1024" t="n">
        <v>3</v>
      </c>
      <c r="D1024" t="inlineStr">
        <is>
          <t>T1</t>
        </is>
      </c>
      <c r="E1024" t="inlineStr">
        <is>
          <t>Bokført</t>
        </is>
      </c>
      <c r="F1024" t="inlineStr">
        <is>
          <t>Kommunal Boenhet</t>
        </is>
      </c>
      <c r="G1024" t="n">
        <v>254</v>
      </c>
      <c r="H1024" t="inlineStr">
        <is>
          <t>Helse og mestring</t>
        </is>
      </c>
      <c r="I1024" t="inlineStr">
        <is>
          <t>3 Inntekter</t>
        </is>
      </c>
      <c r="J1024" t="inlineStr">
        <is>
          <t>16 Brukerbetaling</t>
        </is>
      </c>
      <c r="K1024" t="n">
        <v>1600</v>
      </c>
      <c r="L1024" t="n">
        <v>160000</v>
      </c>
      <c r="M1024" t="inlineStr">
        <is>
          <t>Brukerbetaling for kommunale tjenester -</t>
        </is>
      </c>
      <c r="N1024" s="98" t="n">
        <v>14</v>
      </c>
      <c r="O1024" s="98" t="n">
        <v>0</v>
      </c>
      <c r="P1024" s="98" t="n">
        <v>14</v>
      </c>
      <c r="Q1024" s="98" t="n">
        <v>-14</v>
      </c>
    </row>
    <row r="1025">
      <c r="A1025" t="inlineStr">
        <is>
          <t>2024-04</t>
        </is>
      </c>
      <c r="B1025" t="inlineStr">
        <is>
          <t>April</t>
        </is>
      </c>
      <c r="C1025" t="n">
        <v>4</v>
      </c>
      <c r="D1025" t="inlineStr">
        <is>
          <t>T1</t>
        </is>
      </c>
      <c r="E1025" t="inlineStr">
        <is>
          <t>Bokført</t>
        </is>
      </c>
      <c r="F1025" t="inlineStr">
        <is>
          <t>Kommunal Boenhet</t>
        </is>
      </c>
      <c r="G1025" t="n">
        <v>254</v>
      </c>
      <c r="H1025" t="inlineStr">
        <is>
          <t>Helse og mestring</t>
        </is>
      </c>
      <c r="I1025" t="inlineStr">
        <is>
          <t>3 Inntekter</t>
        </is>
      </c>
      <c r="J1025" t="inlineStr">
        <is>
          <t>16 Brukerbetaling</t>
        </is>
      </c>
      <c r="K1025" t="n">
        <v>1600</v>
      </c>
      <c r="L1025" t="n">
        <v>160000</v>
      </c>
      <c r="M1025" t="inlineStr">
        <is>
          <t>Brukerbetaling for kommunale tjenester -</t>
        </is>
      </c>
      <c r="N1025" s="98" t="n">
        <v>14</v>
      </c>
      <c r="O1025" s="98" t="n">
        <v>0</v>
      </c>
      <c r="P1025" s="98" t="n">
        <v>14</v>
      </c>
      <c r="Q1025" s="98" t="n">
        <v>-14</v>
      </c>
    </row>
    <row r="1026">
      <c r="A1026" t="inlineStr">
        <is>
          <t>2024-05</t>
        </is>
      </c>
      <c r="B1026" t="inlineStr">
        <is>
          <t>Mai</t>
        </is>
      </c>
      <c r="C1026" t="n">
        <v>5</v>
      </c>
      <c r="D1026" t="inlineStr">
        <is>
          <t>T2</t>
        </is>
      </c>
      <c r="E1026" t="inlineStr">
        <is>
          <t>Bokført</t>
        </is>
      </c>
      <c r="F1026" t="inlineStr">
        <is>
          <t>Kommunal Boenhet</t>
        </is>
      </c>
      <c r="G1026" t="n">
        <v>254</v>
      </c>
      <c r="H1026" t="inlineStr">
        <is>
          <t>Helse og mestring</t>
        </is>
      </c>
      <c r="I1026" t="inlineStr">
        <is>
          <t>3 Inntekter</t>
        </is>
      </c>
      <c r="J1026" t="inlineStr">
        <is>
          <t>16 Brukerbetaling</t>
        </is>
      </c>
      <c r="K1026" t="n">
        <v>1600</v>
      </c>
      <c r="L1026" t="n">
        <v>160000</v>
      </c>
      <c r="M1026" t="inlineStr">
        <is>
          <t>Brukerbetaling for kommunale tjenester -</t>
        </is>
      </c>
      <c r="N1026" s="98" t="n">
        <v>14</v>
      </c>
      <c r="O1026" s="98" t="n">
        <v>0</v>
      </c>
      <c r="P1026" s="98" t="n">
        <v>14</v>
      </c>
      <c r="Q1026" s="98" t="n">
        <v>-14</v>
      </c>
    </row>
    <row r="1027">
      <c r="A1027" t="inlineStr">
        <is>
          <t>2024-06</t>
        </is>
      </c>
      <c r="B1027" t="inlineStr">
        <is>
          <t>Juni</t>
        </is>
      </c>
      <c r="C1027" t="n">
        <v>6</v>
      </c>
      <c r="D1027" t="inlineStr">
        <is>
          <t>T2</t>
        </is>
      </c>
      <c r="E1027" t="inlineStr">
        <is>
          <t>Bokført</t>
        </is>
      </c>
      <c r="F1027" t="inlineStr">
        <is>
          <t>Kommunal Boenhet</t>
        </is>
      </c>
      <c r="G1027" t="n">
        <v>254</v>
      </c>
      <c r="H1027" t="inlineStr">
        <is>
          <t>Helse og mestring</t>
        </is>
      </c>
      <c r="I1027" t="inlineStr">
        <is>
          <t>3 Inntekter</t>
        </is>
      </c>
      <c r="J1027" t="inlineStr">
        <is>
          <t>16 Brukerbetaling</t>
        </is>
      </c>
      <c r="K1027" t="n">
        <v>1600</v>
      </c>
      <c r="L1027" t="n">
        <v>160000</v>
      </c>
      <c r="M1027" t="inlineStr">
        <is>
          <t>Brukerbetaling for kommunale tjenester -</t>
        </is>
      </c>
      <c r="N1027" s="98" t="n">
        <v>14</v>
      </c>
      <c r="O1027" s="98" t="n">
        <v>0</v>
      </c>
      <c r="P1027" s="98" t="n">
        <v>14</v>
      </c>
      <c r="Q1027" s="98" t="n">
        <v>-14</v>
      </c>
    </row>
    <row r="1028">
      <c r="A1028" t="inlineStr">
        <is>
          <t>2024-07</t>
        </is>
      </c>
      <c r="B1028" t="inlineStr">
        <is>
          <t>Juli</t>
        </is>
      </c>
      <c r="C1028" t="n">
        <v>7</v>
      </c>
      <c r="D1028" t="inlineStr">
        <is>
          <t>T2</t>
        </is>
      </c>
      <c r="E1028" t="inlineStr">
        <is>
          <t>Bokført</t>
        </is>
      </c>
      <c r="F1028" t="inlineStr">
        <is>
          <t>Kommunal Boenhet</t>
        </is>
      </c>
      <c r="G1028" t="n">
        <v>254</v>
      </c>
      <c r="H1028" t="inlineStr">
        <is>
          <t>Helse og mestring</t>
        </is>
      </c>
      <c r="I1028" t="inlineStr">
        <is>
          <t>3 Inntekter</t>
        </is>
      </c>
      <c r="J1028" t="inlineStr">
        <is>
          <t>16 Brukerbetaling</t>
        </is>
      </c>
      <c r="K1028" t="n">
        <v>1600</v>
      </c>
      <c r="L1028" t="n">
        <v>160000</v>
      </c>
      <c r="M1028" t="inlineStr">
        <is>
          <t>Brukerbetaling for kommunale tjenester -</t>
        </is>
      </c>
      <c r="N1028" s="98" t="n">
        <v>14</v>
      </c>
      <c r="O1028" s="98" t="n">
        <v>0</v>
      </c>
      <c r="P1028" s="98" t="n">
        <v>14</v>
      </c>
      <c r="Q1028" s="98" t="n">
        <v>-14</v>
      </c>
    </row>
    <row r="1029">
      <c r="A1029" t="inlineStr">
        <is>
          <t>2024-08</t>
        </is>
      </c>
      <c r="B1029" t="inlineStr">
        <is>
          <t>August</t>
        </is>
      </c>
      <c r="C1029" t="n">
        <v>8</v>
      </c>
      <c r="D1029" t="inlineStr">
        <is>
          <t>T2</t>
        </is>
      </c>
      <c r="E1029" t="inlineStr">
        <is>
          <t>Bokført</t>
        </is>
      </c>
      <c r="F1029" t="inlineStr">
        <is>
          <t>Kommunal Boenhet</t>
        </is>
      </c>
      <c r="G1029" t="n">
        <v>254</v>
      </c>
      <c r="H1029" t="inlineStr">
        <is>
          <t>Helse og mestring</t>
        </is>
      </c>
      <c r="I1029" t="inlineStr">
        <is>
          <t>3 Inntekter</t>
        </is>
      </c>
      <c r="J1029" t="inlineStr">
        <is>
          <t>16 Brukerbetaling</t>
        </is>
      </c>
      <c r="K1029" t="n">
        <v>1600</v>
      </c>
      <c r="L1029" t="n">
        <v>160000</v>
      </c>
      <c r="M1029" t="inlineStr">
        <is>
          <t>Brukerbetaling for kommunale tjenester -</t>
        </is>
      </c>
      <c r="N1029" s="98" t="n">
        <v>14</v>
      </c>
      <c r="O1029" s="98" t="n">
        <v>0</v>
      </c>
      <c r="P1029" s="98" t="n">
        <v>14</v>
      </c>
      <c r="Q1029" s="98" t="n">
        <v>-14</v>
      </c>
    </row>
    <row r="1030">
      <c r="A1030" t="inlineStr">
        <is>
          <t>2024-09</t>
        </is>
      </c>
      <c r="B1030" t="inlineStr">
        <is>
          <t>September</t>
        </is>
      </c>
      <c r="C1030" t="n">
        <v>9</v>
      </c>
      <c r="D1030" t="inlineStr">
        <is>
          <t>T3</t>
        </is>
      </c>
      <c r="E1030" t="inlineStr">
        <is>
          <t>Gjenstående budsjett</t>
        </is>
      </c>
      <c r="F1030" t="inlineStr">
        <is>
          <t>Kommunal Boenhet</t>
        </is>
      </c>
      <c r="G1030" t="n">
        <v>254</v>
      </c>
      <c r="H1030" t="inlineStr">
        <is>
          <t>Helse og mestring</t>
        </is>
      </c>
      <c r="I1030" t="inlineStr">
        <is>
          <t>3 Inntekter</t>
        </is>
      </c>
      <c r="J1030" t="inlineStr">
        <is>
          <t>16 Brukerbetaling</t>
        </is>
      </c>
      <c r="K1030" t="n">
        <v>1600</v>
      </c>
      <c r="L1030" t="n">
        <v>160000</v>
      </c>
      <c r="M1030" t="inlineStr">
        <is>
          <t>Brukerbetaling for kommunale tjenester -</t>
        </is>
      </c>
      <c r="N1030" s="98" t="n">
        <v>14</v>
      </c>
      <c r="O1030" s="98" t="n">
        <v>0</v>
      </c>
      <c r="P1030" s="98" t="n">
        <v>0</v>
      </c>
      <c r="Q1030" s="98" t="n">
        <v>-14</v>
      </c>
    </row>
    <row r="1031">
      <c r="A1031" t="inlineStr">
        <is>
          <t>2024-10</t>
        </is>
      </c>
      <c r="B1031" t="inlineStr">
        <is>
          <t>Oktober</t>
        </is>
      </c>
      <c r="C1031" t="n">
        <v>10</v>
      </c>
      <c r="D1031" t="inlineStr">
        <is>
          <t>T3</t>
        </is>
      </c>
      <c r="E1031" t="inlineStr">
        <is>
          <t>Gjenstående budsjett</t>
        </is>
      </c>
      <c r="F1031" t="inlineStr">
        <is>
          <t>Kommunal Boenhet</t>
        </is>
      </c>
      <c r="G1031" t="n">
        <v>254</v>
      </c>
      <c r="H1031" t="inlineStr">
        <is>
          <t>Helse og mestring</t>
        </is>
      </c>
      <c r="I1031" t="inlineStr">
        <is>
          <t>3 Inntekter</t>
        </is>
      </c>
      <c r="J1031" t="inlineStr">
        <is>
          <t>16 Brukerbetaling</t>
        </is>
      </c>
      <c r="K1031" t="n">
        <v>1600</v>
      </c>
      <c r="L1031" t="n">
        <v>160000</v>
      </c>
      <c r="M1031" t="inlineStr">
        <is>
          <t>Brukerbetaling for kommunale tjenester -</t>
        </is>
      </c>
      <c r="N1031" s="98" t="n">
        <v>14</v>
      </c>
      <c r="O1031" s="98" t="n">
        <v>0</v>
      </c>
      <c r="P1031" s="98" t="n">
        <v>0</v>
      </c>
      <c r="Q1031" s="98" t="n">
        <v>-14</v>
      </c>
    </row>
    <row r="1032">
      <c r="A1032" t="inlineStr">
        <is>
          <t>2024-11</t>
        </is>
      </c>
      <c r="B1032" t="inlineStr">
        <is>
          <t>November</t>
        </is>
      </c>
      <c r="C1032" t="n">
        <v>11</v>
      </c>
      <c r="D1032" t="inlineStr">
        <is>
          <t>T3</t>
        </is>
      </c>
      <c r="E1032" t="inlineStr">
        <is>
          <t>Gjenstående budsjett</t>
        </is>
      </c>
      <c r="F1032" t="inlineStr">
        <is>
          <t>Kommunal Boenhet</t>
        </is>
      </c>
      <c r="G1032" t="n">
        <v>254</v>
      </c>
      <c r="H1032" t="inlineStr">
        <is>
          <t>Helse og mestring</t>
        </is>
      </c>
      <c r="I1032" t="inlineStr">
        <is>
          <t>3 Inntekter</t>
        </is>
      </c>
      <c r="J1032" t="inlineStr">
        <is>
          <t>16 Brukerbetaling</t>
        </is>
      </c>
      <c r="K1032" t="n">
        <v>1600</v>
      </c>
      <c r="L1032" t="n">
        <v>160000</v>
      </c>
      <c r="M1032" t="inlineStr">
        <is>
          <t>Brukerbetaling for kommunale tjenester -</t>
        </is>
      </c>
      <c r="N1032" s="98" t="n">
        <v>14</v>
      </c>
      <c r="O1032" s="98" t="n">
        <v>0</v>
      </c>
      <c r="P1032" s="98" t="n">
        <v>0</v>
      </c>
      <c r="Q1032" s="98" t="n">
        <v>-14</v>
      </c>
    </row>
    <row r="1033">
      <c r="A1033" t="inlineStr">
        <is>
          <t>2024-12</t>
        </is>
      </c>
      <c r="B1033" t="inlineStr">
        <is>
          <t>Desember</t>
        </is>
      </c>
      <c r="C1033" t="n">
        <v>12</v>
      </c>
      <c r="D1033" t="inlineStr">
        <is>
          <t>T3</t>
        </is>
      </c>
      <c r="E1033" t="inlineStr">
        <is>
          <t>Gjenstående budsjett</t>
        </is>
      </c>
      <c r="F1033" t="inlineStr">
        <is>
          <t>Kommunal Boenhet</t>
        </is>
      </c>
      <c r="G1033" t="n">
        <v>254</v>
      </c>
      <c r="H1033" t="inlineStr">
        <is>
          <t>Helse og mestring</t>
        </is>
      </c>
      <c r="I1033" t="inlineStr">
        <is>
          <t>3 Inntekter</t>
        </is>
      </c>
      <c r="J1033" t="inlineStr">
        <is>
          <t>16 Brukerbetaling</t>
        </is>
      </c>
      <c r="K1033" t="n">
        <v>1600</v>
      </c>
      <c r="L1033" t="n">
        <v>160000</v>
      </c>
      <c r="M1033" t="inlineStr">
        <is>
          <t>Brukerbetaling for kommunale tjenester -</t>
        </is>
      </c>
      <c r="N1033" s="98" t="n">
        <v>-154</v>
      </c>
      <c r="O1033" s="98" t="n">
        <v>0</v>
      </c>
      <c r="P1033" s="98" t="n">
        <v>0</v>
      </c>
      <c r="Q1033" s="98" t="n">
        <v>154</v>
      </c>
    </row>
    <row r="1034">
      <c r="A1034" t="inlineStr">
        <is>
          <t>2024-01</t>
        </is>
      </c>
      <c r="B1034" t="inlineStr">
        <is>
          <t>Januar</t>
        </is>
      </c>
      <c r="C1034" t="n">
        <v>1</v>
      </c>
      <c r="D1034" t="inlineStr">
        <is>
          <t>T1</t>
        </is>
      </c>
      <c r="E1034" t="inlineStr">
        <is>
          <t>Bokført</t>
        </is>
      </c>
      <c r="F1034" t="inlineStr">
        <is>
          <t>Kommunal Boenhet</t>
        </is>
      </c>
      <c r="G1034" t="n">
        <v>254</v>
      </c>
      <c r="H1034" t="inlineStr">
        <is>
          <t>Helse og mestring</t>
        </is>
      </c>
      <c r="I1034" t="inlineStr">
        <is>
          <t>3 Inntekter</t>
        </is>
      </c>
      <c r="J1034" t="inlineStr">
        <is>
          <t>17 Refusjoner</t>
        </is>
      </c>
      <c r="K1034" t="n">
        <v>1700</v>
      </c>
      <c r="L1034" t="n">
        <v>170080</v>
      </c>
      <c r="M1034" t="inlineStr">
        <is>
          <t>Øremerkede statstilskudd</t>
        </is>
      </c>
      <c r="N1034" s="98" t="n">
        <v>0</v>
      </c>
      <c r="O1034" s="98" t="n">
        <v>0</v>
      </c>
      <c r="P1034" s="98" t="n">
        <v>0</v>
      </c>
      <c r="Q1034" s="98" t="n">
        <v>0</v>
      </c>
    </row>
    <row r="1035">
      <c r="A1035" t="inlineStr">
        <is>
          <t>2024-02</t>
        </is>
      </c>
      <c r="B1035" t="inlineStr">
        <is>
          <t>Februar</t>
        </is>
      </c>
      <c r="C1035" t="n">
        <v>2</v>
      </c>
      <c r="D1035" t="inlineStr">
        <is>
          <t>T1</t>
        </is>
      </c>
      <c r="E1035" t="inlineStr">
        <is>
          <t>Bokført</t>
        </is>
      </c>
      <c r="F1035" t="inlineStr">
        <is>
          <t>Kommunal Boenhet</t>
        </is>
      </c>
      <c r="G1035" t="n">
        <v>254</v>
      </c>
      <c r="H1035" t="inlineStr">
        <is>
          <t>Helse og mestring</t>
        </is>
      </c>
      <c r="I1035" t="inlineStr">
        <is>
          <t>3 Inntekter</t>
        </is>
      </c>
      <c r="J1035" t="inlineStr">
        <is>
          <t>17 Refusjoner</t>
        </is>
      </c>
      <c r="K1035" t="n">
        <v>1700</v>
      </c>
      <c r="L1035" t="n">
        <v>170080</v>
      </c>
      <c r="M1035" t="inlineStr">
        <is>
          <t>Øremerkede statstilskudd</t>
        </is>
      </c>
      <c r="N1035" s="98" t="n">
        <v>0</v>
      </c>
      <c r="O1035" s="98" t="n">
        <v>0</v>
      </c>
      <c r="P1035" s="98" t="n">
        <v>0</v>
      </c>
      <c r="Q1035" s="98" t="n">
        <v>0</v>
      </c>
    </row>
    <row r="1036">
      <c r="A1036" t="inlineStr">
        <is>
          <t>2024-03</t>
        </is>
      </c>
      <c r="B1036" t="inlineStr">
        <is>
          <t>Mars</t>
        </is>
      </c>
      <c r="C1036" t="n">
        <v>3</v>
      </c>
      <c r="D1036" t="inlineStr">
        <is>
          <t>T1</t>
        </is>
      </c>
      <c r="E1036" t="inlineStr">
        <is>
          <t>Bokført</t>
        </is>
      </c>
      <c r="F1036" t="inlineStr">
        <is>
          <t>Kommunal Boenhet</t>
        </is>
      </c>
      <c r="G1036" t="n">
        <v>254</v>
      </c>
      <c r="H1036" t="inlineStr">
        <is>
          <t>Helse og mestring</t>
        </is>
      </c>
      <c r="I1036" t="inlineStr">
        <is>
          <t>3 Inntekter</t>
        </is>
      </c>
      <c r="J1036" t="inlineStr">
        <is>
          <t>17 Refusjoner</t>
        </is>
      </c>
      <c r="K1036" t="n">
        <v>1700</v>
      </c>
      <c r="L1036" t="n">
        <v>170080</v>
      </c>
      <c r="M1036" t="inlineStr">
        <is>
          <t>Øremerkede statstilskudd</t>
        </is>
      </c>
      <c r="N1036" s="98" t="n">
        <v>0</v>
      </c>
      <c r="O1036" s="98" t="n">
        <v>0</v>
      </c>
      <c r="P1036" s="98" t="n">
        <v>0</v>
      </c>
      <c r="Q1036" s="98" t="n">
        <v>0</v>
      </c>
    </row>
    <row r="1037">
      <c r="A1037" t="inlineStr">
        <is>
          <t>2024-04</t>
        </is>
      </c>
      <c r="B1037" t="inlineStr">
        <is>
          <t>April</t>
        </is>
      </c>
      <c r="C1037" t="n">
        <v>4</v>
      </c>
      <c r="D1037" t="inlineStr">
        <is>
          <t>T1</t>
        </is>
      </c>
      <c r="E1037" t="inlineStr">
        <is>
          <t>Bokført</t>
        </is>
      </c>
      <c r="F1037" t="inlineStr">
        <is>
          <t>Kommunal Boenhet</t>
        </is>
      </c>
      <c r="G1037" t="n">
        <v>254</v>
      </c>
      <c r="H1037" t="inlineStr">
        <is>
          <t>Helse og mestring</t>
        </is>
      </c>
      <c r="I1037" t="inlineStr">
        <is>
          <t>3 Inntekter</t>
        </is>
      </c>
      <c r="J1037" t="inlineStr">
        <is>
          <t>17 Refusjoner</t>
        </is>
      </c>
      <c r="K1037" t="n">
        <v>1700</v>
      </c>
      <c r="L1037" t="n">
        <v>170080</v>
      </c>
      <c r="M1037" t="inlineStr">
        <is>
          <t>Øremerkede statstilskudd</t>
        </is>
      </c>
      <c r="N1037" s="98" t="n">
        <v>0</v>
      </c>
      <c r="O1037" s="98" t="n">
        <v>0</v>
      </c>
      <c r="P1037" s="98" t="n">
        <v>0</v>
      </c>
      <c r="Q1037" s="98" t="n">
        <v>0</v>
      </c>
    </row>
    <row r="1038">
      <c r="A1038" t="inlineStr">
        <is>
          <t>2024-05</t>
        </is>
      </c>
      <c r="B1038" t="inlineStr">
        <is>
          <t>Mai</t>
        </is>
      </c>
      <c r="C1038" t="n">
        <v>5</v>
      </c>
      <c r="D1038" t="inlineStr">
        <is>
          <t>T2</t>
        </is>
      </c>
      <c r="E1038" t="inlineStr">
        <is>
          <t>Bokført</t>
        </is>
      </c>
      <c r="F1038" t="inlineStr">
        <is>
          <t>Kommunal Boenhet</t>
        </is>
      </c>
      <c r="G1038" t="n">
        <v>254</v>
      </c>
      <c r="H1038" t="inlineStr">
        <is>
          <t>Helse og mestring</t>
        </is>
      </c>
      <c r="I1038" t="inlineStr">
        <is>
          <t>3 Inntekter</t>
        </is>
      </c>
      <c r="J1038" t="inlineStr">
        <is>
          <t>17 Refusjoner</t>
        </is>
      </c>
      <c r="K1038" t="n">
        <v>1700</v>
      </c>
      <c r="L1038" t="n">
        <v>170080</v>
      </c>
      <c r="M1038" t="inlineStr">
        <is>
          <t>Øremerkede statstilskudd</t>
        </is>
      </c>
      <c r="N1038" s="98" t="n">
        <v>0</v>
      </c>
      <c r="O1038" s="98" t="n">
        <v>0</v>
      </c>
      <c r="P1038" s="98" t="n">
        <v>0</v>
      </c>
      <c r="Q1038" s="98" t="n">
        <v>0</v>
      </c>
    </row>
    <row r="1039">
      <c r="A1039" t="inlineStr">
        <is>
          <t>2024-06</t>
        </is>
      </c>
      <c r="B1039" t="inlineStr">
        <is>
          <t>Juni</t>
        </is>
      </c>
      <c r="C1039" t="n">
        <v>6</v>
      </c>
      <c r="D1039" t="inlineStr">
        <is>
          <t>T2</t>
        </is>
      </c>
      <c r="E1039" t="inlineStr">
        <is>
          <t>Bokført</t>
        </is>
      </c>
      <c r="F1039" t="inlineStr">
        <is>
          <t>Kommunal Boenhet</t>
        </is>
      </c>
      <c r="G1039" t="n">
        <v>254</v>
      </c>
      <c r="H1039" t="inlineStr">
        <is>
          <t>Helse og mestring</t>
        </is>
      </c>
      <c r="I1039" t="inlineStr">
        <is>
          <t>3 Inntekter</t>
        </is>
      </c>
      <c r="J1039" t="inlineStr">
        <is>
          <t>17 Refusjoner</t>
        </is>
      </c>
      <c r="K1039" t="n">
        <v>1700</v>
      </c>
      <c r="L1039" t="n">
        <v>170080</v>
      </c>
      <c r="M1039" t="inlineStr">
        <is>
          <t>Øremerkede statstilskudd</t>
        </is>
      </c>
      <c r="N1039" s="98" t="n">
        <v>0</v>
      </c>
      <c r="O1039" s="98" t="n">
        <v>0</v>
      </c>
      <c r="P1039" s="98" t="n">
        <v>0</v>
      </c>
      <c r="Q1039" s="98" t="n">
        <v>0</v>
      </c>
    </row>
    <row r="1040">
      <c r="A1040" t="inlineStr">
        <is>
          <t>2024-07</t>
        </is>
      </c>
      <c r="B1040" t="inlineStr">
        <is>
          <t>Juli</t>
        </is>
      </c>
      <c r="C1040" t="n">
        <v>7</v>
      </c>
      <c r="D1040" t="inlineStr">
        <is>
          <t>T2</t>
        </is>
      </c>
      <c r="E1040" t="inlineStr">
        <is>
          <t>Bokført</t>
        </is>
      </c>
      <c r="F1040" t="inlineStr">
        <is>
          <t>Kommunal Boenhet</t>
        </is>
      </c>
      <c r="G1040" t="n">
        <v>254</v>
      </c>
      <c r="H1040" t="inlineStr">
        <is>
          <t>Helse og mestring</t>
        </is>
      </c>
      <c r="I1040" t="inlineStr">
        <is>
          <t>3 Inntekter</t>
        </is>
      </c>
      <c r="J1040" t="inlineStr">
        <is>
          <t>17 Refusjoner</t>
        </is>
      </c>
      <c r="K1040" t="n">
        <v>1700</v>
      </c>
      <c r="L1040" t="n">
        <v>170080</v>
      </c>
      <c r="M1040" t="inlineStr">
        <is>
          <t>Øremerkede statstilskudd</t>
        </is>
      </c>
      <c r="N1040" s="98" t="n">
        <v>0</v>
      </c>
      <c r="O1040" s="98" t="n">
        <v>0</v>
      </c>
      <c r="P1040" s="98" t="n">
        <v>0</v>
      </c>
      <c r="Q1040" s="98" t="n">
        <v>0</v>
      </c>
    </row>
    <row r="1041">
      <c r="A1041" t="inlineStr">
        <is>
          <t>2024-08</t>
        </is>
      </c>
      <c r="B1041" t="inlineStr">
        <is>
          <t>August</t>
        </is>
      </c>
      <c r="C1041" t="n">
        <v>8</v>
      </c>
      <c r="D1041" t="inlineStr">
        <is>
          <t>T2</t>
        </is>
      </c>
      <c r="E1041" t="inlineStr">
        <is>
          <t>Bokført</t>
        </is>
      </c>
      <c r="F1041" t="inlineStr">
        <is>
          <t>Kommunal Boenhet</t>
        </is>
      </c>
      <c r="G1041" t="n">
        <v>254</v>
      </c>
      <c r="H1041" t="inlineStr">
        <is>
          <t>Helse og mestring</t>
        </is>
      </c>
      <c r="I1041" t="inlineStr">
        <is>
          <t>3 Inntekter</t>
        </is>
      </c>
      <c r="J1041" t="inlineStr">
        <is>
          <t>17 Refusjoner</t>
        </is>
      </c>
      <c r="K1041" t="n">
        <v>1700</v>
      </c>
      <c r="L1041" t="n">
        <v>170080</v>
      </c>
      <c r="M1041" t="inlineStr">
        <is>
          <t>Øremerkede statstilskudd</t>
        </is>
      </c>
      <c r="N1041" s="98" t="n">
        <v>0</v>
      </c>
      <c r="O1041" s="98" t="n">
        <v>-7100</v>
      </c>
      <c r="P1041" s="98" t="n">
        <v>7100</v>
      </c>
      <c r="Q1041" s="98" t="n">
        <v>-7100</v>
      </c>
    </row>
    <row r="1042">
      <c r="A1042" t="inlineStr">
        <is>
          <t>2024-09</t>
        </is>
      </c>
      <c r="B1042" t="inlineStr">
        <is>
          <t>September</t>
        </is>
      </c>
      <c r="C1042" t="n">
        <v>9</v>
      </c>
      <c r="D1042" t="inlineStr">
        <is>
          <t>T3</t>
        </is>
      </c>
      <c r="E1042" t="inlineStr">
        <is>
          <t>Gjenstående budsjett</t>
        </is>
      </c>
      <c r="F1042" t="inlineStr">
        <is>
          <t>Kommunal Boenhet</t>
        </is>
      </c>
      <c r="G1042" t="n">
        <v>254</v>
      </c>
      <c r="H1042" t="inlineStr">
        <is>
          <t>Helse og mestring</t>
        </is>
      </c>
      <c r="I1042" t="inlineStr">
        <is>
          <t>3 Inntekter</t>
        </is>
      </c>
      <c r="J1042" t="inlineStr">
        <is>
          <t>17 Refusjoner</t>
        </is>
      </c>
      <c r="K1042" t="n">
        <v>1700</v>
      </c>
      <c r="L1042" t="n">
        <v>170080</v>
      </c>
      <c r="M1042" t="inlineStr">
        <is>
          <t>Øremerkede statstilskudd</t>
        </is>
      </c>
      <c r="N1042" s="98" t="n">
        <v>0</v>
      </c>
      <c r="O1042" s="98" t="n">
        <v>0</v>
      </c>
      <c r="P1042" s="98" t="n">
        <v>0</v>
      </c>
      <c r="Q1042" s="98" t="n">
        <v>0</v>
      </c>
    </row>
    <row r="1043">
      <c r="A1043" t="inlineStr">
        <is>
          <t>2024-10</t>
        </is>
      </c>
      <c r="B1043" t="inlineStr">
        <is>
          <t>Oktober</t>
        </is>
      </c>
      <c r="C1043" t="n">
        <v>10</v>
      </c>
      <c r="D1043" t="inlineStr">
        <is>
          <t>T3</t>
        </is>
      </c>
      <c r="E1043" t="inlineStr">
        <is>
          <t>Gjenstående budsjett</t>
        </is>
      </c>
      <c r="F1043" t="inlineStr">
        <is>
          <t>Kommunal Boenhet</t>
        </is>
      </c>
      <c r="G1043" t="n">
        <v>254</v>
      </c>
      <c r="H1043" t="inlineStr">
        <is>
          <t>Helse og mestring</t>
        </is>
      </c>
      <c r="I1043" t="inlineStr">
        <is>
          <t>3 Inntekter</t>
        </is>
      </c>
      <c r="J1043" t="inlineStr">
        <is>
          <t>17 Refusjoner</t>
        </is>
      </c>
      <c r="K1043" t="n">
        <v>1700</v>
      </c>
      <c r="L1043" t="n">
        <v>170080</v>
      </c>
      <c r="M1043" t="inlineStr">
        <is>
          <t>Øremerkede statstilskudd</t>
        </is>
      </c>
      <c r="N1043" s="98" t="n">
        <v>0</v>
      </c>
      <c r="O1043" s="98" t="n">
        <v>0</v>
      </c>
      <c r="P1043" s="98" t="n">
        <v>0</v>
      </c>
      <c r="Q1043" s="98" t="n">
        <v>0</v>
      </c>
    </row>
    <row r="1044">
      <c r="A1044" t="inlineStr">
        <is>
          <t>2024-11</t>
        </is>
      </c>
      <c r="B1044" t="inlineStr">
        <is>
          <t>November</t>
        </is>
      </c>
      <c r="C1044" t="n">
        <v>11</v>
      </c>
      <c r="D1044" t="inlineStr">
        <is>
          <t>T3</t>
        </is>
      </c>
      <c r="E1044" t="inlineStr">
        <is>
          <t>Gjenstående budsjett</t>
        </is>
      </c>
      <c r="F1044" t="inlineStr">
        <is>
          <t>Kommunal Boenhet</t>
        </is>
      </c>
      <c r="G1044" t="n">
        <v>254</v>
      </c>
      <c r="H1044" t="inlineStr">
        <is>
          <t>Helse og mestring</t>
        </is>
      </c>
      <c r="I1044" t="inlineStr">
        <is>
          <t>3 Inntekter</t>
        </is>
      </c>
      <c r="J1044" t="inlineStr">
        <is>
          <t>17 Refusjoner</t>
        </is>
      </c>
      <c r="K1044" t="n">
        <v>1700</v>
      </c>
      <c r="L1044" t="n">
        <v>170080</v>
      </c>
      <c r="M1044" t="inlineStr">
        <is>
          <t>Øremerkede statstilskudd</t>
        </is>
      </c>
      <c r="N1044" s="98" t="n">
        <v>0</v>
      </c>
      <c r="O1044" s="98" t="n">
        <v>0</v>
      </c>
      <c r="P1044" s="98" t="n">
        <v>0</v>
      </c>
      <c r="Q1044" s="98" t="n">
        <v>0</v>
      </c>
    </row>
    <row r="1045">
      <c r="A1045" t="inlineStr">
        <is>
          <t>2024-12</t>
        </is>
      </c>
      <c r="B1045" t="inlineStr">
        <is>
          <t>Desember</t>
        </is>
      </c>
      <c r="C1045" t="n">
        <v>12</v>
      </c>
      <c r="D1045" t="inlineStr">
        <is>
          <t>T3</t>
        </is>
      </c>
      <c r="E1045" t="inlineStr">
        <is>
          <t>Gjenstående budsjett</t>
        </is>
      </c>
      <c r="F1045" t="inlineStr">
        <is>
          <t>Kommunal Boenhet</t>
        </is>
      </c>
      <c r="G1045" t="n">
        <v>254</v>
      </c>
      <c r="H1045" t="inlineStr">
        <is>
          <t>Helse og mestring</t>
        </is>
      </c>
      <c r="I1045" t="inlineStr">
        <is>
          <t>3 Inntekter</t>
        </is>
      </c>
      <c r="J1045" t="inlineStr">
        <is>
          <t>17 Refusjoner</t>
        </is>
      </c>
      <c r="K1045" t="n">
        <v>1700</v>
      </c>
      <c r="L1045" t="n">
        <v>170080</v>
      </c>
      <c r="M1045" t="inlineStr">
        <is>
          <t>Øremerkede statstilskudd</t>
        </is>
      </c>
      <c r="N1045" s="98" t="n">
        <v>0</v>
      </c>
      <c r="O1045" s="98" t="n">
        <v>0</v>
      </c>
      <c r="P1045" s="98" t="n">
        <v>0</v>
      </c>
      <c r="Q1045" s="98" t="n">
        <v>0</v>
      </c>
    </row>
    <row r="1046">
      <c r="A1046" t="inlineStr">
        <is>
          <t>2024-01</t>
        </is>
      </c>
      <c r="B1046" t="inlineStr">
        <is>
          <t>Januar</t>
        </is>
      </c>
      <c r="C1046" t="n">
        <v>1</v>
      </c>
      <c r="D1046" t="inlineStr">
        <is>
          <t>T1</t>
        </is>
      </c>
      <c r="E1046" t="inlineStr">
        <is>
          <t>Bokført</t>
        </is>
      </c>
      <c r="F1046" t="inlineStr">
        <is>
          <t>Kommunal Boenhet</t>
        </is>
      </c>
      <c r="G1046" t="n">
        <v>254</v>
      </c>
      <c r="H1046" t="inlineStr">
        <is>
          <t>Helse og mestring</t>
        </is>
      </c>
      <c r="I1046" t="inlineStr">
        <is>
          <t>3 Inntekter</t>
        </is>
      </c>
      <c r="J1046" t="inlineStr">
        <is>
          <t>17 Refusjoner</t>
        </is>
      </c>
      <c r="K1046" t="n">
        <v>1770</v>
      </c>
      <c r="L1046" t="n">
        <v>177000</v>
      </c>
      <c r="M1046" t="inlineStr">
        <is>
          <t>Refusjon fra private</t>
        </is>
      </c>
      <c r="N1046" s="98" t="n">
        <v>0</v>
      </c>
      <c r="O1046" s="98" t="n">
        <v>0</v>
      </c>
      <c r="P1046" s="98" t="n">
        <v>0</v>
      </c>
      <c r="Q1046" s="98" t="n">
        <v>0</v>
      </c>
    </row>
    <row r="1047">
      <c r="A1047" t="inlineStr">
        <is>
          <t>2024-02</t>
        </is>
      </c>
      <c r="B1047" t="inlineStr">
        <is>
          <t>Februar</t>
        </is>
      </c>
      <c r="C1047" t="n">
        <v>2</v>
      </c>
      <c r="D1047" t="inlineStr">
        <is>
          <t>T1</t>
        </is>
      </c>
      <c r="E1047" t="inlineStr">
        <is>
          <t>Bokført</t>
        </is>
      </c>
      <c r="F1047" t="inlineStr">
        <is>
          <t>Kommunal Boenhet</t>
        </is>
      </c>
      <c r="G1047" t="n">
        <v>254</v>
      </c>
      <c r="H1047" t="inlineStr">
        <is>
          <t>Helse og mestring</t>
        </is>
      </c>
      <c r="I1047" t="inlineStr">
        <is>
          <t>3 Inntekter</t>
        </is>
      </c>
      <c r="J1047" t="inlineStr">
        <is>
          <t>17 Refusjoner</t>
        </is>
      </c>
      <c r="K1047" t="n">
        <v>1770</v>
      </c>
      <c r="L1047" t="n">
        <v>177000</v>
      </c>
      <c r="M1047" t="inlineStr">
        <is>
          <t>Refusjon fra private</t>
        </is>
      </c>
      <c r="N1047" s="98" t="n">
        <v>0</v>
      </c>
      <c r="O1047" s="98" t="n">
        <v>0</v>
      </c>
      <c r="P1047" s="98" t="n">
        <v>0</v>
      </c>
      <c r="Q1047" s="98" t="n">
        <v>0</v>
      </c>
    </row>
    <row r="1048">
      <c r="A1048" t="inlineStr">
        <is>
          <t>2024-03</t>
        </is>
      </c>
      <c r="B1048" t="inlineStr">
        <is>
          <t>Mars</t>
        </is>
      </c>
      <c r="C1048" t="n">
        <v>3</v>
      </c>
      <c r="D1048" t="inlineStr">
        <is>
          <t>T1</t>
        </is>
      </c>
      <c r="E1048" t="inlineStr">
        <is>
          <t>Bokført</t>
        </is>
      </c>
      <c r="F1048" t="inlineStr">
        <is>
          <t>Kommunal Boenhet</t>
        </is>
      </c>
      <c r="G1048" t="n">
        <v>254</v>
      </c>
      <c r="H1048" t="inlineStr">
        <is>
          <t>Helse og mestring</t>
        </is>
      </c>
      <c r="I1048" t="inlineStr">
        <is>
          <t>3 Inntekter</t>
        </is>
      </c>
      <c r="J1048" t="inlineStr">
        <is>
          <t>17 Refusjoner</t>
        </is>
      </c>
      <c r="K1048" t="n">
        <v>1770</v>
      </c>
      <c r="L1048" t="n">
        <v>177000</v>
      </c>
      <c r="M1048" t="inlineStr">
        <is>
          <t>Refusjon fra private</t>
        </is>
      </c>
      <c r="N1048" s="98" t="n">
        <v>0</v>
      </c>
      <c r="O1048" s="98" t="n">
        <v>0</v>
      </c>
      <c r="P1048" s="98" t="n">
        <v>0</v>
      </c>
      <c r="Q1048" s="98" t="n">
        <v>0</v>
      </c>
    </row>
    <row r="1049">
      <c r="A1049" t="inlineStr">
        <is>
          <t>2024-04</t>
        </is>
      </c>
      <c r="B1049" t="inlineStr">
        <is>
          <t>April</t>
        </is>
      </c>
      <c r="C1049" t="n">
        <v>4</v>
      </c>
      <c r="D1049" t="inlineStr">
        <is>
          <t>T1</t>
        </is>
      </c>
      <c r="E1049" t="inlineStr">
        <is>
          <t>Bokført</t>
        </is>
      </c>
      <c r="F1049" t="inlineStr">
        <is>
          <t>Kommunal Boenhet</t>
        </is>
      </c>
      <c r="G1049" t="n">
        <v>254</v>
      </c>
      <c r="H1049" t="inlineStr">
        <is>
          <t>Helse og mestring</t>
        </is>
      </c>
      <c r="I1049" t="inlineStr">
        <is>
          <t>3 Inntekter</t>
        </is>
      </c>
      <c r="J1049" t="inlineStr">
        <is>
          <t>17 Refusjoner</t>
        </is>
      </c>
      <c r="K1049" t="n">
        <v>1770</v>
      </c>
      <c r="L1049" t="n">
        <v>177000</v>
      </c>
      <c r="M1049" t="inlineStr">
        <is>
          <t>Refusjon fra private</t>
        </is>
      </c>
      <c r="N1049" s="98" t="n">
        <v>0</v>
      </c>
      <c r="O1049" s="98" t="n">
        <v>0</v>
      </c>
      <c r="P1049" s="98" t="n">
        <v>0</v>
      </c>
      <c r="Q1049" s="98" t="n">
        <v>0</v>
      </c>
    </row>
    <row r="1050">
      <c r="A1050" t="inlineStr">
        <is>
          <t>2024-05</t>
        </is>
      </c>
      <c r="B1050" t="inlineStr">
        <is>
          <t>Mai</t>
        </is>
      </c>
      <c r="C1050" t="n">
        <v>5</v>
      </c>
      <c r="D1050" t="inlineStr">
        <is>
          <t>T2</t>
        </is>
      </c>
      <c r="E1050" t="inlineStr">
        <is>
          <t>Bokført</t>
        </is>
      </c>
      <c r="F1050" t="inlineStr">
        <is>
          <t>Kommunal Boenhet</t>
        </is>
      </c>
      <c r="G1050" t="n">
        <v>254</v>
      </c>
      <c r="H1050" t="inlineStr">
        <is>
          <t>Helse og mestring</t>
        </is>
      </c>
      <c r="I1050" t="inlineStr">
        <is>
          <t>3 Inntekter</t>
        </is>
      </c>
      <c r="J1050" t="inlineStr">
        <is>
          <t>17 Refusjoner</t>
        </is>
      </c>
      <c r="K1050" t="n">
        <v>1770</v>
      </c>
      <c r="L1050" t="n">
        <v>177000</v>
      </c>
      <c r="M1050" t="inlineStr">
        <is>
          <t>Refusjon fra private</t>
        </is>
      </c>
      <c r="N1050" s="98" t="n">
        <v>0</v>
      </c>
      <c r="O1050" s="98" t="n">
        <v>0</v>
      </c>
      <c r="P1050" s="98" t="n">
        <v>0</v>
      </c>
      <c r="Q1050" s="98" t="n">
        <v>0</v>
      </c>
    </row>
    <row r="1051">
      <c r="A1051" t="inlineStr">
        <is>
          <t>2024-06</t>
        </is>
      </c>
      <c r="B1051" t="inlineStr">
        <is>
          <t>Juni</t>
        </is>
      </c>
      <c r="C1051" t="n">
        <v>6</v>
      </c>
      <c r="D1051" t="inlineStr">
        <is>
          <t>T2</t>
        </is>
      </c>
      <c r="E1051" t="inlineStr">
        <is>
          <t>Bokført</t>
        </is>
      </c>
      <c r="F1051" t="inlineStr">
        <is>
          <t>Kommunal Boenhet</t>
        </is>
      </c>
      <c r="G1051" t="n">
        <v>254</v>
      </c>
      <c r="H1051" t="inlineStr">
        <is>
          <t>Helse og mestring</t>
        </is>
      </c>
      <c r="I1051" t="inlineStr">
        <is>
          <t>3 Inntekter</t>
        </is>
      </c>
      <c r="J1051" t="inlineStr">
        <is>
          <t>17 Refusjoner</t>
        </is>
      </c>
      <c r="K1051" t="n">
        <v>1770</v>
      </c>
      <c r="L1051" t="n">
        <v>177000</v>
      </c>
      <c r="M1051" t="inlineStr">
        <is>
          <t>Refusjon fra private</t>
        </is>
      </c>
      <c r="N1051" s="98" t="n">
        <v>0</v>
      </c>
      <c r="O1051" s="98" t="n">
        <v>0</v>
      </c>
      <c r="P1051" s="98" t="n">
        <v>0</v>
      </c>
      <c r="Q1051" s="98" t="n">
        <v>0</v>
      </c>
    </row>
    <row r="1052">
      <c r="A1052" t="inlineStr">
        <is>
          <t>2024-07</t>
        </is>
      </c>
      <c r="B1052" t="inlineStr">
        <is>
          <t>Juli</t>
        </is>
      </c>
      <c r="C1052" t="n">
        <v>7</v>
      </c>
      <c r="D1052" t="inlineStr">
        <is>
          <t>T2</t>
        </is>
      </c>
      <c r="E1052" t="inlineStr">
        <is>
          <t>Bokført</t>
        </is>
      </c>
      <c r="F1052" t="inlineStr">
        <is>
          <t>Kommunal Boenhet</t>
        </is>
      </c>
      <c r="G1052" t="n">
        <v>254</v>
      </c>
      <c r="H1052" t="inlineStr">
        <is>
          <t>Helse og mestring</t>
        </is>
      </c>
      <c r="I1052" t="inlineStr">
        <is>
          <t>3 Inntekter</t>
        </is>
      </c>
      <c r="J1052" t="inlineStr">
        <is>
          <t>17 Refusjoner</t>
        </is>
      </c>
      <c r="K1052" t="n">
        <v>1770</v>
      </c>
      <c r="L1052" t="n">
        <v>177000</v>
      </c>
      <c r="M1052" t="inlineStr">
        <is>
          <t>Refusjon fra private</t>
        </is>
      </c>
      <c r="N1052" s="98" t="n">
        <v>0</v>
      </c>
      <c r="O1052" s="98" t="n">
        <v>0</v>
      </c>
      <c r="P1052" s="98" t="n">
        <v>0</v>
      </c>
      <c r="Q1052" s="98" t="n">
        <v>0</v>
      </c>
    </row>
    <row r="1053">
      <c r="A1053" t="inlineStr">
        <is>
          <t>2024-08</t>
        </is>
      </c>
      <c r="B1053" t="inlineStr">
        <is>
          <t>August</t>
        </is>
      </c>
      <c r="C1053" t="n">
        <v>8</v>
      </c>
      <c r="D1053" t="inlineStr">
        <is>
          <t>T2</t>
        </is>
      </c>
      <c r="E1053" t="inlineStr">
        <is>
          <t>Bokført</t>
        </is>
      </c>
      <c r="F1053" t="inlineStr">
        <is>
          <t>Kommunal Boenhet</t>
        </is>
      </c>
      <c r="G1053" t="n">
        <v>254</v>
      </c>
      <c r="H1053" t="inlineStr">
        <is>
          <t>Helse og mestring</t>
        </is>
      </c>
      <c r="I1053" t="inlineStr">
        <is>
          <t>3 Inntekter</t>
        </is>
      </c>
      <c r="J1053" t="inlineStr">
        <is>
          <t>17 Refusjoner</t>
        </is>
      </c>
      <c r="K1053" t="n">
        <v>1770</v>
      </c>
      <c r="L1053" t="n">
        <v>177000</v>
      </c>
      <c r="M1053" t="inlineStr">
        <is>
          <t>Refusjon fra private</t>
        </is>
      </c>
      <c r="N1053" s="98" t="n">
        <v>0</v>
      </c>
      <c r="O1053" s="98" t="n">
        <v>-960</v>
      </c>
      <c r="P1053" s="98" t="n">
        <v>960</v>
      </c>
      <c r="Q1053" s="98" t="n">
        <v>-960</v>
      </c>
    </row>
    <row r="1054">
      <c r="A1054" t="inlineStr">
        <is>
          <t>2024-09</t>
        </is>
      </c>
      <c r="B1054" t="inlineStr">
        <is>
          <t>September</t>
        </is>
      </c>
      <c r="C1054" t="n">
        <v>9</v>
      </c>
      <c r="D1054" t="inlineStr">
        <is>
          <t>T3</t>
        </is>
      </c>
      <c r="E1054" t="inlineStr">
        <is>
          <t>Gjenstående budsjett</t>
        </is>
      </c>
      <c r="F1054" t="inlineStr">
        <is>
          <t>Kommunal Boenhet</t>
        </is>
      </c>
      <c r="G1054" t="n">
        <v>254</v>
      </c>
      <c r="H1054" t="inlineStr">
        <is>
          <t>Helse og mestring</t>
        </is>
      </c>
      <c r="I1054" t="inlineStr">
        <is>
          <t>3 Inntekter</t>
        </is>
      </c>
      <c r="J1054" t="inlineStr">
        <is>
          <t>17 Refusjoner</t>
        </is>
      </c>
      <c r="K1054" t="n">
        <v>1770</v>
      </c>
      <c r="L1054" t="n">
        <v>177000</v>
      </c>
      <c r="M1054" t="inlineStr">
        <is>
          <t>Refusjon fra private</t>
        </is>
      </c>
      <c r="N1054" s="98" t="n">
        <v>0</v>
      </c>
      <c r="O1054" s="98" t="n">
        <v>0</v>
      </c>
      <c r="P1054" s="98" t="n">
        <v>0</v>
      </c>
      <c r="Q1054" s="98" t="n">
        <v>0</v>
      </c>
    </row>
    <row r="1055">
      <c r="A1055" t="inlineStr">
        <is>
          <t>2024-10</t>
        </is>
      </c>
      <c r="B1055" t="inlineStr">
        <is>
          <t>Oktober</t>
        </is>
      </c>
      <c r="C1055" t="n">
        <v>10</v>
      </c>
      <c r="D1055" t="inlineStr">
        <is>
          <t>T3</t>
        </is>
      </c>
      <c r="E1055" t="inlineStr">
        <is>
          <t>Gjenstående budsjett</t>
        </is>
      </c>
      <c r="F1055" t="inlineStr">
        <is>
          <t>Kommunal Boenhet</t>
        </is>
      </c>
      <c r="G1055" t="n">
        <v>254</v>
      </c>
      <c r="H1055" t="inlineStr">
        <is>
          <t>Helse og mestring</t>
        </is>
      </c>
      <c r="I1055" t="inlineStr">
        <is>
          <t>3 Inntekter</t>
        </is>
      </c>
      <c r="J1055" t="inlineStr">
        <is>
          <t>17 Refusjoner</t>
        </is>
      </c>
      <c r="K1055" t="n">
        <v>1770</v>
      </c>
      <c r="L1055" t="n">
        <v>177000</v>
      </c>
      <c r="M1055" t="inlineStr">
        <is>
          <t>Refusjon fra private</t>
        </is>
      </c>
      <c r="N1055" s="98" t="n">
        <v>0</v>
      </c>
      <c r="O1055" s="98" t="n">
        <v>0</v>
      </c>
      <c r="P1055" s="98" t="n">
        <v>0</v>
      </c>
      <c r="Q1055" s="98" t="n">
        <v>0</v>
      </c>
    </row>
    <row r="1056">
      <c r="A1056" t="inlineStr">
        <is>
          <t>2024-11</t>
        </is>
      </c>
      <c r="B1056" t="inlineStr">
        <is>
          <t>November</t>
        </is>
      </c>
      <c r="C1056" t="n">
        <v>11</v>
      </c>
      <c r="D1056" t="inlineStr">
        <is>
          <t>T3</t>
        </is>
      </c>
      <c r="E1056" t="inlineStr">
        <is>
          <t>Gjenstående budsjett</t>
        </is>
      </c>
      <c r="F1056" t="inlineStr">
        <is>
          <t>Kommunal Boenhet</t>
        </is>
      </c>
      <c r="G1056" t="n">
        <v>254</v>
      </c>
      <c r="H1056" t="inlineStr">
        <is>
          <t>Helse og mestring</t>
        </is>
      </c>
      <c r="I1056" t="inlineStr">
        <is>
          <t>3 Inntekter</t>
        </is>
      </c>
      <c r="J1056" t="inlineStr">
        <is>
          <t>17 Refusjoner</t>
        </is>
      </c>
      <c r="K1056" t="n">
        <v>1770</v>
      </c>
      <c r="L1056" t="n">
        <v>177000</v>
      </c>
      <c r="M1056" t="inlineStr">
        <is>
          <t>Refusjon fra private</t>
        </is>
      </c>
      <c r="N1056" s="98" t="n">
        <v>0</v>
      </c>
      <c r="O1056" s="98" t="n">
        <v>0</v>
      </c>
      <c r="P1056" s="98" t="n">
        <v>0</v>
      </c>
      <c r="Q1056" s="98" t="n">
        <v>0</v>
      </c>
    </row>
    <row r="1057">
      <c r="A1057" t="inlineStr">
        <is>
          <t>2024-12</t>
        </is>
      </c>
      <c r="B1057" t="inlineStr">
        <is>
          <t>Desember</t>
        </is>
      </c>
      <c r="C1057" t="n">
        <v>12</v>
      </c>
      <c r="D1057" t="inlineStr">
        <is>
          <t>T3</t>
        </is>
      </c>
      <c r="E1057" t="inlineStr">
        <is>
          <t>Gjenstående budsjett</t>
        </is>
      </c>
      <c r="F1057" t="inlineStr">
        <is>
          <t>Kommunal Boenhet</t>
        </is>
      </c>
      <c r="G1057" t="n">
        <v>254</v>
      </c>
      <c r="H1057" t="inlineStr">
        <is>
          <t>Helse og mestring</t>
        </is>
      </c>
      <c r="I1057" t="inlineStr">
        <is>
          <t>3 Inntekter</t>
        </is>
      </c>
      <c r="J1057" t="inlineStr">
        <is>
          <t>17 Refusjoner</t>
        </is>
      </c>
      <c r="K1057" t="n">
        <v>1770</v>
      </c>
      <c r="L1057" t="n">
        <v>177000</v>
      </c>
      <c r="M1057" t="inlineStr">
        <is>
          <t>Refusjon fra private</t>
        </is>
      </c>
      <c r="N1057" s="98" t="n">
        <v>0</v>
      </c>
      <c r="O1057" s="98" t="n">
        <v>0</v>
      </c>
      <c r="P1057" s="98" t="n">
        <v>0</v>
      </c>
      <c r="Q1057" s="98" t="n">
        <v>0</v>
      </c>
    </row>
  </sheetData>
  <conditionalFormatting sqref="Q2:Q1057">
    <cfRule type="expression" priority="1" dxfId="1">
      <formula>AND($E2="Bokført",ISNUMBER($Q2),$Q2&gt;0)</formula>
    </cfRule>
    <cfRule type="expression" priority="2" dxfId="0">
      <formula>AND($E2="Bokført",ISNUMBER($Q2),$Q2&lt;0)</formula>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C89"/>
  <sheetViews>
    <sheetView workbookViewId="0">
      <selection activeCell="A1" sqref="A1"/>
    </sheetView>
  </sheetViews>
  <sheetFormatPr baseColWidth="8" defaultRowHeight="14.5"/>
  <cols>
    <col width="15.90625" bestFit="1" customWidth="1" style="5" min="1" max="1"/>
    <col width="14.1796875" bestFit="1" customWidth="1" style="5" min="2" max="2"/>
    <col width="7.6328125" bestFit="1" customWidth="1" style="5" min="4" max="4"/>
    <col width="11.453125" bestFit="1" customWidth="1" style="5" min="5" max="5"/>
    <col width="12.54296875" bestFit="1" customWidth="1" style="5" min="6" max="6"/>
    <col width="14.1796875" bestFit="1" customWidth="1" style="5" min="7" max="7"/>
    <col width="7.6328125" bestFit="1" customWidth="1" style="5" min="9" max="9"/>
    <col width="14.1796875" bestFit="1" customWidth="1" style="5" min="10" max="10"/>
    <col width="12.54296875" bestFit="1" customWidth="1" style="5" min="12" max="12"/>
    <col width="14.1796875" bestFit="1" customWidth="1" style="5" min="13" max="13"/>
  </cols>
  <sheetData>
    <row r="1">
      <c r="A1" t="inlineStr">
        <is>
          <t>Undergruppe</t>
        </is>
      </c>
      <c r="B1" t="inlineStr">
        <is>
          <t>Merforbruk (kr)</t>
        </is>
      </c>
      <c r="C1" t="inlineStr">
        <is>
          <t>Rang · undergruppe</t>
        </is>
      </c>
      <c r="D1" t="inlineStr">
        <is>
          <t>Periode</t>
        </is>
      </c>
      <c r="E1" t="inlineStr">
        <is>
          <t>Budsjett (kr)</t>
        </is>
      </c>
      <c r="F1" t="inlineStr">
        <is>
          <t>Regnskap (kr)</t>
        </is>
      </c>
      <c r="G1" t="inlineStr">
        <is>
          <t>Merforbruk (kr)</t>
        </is>
      </c>
      <c r="I1" t="inlineStr">
        <is>
          <t>Periode</t>
        </is>
      </c>
      <c r="J1" t="inlineStr">
        <is>
          <t>Merforbruk (kr)</t>
        </is>
      </c>
      <c r="L1" t="inlineStr">
        <is>
          <t>Hovedgruppe</t>
        </is>
      </c>
      <c r="M1" t="inlineStr">
        <is>
          <t>Merforbruk (kr)</t>
        </is>
      </c>
      <c r="N1" t="inlineStr">
        <is>
          <t>Rang · hovedgruppe</t>
        </is>
      </c>
      <c r="O1" t="inlineStr">
        <is>
          <t>Konto · beskrivelse</t>
        </is>
      </c>
      <c r="P1" t="inlineStr">
        <is>
          <t>Merforbruk (kr)</t>
        </is>
      </c>
      <c r="Q1" t="inlineStr">
        <is>
          <t>Rang merforbruk</t>
        </is>
      </c>
      <c r="S1" t="inlineStr">
        <is>
          <t>Topp 10 konto · minste nederst</t>
        </is>
      </c>
      <c r="T1" t="inlineStr">
        <is>
          <t>Merforbruk (kr)</t>
        </is>
      </c>
      <c r="V1" t="inlineStr">
        <is>
          <t>Hovedgruppe · stigende kilde</t>
        </is>
      </c>
      <c r="W1" t="inlineStr">
        <is>
          <t>Merforbruk (kr)</t>
        </is>
      </c>
      <c r="X1" t="inlineStr">
        <is>
          <t>Undergruppe · stigende kilde</t>
        </is>
      </c>
      <c r="Y1" t="inlineStr">
        <is>
          <t>Merforbruk (kr)</t>
        </is>
      </c>
      <c r="AA1" t="inlineStr">
        <is>
          <t>Periode</t>
        </is>
      </c>
      <c r="AB1" t="inlineStr">
        <is>
          <t>Merforbruk &gt; 0 (kr)</t>
        </is>
      </c>
      <c r="AC1" t="inlineStr">
        <is>
          <t>Mindreforbruk &lt; 0 (kr)</t>
        </is>
      </c>
    </row>
    <row r="2">
      <c r="A2" t="inlineStr">
        <is>
          <t>10 Lønn</t>
        </is>
      </c>
      <c r="B2" s="28">
        <f>IFERROR(GETPIVOTDATA("Sum Merforbruk",'Pivot - kontoplan'!$B$22,"Undergruppe",A2),0)</f>
        <v/>
      </c>
      <c r="C2" s="28">
        <f>COUNTIF($B$2:$B$7,"&gt;"&amp;B2)+COUNTIF($B$2:B2,B2)</f>
        <v/>
      </c>
      <c r="D2" t="inlineStr">
        <is>
          <t>2024-01</t>
        </is>
      </c>
      <c r="E2" s="28">
        <f>IFERROR(GETPIVOTDATA("Sum Budsjett",'Pivot - måned'!$B$9,"Periode",D2),0)</f>
        <v/>
      </c>
      <c r="F2" s="28">
        <f>IFERROR(GETPIVOTDATA("Sum Regnskap",'Pivot - måned'!$B$9,"Periode",D2),0)</f>
        <v/>
      </c>
      <c r="G2" s="28">
        <f>IFERROR(GETPIVOTDATA("Sum Merforbruk",'Pivot - måned'!$B$9,"Periode",D2),0)</f>
        <v/>
      </c>
      <c r="I2" t="inlineStr">
        <is>
          <t>2024-01</t>
        </is>
      </c>
      <c r="J2" s="28">
        <f>G2</f>
        <v/>
      </c>
      <c r="L2" t="inlineStr">
        <is>
          <t>1 Lønn</t>
        </is>
      </c>
      <c r="M2" s="28">
        <f>IFERROR(GETPIVOTDATA("Sum Merforbruk",'Pivot - kontoplan'!$B$9,"Hovedgruppe",L2),0)</f>
        <v/>
      </c>
      <c r="N2" s="28">
        <f>COUNTIF($M$2:$M$4,"&gt;"&amp;M2)+COUNTIF($M$2:M2,M2)</f>
        <v/>
      </c>
      <c r="O2" t="inlineStr">
        <is>
          <t>101000 · Fastlønn - ordinære</t>
        </is>
      </c>
      <c r="P2" s="28">
        <f>SUMIFS(tbl_BoMiljo[Merforbruk],tbl_BoMiljo[Status],"Bokført",tbl_BoMiljo[Kontokode],N2)</f>
        <v/>
      </c>
      <c r="Q2">
        <f>IF(P2&gt;0,COUNTIF($P$2:$P$89,"&gt;"&amp;P2)+COUNTIF($P$2:P2,P2),"")</f>
        <v/>
      </c>
      <c r="S2">
        <f>IFERROR(INDEX($O$2:$O$89,MATCH(11-ROW(A1),$Q$2:$Q$89,0)),"")</f>
        <v/>
      </c>
      <c r="T2" s="28">
        <f>IFERROR(INDEX($P$2:$P$89,MATCH(11-ROW(A1),$Q$2:$Q$89,0)),0)</f>
        <v/>
      </c>
      <c r="V2">
        <f>INDEX($L$2:$L$4,MATCH(4-ROWS($V$2:V2),$N$2:$N$4,0))</f>
        <v/>
      </c>
      <c r="W2" s="28">
        <f>INDEX($M$2:$M$4,MATCH(4-ROWS($V$2:V2),$N$2:$N$4,0))</f>
        <v/>
      </c>
      <c r="X2">
        <f>INDEX($A$2:$A$7,MATCH(7-ROWS($X$2:X2),$C$2:$C$7,0))</f>
        <v/>
      </c>
      <c r="Y2" s="28">
        <f>INDEX($B$2:$B$7,MATCH(7-ROWS($X$2:X2),$C$2:$C$7,0))</f>
        <v/>
      </c>
      <c r="AA2">
        <f>I2</f>
        <v/>
      </c>
      <c r="AB2" s="28">
        <f>MAX(J2,0)</f>
        <v/>
      </c>
      <c r="AC2" s="28">
        <f>MIN(J2,0)</f>
        <v/>
      </c>
    </row>
    <row r="3">
      <c r="A3" t="inlineStr">
        <is>
          <t>11 Refusjon lønn</t>
        </is>
      </c>
      <c r="B3" s="28">
        <f>IFERROR(GETPIVOTDATA("Sum Merforbruk",'Pivot - kontoplan'!$B$22,"Undergruppe",A3),0)</f>
        <v/>
      </c>
      <c r="C3">
        <f>COUNTIF($B$2:$B$7,"&gt;"&amp;B3)+COUNTIF($B$2:B3,B3)</f>
        <v/>
      </c>
      <c r="D3" t="inlineStr">
        <is>
          <t>2024-02</t>
        </is>
      </c>
      <c r="E3" s="28">
        <f>IFERROR(GETPIVOTDATA("Sum Budsjett",'Pivot - måned'!$B$9,"Periode",D3),0)</f>
        <v/>
      </c>
      <c r="F3" s="28">
        <f>IFERROR(GETPIVOTDATA("Sum Regnskap",'Pivot - måned'!$B$9,"Periode",D3),0)</f>
        <v/>
      </c>
      <c r="G3" s="28">
        <f>IFERROR(GETPIVOTDATA("Sum Merforbruk",'Pivot - måned'!$B$9,"Periode",D3),0)</f>
        <v/>
      </c>
      <c r="I3" t="inlineStr">
        <is>
          <t>2024-02</t>
        </is>
      </c>
      <c r="J3" s="28">
        <f>G3</f>
        <v/>
      </c>
      <c r="L3" t="inlineStr">
        <is>
          <t>2 Utgifter</t>
        </is>
      </c>
      <c r="M3" s="28">
        <f>IFERROR(GETPIVOTDATA("Sum Merforbruk",'Pivot - kontoplan'!$B$9,"Hovedgruppe",L3),0)</f>
        <v/>
      </c>
      <c r="N3">
        <f>COUNTIF($M$2:$M$4,"&gt;"&amp;M3)+COUNTIF($M$2:M3,M3)</f>
        <v/>
      </c>
      <c r="O3" t="inlineStr">
        <is>
          <t>101030 · Fastlønn - lørdags- og søndagstillegg</t>
        </is>
      </c>
      <c r="P3" s="28">
        <f>SUMIFS(tbl_BoMiljo[Merforbruk],tbl_BoMiljo[Status],"Bokført",tbl_BoMiljo[Kontokode],N3)</f>
        <v/>
      </c>
      <c r="Q3">
        <f>IF(P3&gt;0,COUNTIF($P$2:$P$89,"&gt;"&amp;P3)+COUNTIF($P$2:P3,P3),"")</f>
        <v/>
      </c>
      <c r="S3">
        <f>IFERROR(INDEX($O$2:$O$89,MATCH(11-ROW(A2),$Q$2:$Q$89,0)),"")</f>
        <v/>
      </c>
      <c r="T3" s="28">
        <f>IFERROR(INDEX($P$2:$P$89,MATCH(11-ROW(A2),$Q$2:$Q$89,0)),0)</f>
        <v/>
      </c>
      <c r="V3">
        <f>INDEX($L$2:$L$4,MATCH(4-ROWS($V$2:V3),$N$2:$N$4,0))</f>
        <v/>
      </c>
      <c r="W3" s="28">
        <f>INDEX($M$2:$M$4,MATCH(4-ROWS($V$2:V3),$N$2:$N$4,0))</f>
        <v/>
      </c>
      <c r="X3">
        <f>INDEX($A$2:$A$7,MATCH(7-ROWS($X$2:X3),$C$2:$C$7,0))</f>
        <v/>
      </c>
      <c r="Y3" s="28">
        <f>INDEX($B$2:$B$7,MATCH(7-ROWS($X$2:X3),$C$2:$C$7,0))</f>
        <v/>
      </c>
      <c r="AA3">
        <f>I3</f>
        <v/>
      </c>
      <c r="AB3" s="28">
        <f>MAX(J3,0)</f>
        <v/>
      </c>
      <c r="AC3" s="28">
        <f>MIN(J3,0)</f>
        <v/>
      </c>
    </row>
    <row r="4">
      <c r="A4" t="inlineStr">
        <is>
          <t>14 Overføringer</t>
        </is>
      </c>
      <c r="B4" s="28">
        <f>IFERROR(GETPIVOTDATA("Sum Merforbruk",'Pivot - kontoplan'!$B$22,"Undergruppe",A4),0)</f>
        <v/>
      </c>
      <c r="C4">
        <f>COUNTIF($B$2:$B$7,"&gt;"&amp;B4)+COUNTIF($B$2:B4,B4)</f>
        <v/>
      </c>
      <c r="D4" t="inlineStr">
        <is>
          <t>2024-03</t>
        </is>
      </c>
      <c r="E4" s="28">
        <f>IFERROR(GETPIVOTDATA("Sum Budsjett",'Pivot - måned'!$B$9,"Periode",D4),0)</f>
        <v/>
      </c>
      <c r="F4" s="28">
        <f>IFERROR(GETPIVOTDATA("Sum Regnskap",'Pivot - måned'!$B$9,"Periode",D4),0)</f>
        <v/>
      </c>
      <c r="G4" s="28">
        <f>IFERROR(GETPIVOTDATA("Sum Merforbruk",'Pivot - måned'!$B$9,"Periode",D4),0)</f>
        <v/>
      </c>
      <c r="I4" t="inlineStr">
        <is>
          <t>2024-03</t>
        </is>
      </c>
      <c r="J4" s="28">
        <f>G4</f>
        <v/>
      </c>
      <c r="L4" t="inlineStr">
        <is>
          <t>3 Inntekter</t>
        </is>
      </c>
      <c r="M4" s="28">
        <f>IFERROR(GETPIVOTDATA("Sum Merforbruk",'Pivot - kontoplan'!$B$9,"Hovedgruppe",L4),0)</f>
        <v/>
      </c>
      <c r="N4">
        <f>COUNTIF($M$2:$M$4,"&gt;"&amp;M4)+COUNTIF($M$2:M4,M4)</f>
        <v/>
      </c>
      <c r="O4" t="inlineStr">
        <is>
          <t>101031 · Fastlønn - kvelds- og nattillegg</t>
        </is>
      </c>
      <c r="P4" s="28">
        <f>SUMIFS(tbl_BoMiljo[Merforbruk],tbl_BoMiljo[Status],"Bokført",tbl_BoMiljo[Kontokode],N4)</f>
        <v/>
      </c>
      <c r="Q4">
        <f>IF(P4&gt;0,COUNTIF($P$2:$P$89,"&gt;"&amp;P4)+COUNTIF($P$2:P4,P4),"")</f>
        <v/>
      </c>
      <c r="S4">
        <f>IFERROR(INDEX($O$2:$O$89,MATCH(11-ROW(A3),$Q$2:$Q$89,0)),"")</f>
        <v/>
      </c>
      <c r="T4" s="28">
        <f>IFERROR(INDEX($P$2:$P$89,MATCH(11-ROW(A3),$Q$2:$Q$89,0)),0)</f>
        <v/>
      </c>
      <c r="V4">
        <f>INDEX($L$2:$L$4,MATCH(4-ROWS($V$2:V4),$N$2:$N$4,0))</f>
        <v/>
      </c>
      <c r="W4" s="28">
        <f>INDEX($M$2:$M$4,MATCH(4-ROWS($V$2:V4),$N$2:$N$4,0))</f>
        <v/>
      </c>
      <c r="X4">
        <f>INDEX($A$2:$A$7,MATCH(7-ROWS($X$2:X4),$C$2:$C$7,0))</f>
        <v/>
      </c>
      <c r="Y4" s="28">
        <f>INDEX($B$2:$B$7,MATCH(7-ROWS($X$2:X4),$C$2:$C$7,0))</f>
        <v/>
      </c>
      <c r="AA4">
        <f>I4</f>
        <v/>
      </c>
      <c r="AB4" s="28">
        <f>MAX(J4,0)</f>
        <v/>
      </c>
      <c r="AC4" s="28">
        <f>MIN(J4,0)</f>
        <v/>
      </c>
    </row>
    <row r="5">
      <c r="A5" t="inlineStr">
        <is>
          <t>15 Finansutgifter</t>
        </is>
      </c>
      <c r="B5" s="28">
        <f>IFERROR(GETPIVOTDATA("Sum Merforbruk",'Pivot - kontoplan'!$B$22,"Undergruppe",A5),0)</f>
        <v/>
      </c>
      <c r="C5">
        <f>COUNTIF($B$2:$B$7,"&gt;"&amp;B5)+COUNTIF($B$2:B5,B5)</f>
        <v/>
      </c>
      <c r="D5" t="inlineStr">
        <is>
          <t>2024-04</t>
        </is>
      </c>
      <c r="E5" s="28">
        <f>IFERROR(GETPIVOTDATA("Sum Budsjett",'Pivot - måned'!$B$9,"Periode",D5),0)</f>
        <v/>
      </c>
      <c r="F5" s="28">
        <f>IFERROR(GETPIVOTDATA("Sum Regnskap",'Pivot - måned'!$B$9,"Periode",D5),0)</f>
        <v/>
      </c>
      <c r="G5" s="28">
        <f>IFERROR(GETPIVOTDATA("Sum Merforbruk",'Pivot - måned'!$B$9,"Periode",D5),0)</f>
        <v/>
      </c>
      <c r="I5" t="inlineStr">
        <is>
          <t>2024-04</t>
        </is>
      </c>
      <c r="J5" s="28">
        <f>G5</f>
        <v/>
      </c>
      <c r="N5" t="n">
        <v>101032</v>
      </c>
      <c r="O5" t="inlineStr">
        <is>
          <t>101032 · Fastlønn - helligdagstillegg</t>
        </is>
      </c>
      <c r="P5" s="28">
        <f>SUMIFS(tbl_BoMiljo[Merforbruk],tbl_BoMiljo[Status],"Bokført",tbl_BoMiljo[Kontokode],N5)</f>
        <v/>
      </c>
      <c r="Q5">
        <f>IF(P5&gt;0,COUNTIF($P$2:$P$89,"&gt;"&amp;P5)+COUNTIF($P$2:P5,P5),"")</f>
        <v/>
      </c>
      <c r="S5">
        <f>IFERROR(INDEX($O$2:$O$89,MATCH(11-ROW(A4),$Q$2:$Q$89,0)),"")</f>
        <v/>
      </c>
      <c r="T5" s="28">
        <f>IFERROR(INDEX($P$2:$P$89,MATCH(11-ROW(A4),$Q$2:$Q$89,0)),0)</f>
        <v/>
      </c>
      <c r="X5">
        <f>INDEX($A$2:$A$7,MATCH(7-ROWS($X$2:X5),$C$2:$C$7,0))</f>
        <v/>
      </c>
      <c r="Y5" s="28">
        <f>INDEX($B$2:$B$7,MATCH(7-ROWS($X$2:X5),$C$2:$C$7,0))</f>
        <v/>
      </c>
      <c r="AA5">
        <f>I5</f>
        <v/>
      </c>
      <c r="AB5" s="28">
        <f>MAX(J5,0)</f>
        <v/>
      </c>
      <c r="AC5" s="28">
        <f>MIN(J5,0)</f>
        <v/>
      </c>
    </row>
    <row r="6">
      <c r="A6" t="inlineStr">
        <is>
          <t>16 Brukerbetaling</t>
        </is>
      </c>
      <c r="B6" s="28">
        <f>IFERROR(GETPIVOTDATA("Sum Merforbruk",'Pivot - kontoplan'!$B$22,"Undergruppe",A6),0)</f>
        <v/>
      </c>
      <c r="C6">
        <f>COUNTIF($B$2:$B$7,"&gt;"&amp;B6)+COUNTIF($B$2:B6,B6)</f>
        <v/>
      </c>
      <c r="D6" t="inlineStr">
        <is>
          <t>2024-05</t>
        </is>
      </c>
      <c r="E6" s="28">
        <f>IFERROR(GETPIVOTDATA("Sum Budsjett",'Pivot - måned'!$B$9,"Periode",D6),0)</f>
        <v/>
      </c>
      <c r="F6" s="28">
        <f>IFERROR(GETPIVOTDATA("Sum Regnskap",'Pivot - måned'!$B$9,"Periode",D6),0)</f>
        <v/>
      </c>
      <c r="G6" s="28">
        <f>IFERROR(GETPIVOTDATA("Sum Merforbruk",'Pivot - måned'!$B$9,"Periode",D6),0)</f>
        <v/>
      </c>
      <c r="I6" t="inlineStr">
        <is>
          <t>2024-05</t>
        </is>
      </c>
      <c r="J6" s="28">
        <f>G6</f>
        <v/>
      </c>
      <c r="N6" t="n">
        <v>101040</v>
      </c>
      <c r="O6" t="inlineStr">
        <is>
          <t>101040 · Fastlønn - veiledningstillegg</t>
        </is>
      </c>
      <c r="P6" s="28">
        <f>SUMIFS(tbl_BoMiljo[Merforbruk],tbl_BoMiljo[Status],"Bokført",tbl_BoMiljo[Kontokode],N6)</f>
        <v/>
      </c>
      <c r="Q6">
        <f>IF(P6&gt;0,COUNTIF($P$2:$P$89,"&gt;"&amp;P6)+COUNTIF($P$2:P6,P6),"")</f>
        <v/>
      </c>
      <c r="S6">
        <f>IFERROR(INDEX($O$2:$O$89,MATCH(11-ROW(A5),$Q$2:$Q$89,0)),"")</f>
        <v/>
      </c>
      <c r="T6" s="28">
        <f>IFERROR(INDEX($P$2:$P$89,MATCH(11-ROW(A5),$Q$2:$Q$89,0)),0)</f>
        <v/>
      </c>
      <c r="X6">
        <f>INDEX($A$2:$A$7,MATCH(7-ROWS($X$2:X6),$C$2:$C$7,0))</f>
        <v/>
      </c>
      <c r="Y6" s="28">
        <f>INDEX($B$2:$B$7,MATCH(7-ROWS($X$2:X6),$C$2:$C$7,0))</f>
        <v/>
      </c>
      <c r="AA6">
        <f>I6</f>
        <v/>
      </c>
      <c r="AB6" s="28">
        <f>MAX(J6,0)</f>
        <v/>
      </c>
      <c r="AC6" s="28">
        <f>MIN(J6,0)</f>
        <v/>
      </c>
    </row>
    <row r="7">
      <c r="A7" t="inlineStr">
        <is>
          <t>17 Refusjoner</t>
        </is>
      </c>
      <c r="B7" s="28">
        <f>IFERROR(GETPIVOTDATA("Sum Merforbruk",'Pivot - kontoplan'!$B$22,"Undergruppe",A7),0)</f>
        <v/>
      </c>
      <c r="C7">
        <f>COUNTIF($B$2:$B$7,"&gt;"&amp;B7)+COUNTIF($B$2:B7,B7)</f>
        <v/>
      </c>
      <c r="D7" t="inlineStr">
        <is>
          <t>2024-06</t>
        </is>
      </c>
      <c r="E7" s="28">
        <f>IFERROR(GETPIVOTDATA("Sum Budsjett",'Pivot - måned'!$B$9,"Periode",D7),0)</f>
        <v/>
      </c>
      <c r="F7" s="28">
        <f>IFERROR(GETPIVOTDATA("Sum Regnskap",'Pivot - måned'!$B$9,"Periode",D7),0)</f>
        <v/>
      </c>
      <c r="G7" s="28">
        <f>IFERROR(GETPIVOTDATA("Sum Merforbruk",'Pivot - måned'!$B$9,"Periode",D7),0)</f>
        <v/>
      </c>
      <c r="I7" t="inlineStr">
        <is>
          <t>2024-06</t>
        </is>
      </c>
      <c r="J7" s="28">
        <f>G7</f>
        <v/>
      </c>
      <c r="N7" t="n">
        <v>102000</v>
      </c>
      <c r="O7" t="inlineStr">
        <is>
          <t>102000 · Vikar - sykefravær - med refusjon</t>
        </is>
      </c>
      <c r="P7" s="28">
        <f>SUMIFS(tbl_BoMiljo[Merforbruk],tbl_BoMiljo[Status],"Bokført",tbl_BoMiljo[Kontokode],N7)</f>
        <v/>
      </c>
      <c r="Q7">
        <f>IF(P7&gt;0,COUNTIF($P$2:$P$89,"&gt;"&amp;P7)+COUNTIF($P$2:P7,P7),"")</f>
        <v/>
      </c>
      <c r="S7">
        <f>IFERROR(INDEX($O$2:$O$89,MATCH(11-ROW(A6),$Q$2:$Q$89,0)),"")</f>
        <v/>
      </c>
      <c r="T7" s="28">
        <f>IFERROR(INDEX($P$2:$P$89,MATCH(11-ROW(A6),$Q$2:$Q$89,0)),0)</f>
        <v/>
      </c>
      <c r="X7">
        <f>INDEX($A$2:$A$7,MATCH(7-ROWS($X$2:X7),$C$2:$C$7,0))</f>
        <v/>
      </c>
      <c r="Y7" s="28">
        <f>INDEX($B$2:$B$7,MATCH(7-ROWS($X$2:X7),$C$2:$C$7,0))</f>
        <v/>
      </c>
      <c r="AA7">
        <f>I7</f>
        <v/>
      </c>
      <c r="AB7" s="28">
        <f>MAX(J7,0)</f>
        <v/>
      </c>
      <c r="AC7" s="28">
        <f>MIN(J7,0)</f>
        <v/>
      </c>
    </row>
    <row r="8">
      <c r="D8" t="inlineStr">
        <is>
          <t>2024-07</t>
        </is>
      </c>
      <c r="E8" s="28">
        <f>IFERROR(GETPIVOTDATA("Sum Budsjett",'Pivot - måned'!$B$9,"Periode",D8),0)</f>
        <v/>
      </c>
      <c r="F8" s="28">
        <f>IFERROR(GETPIVOTDATA("Sum Regnskap",'Pivot - måned'!$B$9,"Periode",D8),0)</f>
        <v/>
      </c>
      <c r="G8" s="28">
        <f>IFERROR(GETPIVOTDATA("Sum Merforbruk",'Pivot - måned'!$B$9,"Periode",D8),0)</f>
        <v/>
      </c>
      <c r="I8" t="inlineStr">
        <is>
          <t>2024-07</t>
        </is>
      </c>
      <c r="J8" s="28">
        <f>G8</f>
        <v/>
      </c>
      <c r="N8" t="n">
        <v>102001</v>
      </c>
      <c r="O8" t="inlineStr">
        <is>
          <t>102001 · Vikar - sykefravær - uten refusjon</t>
        </is>
      </c>
      <c r="P8" s="28">
        <f>SUMIFS(tbl_BoMiljo[Merforbruk],tbl_BoMiljo[Status],"Bokført",tbl_BoMiljo[Kontokode],N8)</f>
        <v/>
      </c>
      <c r="Q8">
        <f>IF(P8&gt;0,COUNTIF($P$2:$P$89,"&gt;"&amp;P8)+COUNTIF($P$2:P8,P8),"")</f>
        <v/>
      </c>
      <c r="S8">
        <f>IFERROR(INDEX($O$2:$O$89,MATCH(11-ROW(A7),$Q$2:$Q$89,0)),"")</f>
        <v/>
      </c>
      <c r="T8" s="28">
        <f>IFERROR(INDEX($P$2:$P$89,MATCH(11-ROW(A7),$Q$2:$Q$89,0)),0)</f>
        <v/>
      </c>
      <c r="AA8">
        <f>I8</f>
        <v/>
      </c>
      <c r="AB8" s="28">
        <f>MAX(J8,0)</f>
        <v/>
      </c>
      <c r="AC8" s="28">
        <f>MIN(J8,0)</f>
        <v/>
      </c>
    </row>
    <row r="9">
      <c r="D9" t="inlineStr">
        <is>
          <t>2024-08</t>
        </is>
      </c>
      <c r="E9" s="28">
        <f>IFERROR(GETPIVOTDATA("Sum Budsjett",'Pivot - måned'!$B$9,"Periode",D9),0)</f>
        <v/>
      </c>
      <c r="F9" s="28">
        <f>IFERROR(GETPIVOTDATA("Sum Regnskap",'Pivot - måned'!$B$9,"Periode",D9),0)</f>
        <v/>
      </c>
      <c r="G9" s="28">
        <f>IFERROR(GETPIVOTDATA("Sum Merforbruk",'Pivot - måned'!$B$9,"Periode",D9),0)</f>
        <v/>
      </c>
      <c r="I9" t="inlineStr">
        <is>
          <t>2024-08</t>
        </is>
      </c>
      <c r="J9" s="28">
        <f>G9</f>
        <v/>
      </c>
      <c r="N9" t="n">
        <v>102002</v>
      </c>
      <c r="O9" t="inlineStr">
        <is>
          <t>102002 · Vikar - foreldrepermisjon</t>
        </is>
      </c>
      <c r="P9" s="28">
        <f>SUMIFS(tbl_BoMiljo[Merforbruk],tbl_BoMiljo[Status],"Bokført",tbl_BoMiljo[Kontokode],N9)</f>
        <v/>
      </c>
      <c r="Q9">
        <f>IF(P9&gt;0,COUNTIF($P$2:$P$89,"&gt;"&amp;P9)+COUNTIF($P$2:P9,P9),"")</f>
        <v/>
      </c>
      <c r="S9">
        <f>IFERROR(INDEX($O$2:$O$89,MATCH(11-ROW(A8),$Q$2:$Q$89,0)),"")</f>
        <v/>
      </c>
      <c r="T9" s="28">
        <f>IFERROR(INDEX($P$2:$P$89,MATCH(11-ROW(A8),$Q$2:$Q$89,0)),0)</f>
        <v/>
      </c>
      <c r="AA9">
        <f>I9</f>
        <v/>
      </c>
      <c r="AB9" s="28">
        <f>MAX(J9,0)</f>
        <v/>
      </c>
      <c r="AC9" s="28">
        <f>MIN(J9,0)</f>
        <v/>
      </c>
    </row>
    <row r="10">
      <c r="N10" t="n">
        <v>102010</v>
      </c>
      <c r="O10" t="inlineStr">
        <is>
          <t>102010 · Vikar - lønnet perm inkl tillitsverv og velf.perm.</t>
        </is>
      </c>
      <c r="P10" s="28">
        <f>SUMIFS(tbl_BoMiljo[Merforbruk],tbl_BoMiljo[Status],"Bokført",tbl_BoMiljo[Kontokode],N10)</f>
        <v/>
      </c>
      <c r="Q10">
        <f>IF(P10&gt;0,COUNTIF($P$2:$P$89,"&gt;"&amp;P10)+COUNTIF($P$2:P10,P10),"")</f>
        <v/>
      </c>
      <c r="S10">
        <f>IFERROR(INDEX($O$2:$O$89,MATCH(11-ROW(A9),$Q$2:$Q$89,0)),"")</f>
        <v/>
      </c>
      <c r="T10" s="28">
        <f>IFERROR(INDEX($P$2:$P$89,MATCH(11-ROW(A9),$Q$2:$Q$89,0)),0)</f>
        <v/>
      </c>
    </row>
    <row r="11">
      <c r="N11" t="n">
        <v>102011</v>
      </c>
      <c r="O11" t="inlineStr">
        <is>
          <t>102011 · Vikar - feriefravær</t>
        </is>
      </c>
      <c r="P11" s="28">
        <f>SUMIFS(tbl_BoMiljo[Merforbruk],tbl_BoMiljo[Status],"Bokført",tbl_BoMiljo[Kontokode],N11)</f>
        <v/>
      </c>
      <c r="Q11">
        <f>IF(P11&gt;0,COUNTIF($P$2:$P$89,"&gt;"&amp;P11)+COUNTIF($P$2:P11,P11),"")</f>
        <v/>
      </c>
      <c r="S11">
        <f>IFERROR(INDEX($O$2:$O$89,MATCH(11-ROW(A10),$Q$2:$Q$89,0)),"")</f>
        <v/>
      </c>
      <c r="T11" s="28">
        <f>IFERROR(INDEX($P$2:$P$89,MATCH(11-ROW(A10),$Q$2:$Q$89,0)),0)</f>
        <v/>
      </c>
    </row>
    <row r="12">
      <c r="N12" t="n">
        <v>102013</v>
      </c>
      <c r="O12" t="inlineStr">
        <is>
          <t>102013 · Vikar - korttidsfravær</t>
        </is>
      </c>
      <c r="P12" s="28">
        <f>SUMIFS(tbl_BoMiljo[Merforbruk],tbl_BoMiljo[Status],"Bokført",tbl_BoMiljo[Kontokode],N12)</f>
        <v/>
      </c>
      <c r="Q12">
        <f>IF(P12&gt;0,COUNTIF($P$2:$P$89,"&gt;"&amp;P12)+COUNTIF($P$2:P12,P12),"")</f>
        <v/>
      </c>
    </row>
    <row r="13">
      <c r="N13" t="n">
        <v>102030</v>
      </c>
      <c r="O13" t="inlineStr">
        <is>
          <t>102030 · Vikar - lørdags- og søndagstillegg</t>
        </is>
      </c>
      <c r="P13" s="28">
        <f>SUMIFS(tbl_BoMiljo[Merforbruk],tbl_BoMiljo[Status],"Bokført",tbl_BoMiljo[Kontokode],N13)</f>
        <v/>
      </c>
      <c r="Q13">
        <f>IF(P13&gt;0,COUNTIF($P$2:$P$89,"&gt;"&amp;P13)+COUNTIF($P$2:P13,P13),"")</f>
        <v/>
      </c>
    </row>
    <row r="14">
      <c r="N14" t="n">
        <v>102031</v>
      </c>
      <c r="O14" t="inlineStr">
        <is>
          <t>102031 · Vikar - kvelds- og nattillegg</t>
        </is>
      </c>
      <c r="P14" s="28">
        <f>SUMIFS(tbl_BoMiljo[Merforbruk],tbl_BoMiljo[Status],"Bokført",tbl_BoMiljo[Kontokode],N14)</f>
        <v/>
      </c>
      <c r="Q14">
        <f>IF(P14&gt;0,COUNTIF($P$2:$P$89,"&gt;"&amp;P14)+COUNTIF($P$2:P14,P14),"")</f>
        <v/>
      </c>
    </row>
    <row r="15">
      <c r="N15" t="n">
        <v>102032</v>
      </c>
      <c r="O15" t="inlineStr">
        <is>
          <t>102032 · Vikar - helligdagstillegg</t>
        </is>
      </c>
      <c r="P15" s="28">
        <f>SUMIFS(tbl_BoMiljo[Merforbruk],tbl_BoMiljo[Status],"Bokført",tbl_BoMiljo[Kontokode],N15)</f>
        <v/>
      </c>
      <c r="Q15">
        <f>IF(P15&gt;0,COUNTIF($P$2:$P$89,"&gt;"&amp;P15)+COUNTIF($P$2:P15,P15),"")</f>
        <v/>
      </c>
    </row>
    <row r="16">
      <c r="N16" t="n">
        <v>103000</v>
      </c>
      <c r="O16" t="inlineStr">
        <is>
          <t>103000 · Ekstrahjelp</t>
        </is>
      </c>
      <c r="P16" s="28">
        <f>SUMIFS(tbl_BoMiljo[Merforbruk],tbl_BoMiljo[Status],"Bokført",tbl_BoMiljo[Kontokode],N16)</f>
        <v/>
      </c>
      <c r="Q16">
        <f>IF(P16&gt;0,COUNTIF($P$2:$P$89,"&gt;"&amp;P16)+COUNTIF($P$2:P16,P16),"")</f>
        <v/>
      </c>
    </row>
    <row r="17">
      <c r="N17" t="n">
        <v>103030</v>
      </c>
      <c r="O17" t="inlineStr">
        <is>
          <t>103030 · Ekstrahjelp - lørdags- og søndagstillegg</t>
        </is>
      </c>
      <c r="P17" s="28">
        <f>SUMIFS(tbl_BoMiljo[Merforbruk],tbl_BoMiljo[Status],"Bokført",tbl_BoMiljo[Kontokode],N17)</f>
        <v/>
      </c>
      <c r="Q17">
        <f>IF(P17&gt;0,COUNTIF($P$2:$P$89,"&gt;"&amp;P17)+COUNTIF($P$2:P17,P17),"")</f>
        <v/>
      </c>
    </row>
    <row r="18">
      <c r="N18" t="n">
        <v>103031</v>
      </c>
      <c r="O18" t="inlineStr">
        <is>
          <t>103031 · Ekstrahjelp - kvelds- og nattillegg</t>
        </is>
      </c>
      <c r="P18" s="28">
        <f>SUMIFS(tbl_BoMiljo[Merforbruk],tbl_BoMiljo[Status],"Bokført",tbl_BoMiljo[Kontokode],N18)</f>
        <v/>
      </c>
      <c r="Q18">
        <f>IF(P18&gt;0,COUNTIF($P$2:$P$89,"&gt;"&amp;P18)+COUNTIF($P$2:P18,P18),"")</f>
        <v/>
      </c>
    </row>
    <row r="19">
      <c r="N19" t="n">
        <v>103032</v>
      </c>
      <c r="O19" t="inlineStr">
        <is>
          <t>103032 · Ekstrahjelp - helligdagstillegg</t>
        </is>
      </c>
      <c r="P19" s="28">
        <f>SUMIFS(tbl_BoMiljo[Merforbruk],tbl_BoMiljo[Status],"Bokført",tbl_BoMiljo[Kontokode],N19)</f>
        <v/>
      </c>
      <c r="Q19">
        <f>IF(P19&gt;0,COUNTIF($P$2:$P$89,"&gt;"&amp;P19)+COUNTIF($P$2:P19,P19),"")</f>
        <v/>
      </c>
    </row>
    <row r="20">
      <c r="N20" t="n">
        <v>103040</v>
      </c>
      <c r="O20" t="inlineStr">
        <is>
          <t>103040 · Engasjementer / midlertidige stillinger</t>
        </is>
      </c>
      <c r="P20" s="28">
        <f>SUMIFS(tbl_BoMiljo[Merforbruk],tbl_BoMiljo[Status],"Bokført",tbl_BoMiljo[Kontokode],N20)</f>
        <v/>
      </c>
      <c r="Q20">
        <f>IF(P20&gt;0,COUNTIF($P$2:$P$89,"&gt;"&amp;P20)+COUNTIF($P$2:P20,P20),"")</f>
        <v/>
      </c>
    </row>
    <row r="21">
      <c r="N21" t="n">
        <v>103050</v>
      </c>
      <c r="O21" t="inlineStr">
        <is>
          <t>103050 · Sommer- og sesonghjelp</t>
        </is>
      </c>
      <c r="P21" s="28">
        <f>SUMIFS(tbl_BoMiljo[Merforbruk],tbl_BoMiljo[Status],"Bokført",tbl_BoMiljo[Kontokode],N21)</f>
        <v/>
      </c>
      <c r="Q21">
        <f>IF(P21&gt;0,COUNTIF($P$2:$P$89,"&gt;"&amp;P21)+COUNTIF($P$2:P21,P21),"")</f>
        <v/>
      </c>
    </row>
    <row r="22">
      <c r="N22" t="n">
        <v>104000</v>
      </c>
      <c r="O22" t="inlineStr">
        <is>
          <t>104000 · Overtidslønn</t>
        </is>
      </c>
      <c r="P22" s="28">
        <f>SUMIFS(tbl_BoMiljo[Merforbruk],tbl_BoMiljo[Status],"Bokført",tbl_BoMiljo[Kontokode],N22)</f>
        <v/>
      </c>
      <c r="Q22">
        <f>IF(P22&gt;0,COUNTIF($P$2:$P$89,"&gt;"&amp;P22)+COUNTIF($P$2:P22,P22),"")</f>
        <v/>
      </c>
    </row>
    <row r="23">
      <c r="N23" t="n">
        <v>105000</v>
      </c>
      <c r="O23" t="inlineStr">
        <is>
          <t>105000 · Lærlinger</t>
        </is>
      </c>
      <c r="P23" s="28">
        <f>SUMIFS(tbl_BoMiljo[Merforbruk],tbl_BoMiljo[Status],"Bokført",tbl_BoMiljo[Kontokode],N23)</f>
        <v/>
      </c>
      <c r="Q23">
        <f>IF(P23&gt;0,COUNTIF($P$2:$P$89,"&gt;"&amp;P23)+COUNTIF($P$2:P23,P23),"")</f>
        <v/>
      </c>
    </row>
    <row r="24">
      <c r="N24" t="n">
        <v>105042</v>
      </c>
      <c r="O24" t="inlineStr">
        <is>
          <t>105042 · Lønn utrykning</t>
        </is>
      </c>
      <c r="P24" s="28">
        <f>SUMIFS(tbl_BoMiljo[Merforbruk],tbl_BoMiljo[Status],"Bokført",tbl_BoMiljo[Kontokode],N24)</f>
        <v/>
      </c>
      <c r="Q24">
        <f>IF(P24&gt;0,COUNTIF($P$2:$P$89,"&gt;"&amp;P24)+COUNTIF($P$2:P24,P24),"")</f>
        <v/>
      </c>
    </row>
    <row r="25">
      <c r="N25" t="n">
        <v>105045</v>
      </c>
      <c r="O25" t="inlineStr">
        <is>
          <t>105045 · Turtillegg - reise med pasient / klient/brukere</t>
        </is>
      </c>
      <c r="P25" s="28">
        <f>SUMIFS(tbl_BoMiljo[Merforbruk],tbl_BoMiljo[Status],"Bokført",tbl_BoMiljo[Kontokode],N25)</f>
        <v/>
      </c>
      <c r="Q25">
        <f>IF(P25&gt;0,COUNTIF($P$2:$P$89,"&gt;"&amp;P25)+COUNTIF($P$2:P25,P25),"")</f>
        <v/>
      </c>
    </row>
    <row r="26">
      <c r="N26" t="n">
        <v>105046</v>
      </c>
      <c r="O26" t="inlineStr">
        <is>
          <t>105046 · Forskjøvet arbeidstid</t>
        </is>
      </c>
      <c r="P26" s="28">
        <f>SUMIFS(tbl_BoMiljo[Merforbruk],tbl_BoMiljo[Status],"Bokført",tbl_BoMiljo[Kontokode],N26)</f>
        <v/>
      </c>
      <c r="Q26">
        <f>IF(P26&gt;0,COUNTIF($P$2:$P$89,"&gt;"&amp;P26)+COUNTIF($P$2:P26,P26),"")</f>
        <v/>
      </c>
    </row>
    <row r="27">
      <c r="N27" t="n">
        <v>105060</v>
      </c>
      <c r="O27" t="inlineStr">
        <is>
          <t>105060 · Skattepl. telefongodtgjørelse</t>
        </is>
      </c>
      <c r="P27" s="28">
        <f>SUMIFS(tbl_BoMiljo[Merforbruk],tbl_BoMiljo[Status],"Bokført",tbl_BoMiljo[Kontokode],N27)</f>
        <v/>
      </c>
      <c r="Q27">
        <f>IF(P27&gt;0,COUNTIF($P$2:$P$89,"&gt;"&amp;P27)+COUNTIF($P$2:P27,P27),"")</f>
        <v/>
      </c>
    </row>
    <row r="28">
      <c r="N28" t="n">
        <v>105064</v>
      </c>
      <c r="O28" t="inlineStr">
        <is>
          <t>105064 · Skattepl. klesgodtgjørelse</t>
        </is>
      </c>
      <c r="P28" s="28">
        <f>SUMIFS(tbl_BoMiljo[Merforbruk],tbl_BoMiljo[Status],"Bokført",tbl_BoMiljo[Kontokode],N28)</f>
        <v/>
      </c>
      <c r="Q28">
        <f>IF(P28&gt;0,COUNTIF($P$2:$P$89,"&gt;"&amp;P28)+COUNTIF($P$2:P28,P28),"")</f>
        <v/>
      </c>
    </row>
    <row r="29">
      <c r="N29" t="n">
        <v>105065</v>
      </c>
      <c r="O29" t="inlineStr">
        <is>
          <t>105065 · Skattepl. km-godtgjørelse</t>
        </is>
      </c>
      <c r="P29" s="28">
        <f>SUMIFS(tbl_BoMiljo[Merforbruk],tbl_BoMiljo[Status],"Bokført",tbl_BoMiljo[Kontokode],N29)</f>
        <v/>
      </c>
      <c r="Q29">
        <f>IF(P29&gt;0,COUNTIF($P$2:$P$89,"&gt;"&amp;P29)+COUNTIF($P$2:P29,P29),"")</f>
        <v/>
      </c>
    </row>
    <row r="30">
      <c r="N30" t="n">
        <v>109000</v>
      </c>
      <c r="O30" t="inlineStr">
        <is>
          <t>109000 · Pensjon fellesordningen - ordinære (klp)</t>
        </is>
      </c>
      <c r="P30" s="28">
        <f>SUMIFS(tbl_BoMiljo[Merforbruk],tbl_BoMiljo[Status],"Bokført",tbl_BoMiljo[Kontokode],N30)</f>
        <v/>
      </c>
      <c r="Q30">
        <f>IF(P30&gt;0,COUNTIF($P$2:$P$89,"&gt;"&amp;P30)+COUNTIF($P$2:P30,P30),"")</f>
        <v/>
      </c>
    </row>
    <row r="31">
      <c r="N31" t="n">
        <v>109999</v>
      </c>
      <c r="O31" t="inlineStr">
        <is>
          <t>109999 · Arbeidsgiveravgift</t>
        </is>
      </c>
      <c r="P31" s="28">
        <f>SUMIFS(tbl_BoMiljo[Merforbruk],tbl_BoMiljo[Status],"Bokført",tbl_BoMiljo[Kontokode],N31)</f>
        <v/>
      </c>
      <c r="Q31">
        <f>IF(P31&gt;0,COUNTIF($P$2:$P$89,"&gt;"&amp;P31)+COUNTIF($P$2:P31,P31),"")</f>
        <v/>
      </c>
    </row>
    <row r="32">
      <c r="N32" t="n">
        <v>110000</v>
      </c>
      <c r="O32" t="inlineStr">
        <is>
          <t>110000 · Kontormateriell / rekvisita</t>
        </is>
      </c>
      <c r="P32" s="28">
        <f>SUMIFS(tbl_BoMiljo[Merforbruk],tbl_BoMiljo[Status],"Bokført",tbl_BoMiljo[Kontokode],N32)</f>
        <v/>
      </c>
      <c r="Q32">
        <f>IF(P32&gt;0,COUNTIF($P$2:$P$89,"&gt;"&amp;P32)+COUNTIF($P$2:P32,P32),"")</f>
        <v/>
      </c>
    </row>
    <row r="33">
      <c r="N33" t="n">
        <v>110020</v>
      </c>
      <c r="O33" t="inlineStr">
        <is>
          <t>110020 · Kopieringsmatriell - papir / toner (ikke leie)</t>
        </is>
      </c>
      <c r="P33" s="28">
        <f>SUMIFS(tbl_BoMiljo[Merforbruk],tbl_BoMiljo[Status],"Bokført",tbl_BoMiljo[Kontokode],N33)</f>
        <v/>
      </c>
      <c r="Q33">
        <f>IF(P33&gt;0,COUNTIF($P$2:$P$89,"&gt;"&amp;P33)+COUNTIF($P$2:P33,P33),"")</f>
        <v/>
      </c>
    </row>
    <row r="34">
      <c r="N34" t="n">
        <v>111000</v>
      </c>
      <c r="O34" t="inlineStr">
        <is>
          <t>111000 · Medisinsk forbruksmateriell</t>
        </is>
      </c>
      <c r="P34" s="28">
        <f>SUMIFS(tbl_BoMiljo[Merforbruk],tbl_BoMiljo[Status],"Bokført",tbl_BoMiljo[Kontokode],N34)</f>
        <v/>
      </c>
      <c r="Q34">
        <f>IF(P34&gt;0,COUNTIF($P$2:$P$89,"&gt;"&amp;P34)+COUNTIF($P$2:P34,P34),"")</f>
        <v/>
      </c>
    </row>
    <row r="35">
      <c r="N35" t="n">
        <v>111400</v>
      </c>
      <c r="O35" t="inlineStr">
        <is>
          <t>111400 · Medisiner</t>
        </is>
      </c>
      <c r="P35" s="28">
        <f>SUMIFS(tbl_BoMiljo[Merforbruk],tbl_BoMiljo[Status],"Bokført",tbl_BoMiljo[Kontokode],N35)</f>
        <v/>
      </c>
      <c r="Q35">
        <f>IF(P35&gt;0,COUNTIF($P$2:$P$89,"&gt;"&amp;P35)+COUNTIF($P$2:P35,P35),"")</f>
        <v/>
      </c>
    </row>
    <row r="36">
      <c r="N36" t="n">
        <v>111500</v>
      </c>
      <c r="O36" t="inlineStr">
        <is>
          <t>111500 · Matvarer / drikke - ikke møtevirksomhet</t>
        </is>
      </c>
      <c r="P36" s="28">
        <f>SUMIFS(tbl_BoMiljo[Merforbruk],tbl_BoMiljo[Status],"Bokført",tbl_BoMiljo[Kontokode],N36)</f>
        <v/>
      </c>
      <c r="Q36">
        <f>IF(P36&gt;0,COUNTIF($P$2:$P$89,"&gt;"&amp;P36)+COUNTIF($P$2:P36,P36),"")</f>
        <v/>
      </c>
    </row>
    <row r="37">
      <c r="N37" t="n">
        <v>111502</v>
      </c>
      <c r="O37" t="inlineStr">
        <is>
          <t>111502 · Bevertning møter / kurs / opplæring / overtidsmat</t>
        </is>
      </c>
      <c r="P37" s="28">
        <f>SUMIFS(tbl_BoMiljo[Merforbruk],tbl_BoMiljo[Status],"Bokført",tbl_BoMiljo[Kontokode],N37)</f>
        <v/>
      </c>
      <c r="Q37">
        <f>IF(P37&gt;0,COUNTIF($P$2:$P$89,"&gt;"&amp;P37)+COUNTIF($P$2:P37,P37),"")</f>
        <v/>
      </c>
    </row>
    <row r="38">
      <c r="N38" t="n">
        <v>111509</v>
      </c>
      <c r="O38" t="inlineStr">
        <is>
          <t>111509 · Pant</t>
        </is>
      </c>
      <c r="P38" s="28">
        <f>SUMIFS(tbl_BoMiljo[Merforbruk],tbl_BoMiljo[Status],"Bokført",tbl_BoMiljo[Kontokode],N38)</f>
        <v/>
      </c>
      <c r="Q38">
        <f>IF(P38&gt;0,COUNTIF($P$2:$P$89,"&gt;"&amp;P38)+COUNTIF($P$2:P38,P38),"")</f>
        <v/>
      </c>
    </row>
    <row r="39">
      <c r="N39" t="n">
        <v>112000</v>
      </c>
      <c r="O39" t="inlineStr">
        <is>
          <t>112000 · Velferdstiltak / arrangementer -  ansatte</t>
        </is>
      </c>
      <c r="P39" s="28">
        <f>SUMIFS(tbl_BoMiljo[Merforbruk],tbl_BoMiljo[Status],"Bokført",tbl_BoMiljo[Kontokode],N39)</f>
        <v/>
      </c>
      <c r="Q39">
        <f>IF(P39&gt;0,COUNTIF($P$2:$P$89,"&gt;"&amp;P39)+COUNTIF($P$2:P39,P39),"")</f>
        <v/>
      </c>
    </row>
    <row r="40">
      <c r="N40" t="n">
        <v>112002</v>
      </c>
      <c r="O40" t="inlineStr">
        <is>
          <t>112002 · Påskjønnelser - jfr reglement</t>
        </is>
      </c>
      <c r="P40" s="28">
        <f>SUMIFS(tbl_BoMiljo[Merforbruk],tbl_BoMiljo[Status],"Bokført",tbl_BoMiljo[Kontokode],N40)</f>
        <v/>
      </c>
      <c r="Q40">
        <f>IF(P40&gt;0,COUNTIF($P$2:$P$89,"&gt;"&amp;P40)+COUNTIF($P$2:P40,P40),"")</f>
        <v/>
      </c>
    </row>
    <row r="41">
      <c r="N41" t="n">
        <v>112010</v>
      </c>
      <c r="O41" t="inlineStr">
        <is>
          <t>112010 · Arbeidsklær / verneutstyr / uniformer</t>
        </is>
      </c>
      <c r="P41" s="28">
        <f>SUMIFS(tbl_BoMiljo[Merforbruk],tbl_BoMiljo[Status],"Bokført",tbl_BoMiljo[Kontokode],N41)</f>
        <v/>
      </c>
      <c r="Q41">
        <f>IF(P41&gt;0,COUNTIF($P$2:$P$89,"&gt;"&amp;P41)+COUNTIF($P$2:P41,P41),"")</f>
        <v/>
      </c>
    </row>
    <row r="42">
      <c r="N42" t="n">
        <v>112012</v>
      </c>
      <c r="O42" t="inlineStr">
        <is>
          <t>112012 · GAVE EKOM USKATT (LT 4800)</t>
        </is>
      </c>
      <c r="P42" s="28">
        <f>SUMIFS(tbl_BoMiljo[Merforbruk],tbl_BoMiljo[Status],"Bokført",tbl_BoMiljo[Kontokode],N42)</f>
        <v/>
      </c>
      <c r="Q42">
        <f>IF(P42&gt;0,COUNTIF($P$2:$P$89,"&gt;"&amp;P42)+COUNTIF($P$2:P42,P42),"")</f>
        <v/>
      </c>
    </row>
    <row r="43">
      <c r="N43" t="n">
        <v>112013</v>
      </c>
      <c r="O43" t="inlineStr">
        <is>
          <t>112013 · MOTPOST GAVE EKOM USKATT (LT 4802)</t>
        </is>
      </c>
      <c r="P43" s="28">
        <f>SUMIFS(tbl_BoMiljo[Merforbruk],tbl_BoMiljo[Status],"Bokført",tbl_BoMiljo[Kontokode],N43)</f>
        <v/>
      </c>
      <c r="Q43">
        <f>IF(P43&gt;0,COUNTIF($P$2:$P$89,"&gt;"&amp;P43)+COUNTIF($P$2:P43,P43),"")</f>
        <v/>
      </c>
    </row>
    <row r="44">
      <c r="N44" t="n">
        <v>112020</v>
      </c>
      <c r="O44" t="inlineStr">
        <is>
          <t>112020 · Plast og papir</t>
        </is>
      </c>
      <c r="P44" s="28">
        <f>SUMIFS(tbl_BoMiljo[Merforbruk],tbl_BoMiljo[Status],"Bokført",tbl_BoMiljo[Kontokode],N44)</f>
        <v/>
      </c>
      <c r="Q44">
        <f>IF(P44&gt;0,COUNTIF($P$2:$P$89,"&gt;"&amp;P44)+COUNTIF($P$2:P44,P44),"")</f>
        <v/>
      </c>
    </row>
    <row r="45">
      <c r="N45" t="n">
        <v>112021</v>
      </c>
      <c r="O45" t="inlineStr">
        <is>
          <t>112021 · Renholdsutstyr</t>
        </is>
      </c>
      <c r="P45" s="28">
        <f>SUMIFS(tbl_BoMiljo[Merforbruk],tbl_BoMiljo[Status],"Bokført",tbl_BoMiljo[Kontokode],N45)</f>
        <v/>
      </c>
      <c r="Q45">
        <f>IF(P45&gt;0,COUNTIF($P$2:$P$89,"&gt;"&amp;P45)+COUNTIF($P$2:P45,P45),"")</f>
        <v/>
      </c>
    </row>
    <row r="46">
      <c r="N46" t="n">
        <v>112022</v>
      </c>
      <c r="O46" t="inlineStr">
        <is>
          <t>112022 · Rengjøringsmidler</t>
        </is>
      </c>
      <c r="P46" s="28">
        <f>SUMIFS(tbl_BoMiljo[Merforbruk],tbl_BoMiljo[Status],"Bokført",tbl_BoMiljo[Kontokode],N46)</f>
        <v/>
      </c>
      <c r="Q46">
        <f>IF(P46&gt;0,COUNTIF($P$2:$P$89,"&gt;"&amp;P46)+COUNTIF($P$2:P46,P46),"")</f>
        <v/>
      </c>
    </row>
    <row r="47">
      <c r="N47" t="n">
        <v>112024</v>
      </c>
      <c r="O47" t="inlineStr">
        <is>
          <t>112024 · Tekstiler og gardiner</t>
        </is>
      </c>
      <c r="P47" s="28">
        <f>SUMIFS(tbl_BoMiljo[Merforbruk],tbl_BoMiljo[Status],"Bokført",tbl_BoMiljo[Kontokode],N47)</f>
        <v/>
      </c>
      <c r="Q47">
        <f>IF(P47&gt;0,COUNTIF($P$2:$P$89,"&gt;"&amp;P47)+COUNTIF($P$2:P47,P47),"")</f>
        <v/>
      </c>
    </row>
    <row r="48">
      <c r="N48" t="n">
        <v>112025</v>
      </c>
      <c r="O48" t="inlineStr">
        <is>
          <t>112025 · Planter</t>
        </is>
      </c>
      <c r="P48" s="28">
        <f>SUMIFS(tbl_BoMiljo[Merforbruk],tbl_BoMiljo[Status],"Bokført",tbl_BoMiljo[Kontokode],N48)</f>
        <v/>
      </c>
      <c r="Q48">
        <f>IF(P48&gt;0,COUNTIF($P$2:$P$89,"&gt;"&amp;P48)+COUNTIF($P$2:P48,P48),"")</f>
        <v/>
      </c>
    </row>
    <row r="49">
      <c r="N49" t="n">
        <v>112060</v>
      </c>
      <c r="O49" t="inlineStr">
        <is>
          <t>112060 · Brukerbelønning</t>
        </is>
      </c>
      <c r="P49" s="28">
        <f>SUMIFS(tbl_BoMiljo[Merforbruk],tbl_BoMiljo[Status],"Bokført",tbl_BoMiljo[Kontokode],N49)</f>
        <v/>
      </c>
      <c r="Q49">
        <f>IF(P49&gt;0,COUNTIF($P$2:$P$89,"&gt;"&amp;P49)+COUNTIF($P$2:P49,P49),"")</f>
        <v/>
      </c>
    </row>
    <row r="50">
      <c r="N50" t="n">
        <v>112090</v>
      </c>
      <c r="O50" t="inlineStr">
        <is>
          <t>112090 · Annet forbruksmateriell, varer og tjenester</t>
        </is>
      </c>
      <c r="P50" s="28">
        <f>SUMIFS(tbl_BoMiljo[Merforbruk],tbl_BoMiljo[Status],"Bokført",tbl_BoMiljo[Kontokode],N50)</f>
        <v/>
      </c>
      <c r="Q50">
        <f>IF(P50&gt;0,COUNTIF($P$2:$P$89,"&gt;"&amp;P50)+COUNTIF($P$2:P50,P50),"")</f>
        <v/>
      </c>
    </row>
    <row r="51">
      <c r="N51" t="n">
        <v>112098</v>
      </c>
      <c r="O51" t="inlineStr">
        <is>
          <t>112098 · Tilskudd lærlinger (intern)</t>
        </is>
      </c>
      <c r="P51" s="28">
        <f>SUMIFS(tbl_BoMiljo[Merforbruk],tbl_BoMiljo[Status],"Bokført",tbl_BoMiljo[Kontokode],N51)</f>
        <v/>
      </c>
      <c r="Q51">
        <f>IF(P51&gt;0,COUNTIF($P$2:$P$89,"&gt;"&amp;P51)+COUNTIF($P$2:P51,P51),"")</f>
        <v/>
      </c>
    </row>
    <row r="52">
      <c r="N52" t="n">
        <v>112099</v>
      </c>
      <c r="O52" t="inlineStr">
        <is>
          <t>112099 · Interne inntekter/utgifter</t>
        </is>
      </c>
      <c r="P52" s="28">
        <f>SUMIFS(tbl_BoMiljo[Merforbruk],tbl_BoMiljo[Status],"Bokført",tbl_BoMiljo[Kontokode],N52)</f>
        <v/>
      </c>
      <c r="Q52">
        <f>IF(P52&gt;0,COUNTIF($P$2:$P$89,"&gt;"&amp;P52)+COUNTIF($P$2:P52,P52),"")</f>
        <v/>
      </c>
    </row>
    <row r="53">
      <c r="N53" t="n">
        <v>113000</v>
      </c>
      <c r="O53" t="inlineStr">
        <is>
          <t>113000 · Abonnement / samtale for mobil, telefon, nettbrett</t>
        </is>
      </c>
      <c r="P53" s="28">
        <f>SUMIFS(tbl_BoMiljo[Merforbruk],tbl_BoMiljo[Status],"Bokført",tbl_BoMiljo[Kontokode],N53)</f>
        <v/>
      </c>
      <c r="Q53">
        <f>IF(P53&gt;0,COUNTIF($P$2:$P$89,"&gt;"&amp;P53)+COUNTIF($P$2:P53,P53),"")</f>
        <v/>
      </c>
    </row>
    <row r="54">
      <c r="N54" t="n">
        <v>113004</v>
      </c>
      <c r="O54" t="inlineStr">
        <is>
          <t>113004 · Bank og finansielle gebyrer</t>
        </is>
      </c>
      <c r="P54" s="28">
        <f>SUMIFS(tbl_BoMiljo[Merforbruk],tbl_BoMiljo[Status],"Bokført",tbl_BoMiljo[Kontokode],N54)</f>
        <v/>
      </c>
      <c r="Q54">
        <f>IF(P54&gt;0,COUNTIF($P$2:$P$89,"&gt;"&amp;P54)+COUNTIF($P$2:P54,P54),"")</f>
        <v/>
      </c>
    </row>
    <row r="55">
      <c r="N55" t="n">
        <v>114000</v>
      </c>
      <c r="O55" t="inlineStr">
        <is>
          <t>114000 · Stillingsannonser</t>
        </is>
      </c>
      <c r="P55" s="28">
        <f>SUMIFS(tbl_BoMiljo[Merforbruk],tbl_BoMiljo[Status],"Bokført",tbl_BoMiljo[Kontokode],N55)</f>
        <v/>
      </c>
      <c r="Q55">
        <f>IF(P55&gt;0,COUNTIF($P$2:$P$89,"&gt;"&amp;P55)+COUNTIF($P$2:P55,P55),"")</f>
        <v/>
      </c>
    </row>
    <row r="56">
      <c r="N56" t="n">
        <v>115000</v>
      </c>
      <c r="O56" t="inlineStr">
        <is>
          <t>115000 · Kurs / konferanser/opplæring - inkl. hotell</t>
        </is>
      </c>
      <c r="P56" s="28">
        <f>SUMIFS(tbl_BoMiljo[Merforbruk],tbl_BoMiljo[Status],"Bokført",tbl_BoMiljo[Kontokode],N56)</f>
        <v/>
      </c>
      <c r="Q56">
        <f>IF(P56&gt;0,COUNTIF($P$2:$P$89,"&gt;"&amp;P56)+COUNTIF($P$2:P56,P56),"")</f>
        <v/>
      </c>
    </row>
    <row r="57">
      <c r="N57" t="n">
        <v>116000</v>
      </c>
      <c r="O57" t="inlineStr">
        <is>
          <t>116000 · Km-godtgjørelse, inkl. passasjertillegg - oppl.pl</t>
        </is>
      </c>
      <c r="P57" s="28">
        <f>SUMIFS(tbl_BoMiljo[Merforbruk],tbl_BoMiljo[Status],"Bokført",tbl_BoMiljo[Kontokode],N57)</f>
        <v/>
      </c>
      <c r="Q57">
        <f>IF(P57&gt;0,COUNTIF($P$2:$P$89,"&gt;"&amp;P57)+COUNTIF($P$2:P57,P57),"")</f>
        <v/>
      </c>
    </row>
    <row r="58">
      <c r="N58" t="n">
        <v>117000</v>
      </c>
      <c r="O58" t="inlineStr">
        <is>
          <t>117000 · Drivstoff - inkludert strøm til el-biler, bio</t>
        </is>
      </c>
      <c r="P58" s="28">
        <f>SUMIFS(tbl_BoMiljo[Merforbruk],tbl_BoMiljo[Status],"Bokført",tbl_BoMiljo[Kontokode],N58)</f>
        <v/>
      </c>
      <c r="Q58">
        <f>IF(P58&gt;0,COUNTIF($P$2:$P$89,"&gt;"&amp;P58)+COUNTIF($P$2:P58,P58),"")</f>
        <v/>
      </c>
    </row>
    <row r="59">
      <c r="N59" t="n">
        <v>117002</v>
      </c>
      <c r="O59" t="inlineStr">
        <is>
          <t>117002 · Vedlikehold / service transportmidler og anleggsm.</t>
        </is>
      </c>
      <c r="P59" s="28">
        <f>SUMIFS(tbl_BoMiljo[Merforbruk],tbl_BoMiljo[Status],"Bokført",tbl_BoMiljo[Kontokode],N59)</f>
        <v/>
      </c>
      <c r="Q59">
        <f>IF(P59&gt;0,COUNTIF($P$2:$P$89,"&gt;"&amp;P59)+COUNTIF($P$2:P59,P59),"")</f>
        <v/>
      </c>
    </row>
    <row r="60">
      <c r="N60" t="n">
        <v>117004</v>
      </c>
      <c r="O60" t="inlineStr">
        <is>
          <t>117004 · SKADER OG EGENANDELER TRANSPORTMIDLER OG ANLEGGSMASKINER</t>
        </is>
      </c>
      <c r="P60" s="28">
        <f>SUMIFS(tbl_BoMiljo[Merforbruk],tbl_BoMiljo[Status],"Bokført",tbl_BoMiljo[Kontokode],N60)</f>
        <v/>
      </c>
      <c r="Q60">
        <f>IF(P60&gt;0,COUNTIF($P$2:$P$89,"&gt;"&amp;P60)+COUNTIF($P$2:P60,P60),"")</f>
        <v/>
      </c>
    </row>
    <row r="61">
      <c r="N61" t="n">
        <v>117030</v>
      </c>
      <c r="O61" t="inlineStr">
        <is>
          <t>117030 · Reiseutg. buss, tog,taxi, fly, leiebil, bom, park.</t>
        </is>
      </c>
      <c r="P61" s="28">
        <f>SUMIFS(tbl_BoMiljo[Merforbruk],tbl_BoMiljo[Status],"Bokført",tbl_BoMiljo[Kontokode],N61)</f>
        <v/>
      </c>
      <c r="Q61">
        <f>IF(P61&gt;0,COUNTIF($P$2:$P$89,"&gt;"&amp;P61)+COUNTIF($P$2:P61,P61),"")</f>
        <v/>
      </c>
    </row>
    <row r="62">
      <c r="N62" t="n">
        <v>117040</v>
      </c>
      <c r="O62" t="inlineStr">
        <is>
          <t>117040 · Flyttetjenester</t>
        </is>
      </c>
      <c r="P62" s="28">
        <f>SUMIFS(tbl_BoMiljo[Merforbruk],tbl_BoMiljo[Status],"Bokført",tbl_BoMiljo[Kontokode],N62)</f>
        <v/>
      </c>
      <c r="Q62">
        <f>IF(P62&gt;0,COUNTIF($P$2:$P$89,"&gt;"&amp;P62)+COUNTIF($P$2:P62,P62),"")</f>
        <v/>
      </c>
    </row>
    <row r="63">
      <c r="N63" t="n">
        <v>119520</v>
      </c>
      <c r="O63" t="inlineStr">
        <is>
          <t>119520 · Tv-lisens og kabel-tv</t>
        </is>
      </c>
      <c r="P63" s="28">
        <f>SUMIFS(tbl_BoMiljo[Merforbruk],tbl_BoMiljo[Status],"Bokført",tbl_BoMiljo[Kontokode],N63)</f>
        <v/>
      </c>
      <c r="Q63">
        <f>IF(P63&gt;0,COUNTIF($P$2:$P$89,"&gt;"&amp;P63)+COUNTIF($P$2:P63,P63),"")</f>
        <v/>
      </c>
    </row>
    <row r="64">
      <c r="N64" t="n">
        <v>119550</v>
      </c>
      <c r="O64" t="inlineStr">
        <is>
          <t>119550 · Kommunale gebyrer</t>
        </is>
      </c>
      <c r="P64" s="28">
        <f>SUMIFS(tbl_BoMiljo[Merforbruk],tbl_BoMiljo[Status],"Bokført",tbl_BoMiljo[Kontokode],N64)</f>
        <v/>
      </c>
      <c r="Q64">
        <f>IF(P64&gt;0,COUNTIF($P$2:$P$89,"&gt;"&amp;P64)+COUNTIF($P$2:P64,P64),"")</f>
        <v/>
      </c>
    </row>
    <row r="65">
      <c r="N65" t="n">
        <v>119590</v>
      </c>
      <c r="O65" t="inlineStr">
        <is>
          <t>119590 · Andre avgifter, gebyrer og lisenser</t>
        </is>
      </c>
      <c r="P65" s="28">
        <f>SUMIFS(tbl_BoMiljo[Merforbruk],tbl_BoMiljo[Status],"Bokført",tbl_BoMiljo[Kontokode],N65)</f>
        <v/>
      </c>
      <c r="Q65">
        <f>IF(P65&gt;0,COUNTIF($P$2:$P$89,"&gt;"&amp;P65)+COUNTIF($P$2:P65,P65),"")</f>
        <v/>
      </c>
    </row>
    <row r="66">
      <c r="N66" t="n">
        <v>120000</v>
      </c>
      <c r="O66" t="inlineStr">
        <is>
          <t>120000 · Inventar - møbler, madrasser</t>
        </is>
      </c>
      <c r="P66" s="28">
        <f>SUMIFS(tbl_BoMiljo[Merforbruk],tbl_BoMiljo[Status],"Bokført",tbl_BoMiljo[Kontokode],N66)</f>
        <v/>
      </c>
      <c r="Q66">
        <f>IF(P66&gt;0,COUNTIF($P$2:$P$89,"&gt;"&amp;P66)+COUNTIF($P$2:P66,P66),"")</f>
        <v/>
      </c>
    </row>
    <row r="67">
      <c r="N67" t="n">
        <v>120010</v>
      </c>
      <c r="O67" t="inlineStr">
        <is>
          <t>120010 · Datautstyr, ikke elev-pcer</t>
        </is>
      </c>
      <c r="P67" s="28">
        <f>SUMIFS(tbl_BoMiljo[Merforbruk],tbl_BoMiljo[Status],"Bokført",tbl_BoMiljo[Kontokode],N67)</f>
        <v/>
      </c>
      <c r="Q67">
        <f>IF(P67&gt;0,COUNTIF($P$2:$P$89,"&gt;"&amp;P67)+COUNTIF($P$2:P67,P67),"")</f>
        <v/>
      </c>
    </row>
    <row r="68">
      <c r="N68" t="n">
        <v>120015</v>
      </c>
      <c r="O68" t="inlineStr">
        <is>
          <t>120015 · Kjøp av mobiltlf / telefon / nettbrett</t>
        </is>
      </c>
      <c r="P68" s="28">
        <f>SUMIFS(tbl_BoMiljo[Merforbruk],tbl_BoMiljo[Status],"Bokført",tbl_BoMiljo[Kontokode],N68)</f>
        <v/>
      </c>
      <c r="Q68">
        <f>IF(P68&gt;0,COUNTIF($P$2:$P$89,"&gt;"&amp;P68)+COUNTIF($P$2:P68,P68),"")</f>
        <v/>
      </c>
    </row>
    <row r="69">
      <c r="N69" t="n">
        <v>120030</v>
      </c>
      <c r="O69" t="inlineStr">
        <is>
          <t>120030 · Hvite / brune varer / elektriske produkter</t>
        </is>
      </c>
      <c r="P69" s="28">
        <f>SUMIFS(tbl_BoMiljo[Merforbruk],tbl_BoMiljo[Status],"Bokført",tbl_BoMiljo[Kontokode],N69)</f>
        <v/>
      </c>
      <c r="Q69">
        <f>IF(P69&gt;0,COUNTIF($P$2:$P$89,"&gt;"&amp;P69)+COUNTIF($P$2:P69,P69),"")</f>
        <v/>
      </c>
    </row>
    <row r="70">
      <c r="N70" t="n">
        <v>120045</v>
      </c>
      <c r="O70" t="inlineStr">
        <is>
          <t>120045 · Kjøkkenutstyr</t>
        </is>
      </c>
      <c r="P70" s="28">
        <f>SUMIFS(tbl_BoMiljo[Merforbruk],tbl_BoMiljo[Status],"Bokført",tbl_BoMiljo[Kontokode],N70)</f>
        <v/>
      </c>
      <c r="Q70">
        <f>IF(P70&gt;0,COUNTIF($P$2:$P$89,"&gt;"&amp;P70)+COUNTIF($P$2:P70,P70),"")</f>
        <v/>
      </c>
    </row>
    <row r="71">
      <c r="N71" t="n">
        <v>120090</v>
      </c>
      <c r="O71" t="inlineStr">
        <is>
          <t>120090 · Annet utstyr / andre maskiner</t>
        </is>
      </c>
      <c r="P71" s="28">
        <f>SUMIFS(tbl_BoMiljo[Merforbruk],tbl_BoMiljo[Status],"Bokført",tbl_BoMiljo[Kontokode],N71)</f>
        <v/>
      </c>
      <c r="Q71">
        <f>IF(P71&gt;0,COUNTIF($P$2:$P$89,"&gt;"&amp;P71)+COUNTIF($P$2:P71,P71),"")</f>
        <v/>
      </c>
    </row>
    <row r="72">
      <c r="N72" t="n">
        <v>121010</v>
      </c>
      <c r="O72" t="inlineStr">
        <is>
          <t>121010 · Leie / leasing av transportmidler</t>
        </is>
      </c>
      <c r="P72" s="28">
        <f>SUMIFS(tbl_BoMiljo[Merforbruk],tbl_BoMiljo[Status],"Bokført",tbl_BoMiljo[Kontokode],N72)</f>
        <v/>
      </c>
      <c r="Q72">
        <f>IF(P72&gt;0,COUNTIF($P$2:$P$89,"&gt;"&amp;P72)+COUNTIF($P$2:P72,P72),"")</f>
        <v/>
      </c>
    </row>
    <row r="73">
      <c r="N73" t="n">
        <v>122000</v>
      </c>
      <c r="O73" t="inlineStr">
        <is>
          <t>122000 · Leie av kontorutstyr / maskiner</t>
        </is>
      </c>
      <c r="P73" s="28">
        <f>SUMIFS(tbl_BoMiljo[Merforbruk],tbl_BoMiljo[Status],"Bokført",tbl_BoMiljo[Kontokode],N73)</f>
        <v/>
      </c>
      <c r="Q73">
        <f>IF(P73&gt;0,COUNTIF($P$2:$P$89,"&gt;"&amp;P73)+COUNTIF($P$2:P73,P73),"")</f>
        <v/>
      </c>
    </row>
    <row r="74">
      <c r="N74" t="n">
        <v>123020</v>
      </c>
      <c r="O74" t="inlineStr">
        <is>
          <t>123020 · Vedlikehold - bygning</t>
        </is>
      </c>
      <c r="P74" s="28">
        <f>SUMIFS(tbl_BoMiljo[Merforbruk],tbl_BoMiljo[Status],"Bokført",tbl_BoMiljo[Kontokode],N74)</f>
        <v/>
      </c>
      <c r="Q74">
        <f>IF(P74&gt;0,COUNTIF($P$2:$P$89,"&gt;"&amp;P74)+COUNTIF($P$2:P74,P74),"")</f>
        <v/>
      </c>
    </row>
    <row r="75">
      <c r="N75" t="n">
        <v>123022</v>
      </c>
      <c r="O75" t="inlineStr">
        <is>
          <t>123022 · Vedlikehold - elektriske installasjoner</t>
        </is>
      </c>
      <c r="P75" s="28">
        <f>SUMIFS(tbl_BoMiljo[Merforbruk],tbl_BoMiljo[Status],"Bokført",tbl_BoMiljo[Kontokode],N75)</f>
        <v/>
      </c>
      <c r="Q75">
        <f>IF(P75&gt;0,COUNTIF($P$2:$P$89,"&gt;"&amp;P75)+COUNTIF($P$2:P75,P75),"")</f>
        <v/>
      </c>
    </row>
    <row r="76">
      <c r="N76" t="n">
        <v>124010</v>
      </c>
      <c r="O76" t="inlineStr">
        <is>
          <t>124010 · Drifts- / serviceavtaler - kontormaskiner</t>
        </is>
      </c>
      <c r="P76" s="28">
        <f>SUMIFS(tbl_BoMiljo[Merforbruk],tbl_BoMiljo[Status],"Bokført",tbl_BoMiljo[Kontokode],N76)</f>
        <v/>
      </c>
      <c r="Q76">
        <f>IF(P76&gt;0,COUNTIF($P$2:$P$89,"&gt;"&amp;P76)+COUNTIF($P$2:P76,P76),"")</f>
        <v/>
      </c>
    </row>
    <row r="77">
      <c r="N77" t="n">
        <v>124023</v>
      </c>
      <c r="O77" t="inlineStr">
        <is>
          <t>124023 · Driftsavtaler - medisinsk utstyr</t>
        </is>
      </c>
      <c r="P77" s="28">
        <f>SUMIFS(tbl_BoMiljo[Merforbruk],tbl_BoMiljo[Status],"Bokført",tbl_BoMiljo[Kontokode],N77)</f>
        <v/>
      </c>
      <c r="Q77">
        <f>IF(P77&gt;0,COUNTIF($P$2:$P$89,"&gt;"&amp;P77)+COUNTIF($P$2:P77,P77),"")</f>
        <v/>
      </c>
    </row>
    <row r="78">
      <c r="N78" t="n">
        <v>125000</v>
      </c>
      <c r="O78" t="inlineStr">
        <is>
          <t>125000 · Materialer til vedl. - bygg</t>
        </is>
      </c>
      <c r="P78" s="28">
        <f>SUMIFS(tbl_BoMiljo[Merforbruk],tbl_BoMiljo[Status],"Bokført",tbl_BoMiljo[Kontokode],N78)</f>
        <v/>
      </c>
      <c r="Q78">
        <f>IF(P78&gt;0,COUNTIF($P$2:$P$89,"&gt;"&amp;P78)+COUNTIF($P$2:P78,P78),"")</f>
        <v/>
      </c>
    </row>
    <row r="79">
      <c r="N79" t="n">
        <v>126000</v>
      </c>
      <c r="O79" t="inlineStr">
        <is>
          <t>126000 · Renholdstjenester</t>
        </is>
      </c>
      <c r="P79" s="28">
        <f>SUMIFS(tbl_BoMiljo[Merforbruk],tbl_BoMiljo[Status],"Bokført",tbl_BoMiljo[Kontokode],N79)</f>
        <v/>
      </c>
      <c r="Q79">
        <f>IF(P79&gt;0,COUNTIF($P$2:$P$89,"&gt;"&amp;P79)+COUNTIF($P$2:P79,P79),"")</f>
        <v/>
      </c>
    </row>
    <row r="80">
      <c r="N80" t="n">
        <v>127040</v>
      </c>
      <c r="O80" t="inlineStr">
        <is>
          <t>127040 · Kjøp av vikarbyråtjenester</t>
        </is>
      </c>
      <c r="P80" s="28">
        <f>SUMIFS(tbl_BoMiljo[Merforbruk],tbl_BoMiljo[Status],"Bokført",tbl_BoMiljo[Kontokode],N80)</f>
        <v/>
      </c>
      <c r="Q80">
        <f>IF(P80&gt;0,COUNTIF($P$2:$P$89,"&gt;"&amp;P80)+COUNTIF($P$2:P80,P80),"")</f>
        <v/>
      </c>
    </row>
    <row r="81">
      <c r="N81" t="n">
        <v>127050</v>
      </c>
      <c r="O81" t="inlineStr">
        <is>
          <t>127050 · Bedriftshelsetjenester</t>
        </is>
      </c>
      <c r="P81" s="28">
        <f>SUMIFS(tbl_BoMiljo[Merforbruk],tbl_BoMiljo[Status],"Bokført",tbl_BoMiljo[Kontokode],N81)</f>
        <v/>
      </c>
      <c r="Q81">
        <f>IF(P81&gt;0,COUNTIF($P$2:$P$89,"&gt;"&amp;P81)+COUNTIF($P$2:P81,P81),"")</f>
        <v/>
      </c>
    </row>
    <row r="82">
      <c r="N82" t="n">
        <v>142900</v>
      </c>
      <c r="O82" t="inlineStr">
        <is>
          <t>142900 · Merverdiavgift som gir rett til momskompensasjon</t>
        </is>
      </c>
      <c r="P82" s="28">
        <f>SUMIFS(tbl_BoMiljo[Merforbruk],tbl_BoMiljo[Status],"Bokført",tbl_BoMiljo[Kontokode],N82)</f>
        <v/>
      </c>
      <c r="Q82">
        <f>IF(P82&gt;0,COUNTIF($P$2:$P$89,"&gt;"&amp;P82)+COUNTIF($P$2:P82,P82),"")</f>
        <v/>
      </c>
    </row>
    <row r="83">
      <c r="N83" t="n">
        <v>150010</v>
      </c>
      <c r="O83" t="inlineStr">
        <is>
          <t>150010 · Forsinkelsesrenter (mora)</t>
        </is>
      </c>
      <c r="P83" s="28">
        <f>SUMIFS(tbl_BoMiljo[Merforbruk],tbl_BoMiljo[Status],"Bokført",tbl_BoMiljo[Kontokode],N83)</f>
        <v/>
      </c>
      <c r="Q83">
        <f>IF(P83&gt;0,COUNTIF($P$2:$P$89,"&gt;"&amp;P83)+COUNTIF($P$2:P83,P83),"")</f>
        <v/>
      </c>
    </row>
    <row r="84">
      <c r="N84" t="n">
        <v>160000</v>
      </c>
      <c r="O84" t="inlineStr">
        <is>
          <t>160000 · Brukerbetaling for kommunale tjenester -</t>
        </is>
      </c>
      <c r="P84" s="28">
        <f>SUMIFS(tbl_BoMiljo[Merforbruk],tbl_BoMiljo[Status],"Bokført",tbl_BoMiljo[Kontokode],N84)</f>
        <v/>
      </c>
      <c r="Q84">
        <f>IF(P84&gt;0,COUNTIF($P$2:$P$89,"&gt;"&amp;P84)+COUNTIF($P$2:P84,P84),"")</f>
        <v/>
      </c>
    </row>
    <row r="85">
      <c r="N85" t="n">
        <v>170080</v>
      </c>
      <c r="O85" t="inlineStr">
        <is>
          <t>170080 · Øremerkede statstilskudd</t>
        </is>
      </c>
      <c r="P85" s="28">
        <f>SUMIFS(tbl_BoMiljo[Merforbruk],tbl_BoMiljo[Status],"Bokført",tbl_BoMiljo[Kontokode],N85)</f>
        <v/>
      </c>
      <c r="Q85">
        <f>IF(P85&gt;0,COUNTIF($P$2:$P$89,"&gt;"&amp;P85)+COUNTIF($P$2:P85,P85),"")</f>
        <v/>
      </c>
    </row>
    <row r="86">
      <c r="N86" t="n">
        <v>171000</v>
      </c>
      <c r="O86" t="inlineStr">
        <is>
          <t>171000 · Refusjon sykepenger</t>
        </is>
      </c>
      <c r="P86" s="28">
        <f>SUMIFS(tbl_BoMiljo[Merforbruk],tbl_BoMiljo[Status],"Bokført",tbl_BoMiljo[Kontokode],N86)</f>
        <v/>
      </c>
      <c r="Q86">
        <f>IF(P86&gt;0,COUNTIF($P$2:$P$89,"&gt;"&amp;P86)+COUNTIF($P$2:P86,P86),"")</f>
        <v/>
      </c>
    </row>
    <row r="87">
      <c r="N87" t="n">
        <v>171005</v>
      </c>
      <c r="O87" t="inlineStr">
        <is>
          <t>171005 · Refusjon foreldrepenger</t>
        </is>
      </c>
      <c r="P87" s="28">
        <f>SUMIFS(tbl_BoMiljo[Merforbruk],tbl_BoMiljo[Status],"Bokført",tbl_BoMiljo[Kontokode],N87)</f>
        <v/>
      </c>
      <c r="Q87">
        <f>IF(P87&gt;0,COUNTIF($P$2:$P$89,"&gt;"&amp;P87)+COUNTIF($P$2:P87,P87),"")</f>
        <v/>
      </c>
    </row>
    <row r="88">
      <c r="N88" t="n">
        <v>172900</v>
      </c>
      <c r="O88" t="inlineStr">
        <is>
          <t>172900 · Kompensasjon for merverdiavgift</t>
        </is>
      </c>
      <c r="P88" s="28">
        <f>SUMIFS(tbl_BoMiljo[Merforbruk],tbl_BoMiljo[Status],"Bokført",tbl_BoMiljo[Kontokode],N88)</f>
        <v/>
      </c>
      <c r="Q88">
        <f>IF(P88&gt;0,COUNTIF($P$2:$P$89,"&gt;"&amp;P88)+COUNTIF($P$2:P88,P88),"")</f>
        <v/>
      </c>
    </row>
    <row r="89">
      <c r="N89" t="n">
        <v>177000</v>
      </c>
      <c r="O89" t="inlineStr">
        <is>
          <t>177000 · Refusjon fra private</t>
        </is>
      </c>
      <c r="P89" s="28">
        <f>SUMIFS(tbl_BoMiljo[Merforbruk],tbl_BoMiljo[Status],"Bokført",tbl_BoMiljo[Kontokode],N89)</f>
        <v/>
      </c>
      <c r="Q89">
        <f>IF(P89&gt;0,COUNTIF($P$2:$P$89,"&gt;"&amp;P89)+COUNTIF($P$2:P89,P89),"")</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M365 Copilot</dc:creator>
  <dcterms:created xmlns:dcterms="http://purl.org/dc/terms/" xmlns:xsi="http://www.w3.org/2001/XMLSchema-instance" xsi:type="dcterms:W3CDTF">2026-10-12T18:44:42Z</dcterms:created>
  <dcterms:modified xmlns:dcterms="http://purl.org/dc/terms/" xmlns:xsi="http://www.w3.org/2001/XMLSchema-instance" xsi:type="dcterms:W3CDTF">2026-10-13T07:43:03Z</dcterms:modified>
  <cp:lastModifiedBy>Frank Ellingsen</cp:lastModifiedBy>
</cp:coreProperties>
</file>